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5"/>
    <sheet state="visible" name="Resumen por dia" sheetId="2" r:id="rId6"/>
    <sheet state="visible" name="Llegadas cada 5 min" sheetId="3" r:id="rId7"/>
    <sheet state="visible" name="Llegadas entre 9 y 10" sheetId="4" r:id="rId8"/>
  </sheets>
  <definedNames/>
  <calcPr/>
</workbook>
</file>

<file path=xl/sharedStrings.xml><?xml version="1.0" encoding="utf-8"?>
<sst xmlns="http://schemas.openxmlformats.org/spreadsheetml/2006/main" count="496" uniqueCount="68">
  <si>
    <t>Registro de llegadas</t>
  </si>
  <si>
    <t>Llegadas por día y franja horaria</t>
  </si>
  <si>
    <t xml:space="preserve">Llegadas por intervalo de 5 minutos </t>
  </si>
  <si>
    <t>Tiempos entre llegadas ( 9:00-10:00 )</t>
  </si>
  <si>
    <t>N</t>
  </si>
  <si>
    <t>N.º</t>
  </si>
  <si>
    <t>Fecha</t>
  </si>
  <si>
    <t>Hora llegada</t>
  </si>
  <si>
    <t>Hora llegada anterior</t>
  </si>
  <si>
    <t>Pref. (S/N)</t>
  </si>
  <si>
    <t>Hora turno</t>
  </si>
  <si>
    <t>Intervalo</t>
  </si>
  <si>
    <t>Hora llamado</t>
  </si>
  <si>
    <t>T entre llegadas (min)</t>
  </si>
  <si>
    <t>Inicio atención</t>
  </si>
  <si>
    <t>Fin atención</t>
  </si>
  <si>
    <t>Espera en fila (min)</t>
  </si>
  <si>
    <t>Duración de atención (min)</t>
  </si>
  <si>
    <t>Llegadas</t>
  </si>
  <si>
    <t>Franja de hora de llegada</t>
  </si>
  <si>
    <t>Día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</si>
  <si>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</si>
  <si>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</si>
  <si>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</si>
  <si>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</si>
  <si>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</si>
  <si>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</si>
  <si>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</si>
  <si>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</si>
  <si>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</si>
  <si>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</si>
  <si>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Total</t>
  </si>
  <si>
    <t>Día 1</t>
  </si>
  <si>
    <t>En una distribución de Poisson, media y varianza son iguales (cociente ≈ 1). Es un indicio, no una prueba:</t>
  </si>
  <si>
    <t>Día 2</t>
  </si>
  <si>
    <t>Número de intervalos</t>
  </si>
  <si>
    <t>Número de tiempos</t>
  </si>
  <si>
    <t>Día 3</t>
  </si>
  <si>
    <t>Media (min)</t>
  </si>
  <si>
    <t>S</t>
  </si>
  <si>
    <t>Media</t>
  </si>
  <si>
    <t>Día 4</t>
  </si>
  <si>
    <t>Día 5</t>
  </si>
  <si>
    <t>Desviación estándar (min)</t>
  </si>
  <si>
    <t>Varianza</t>
  </si>
  <si>
    <t>Día 6</t>
  </si>
  <si>
    <t>Coeficiente de variación</t>
  </si>
  <si>
    <t>Día 7</t>
  </si>
  <si>
    <t>Tasa (usuarios/h)</t>
  </si>
  <si>
    <t>Varianza / media</t>
  </si>
  <si>
    <t>Día 8</t>
  </si>
  <si>
    <t>Día 9</t>
  </si>
  <si>
    <t>Promedio de duración de atención =</t>
  </si>
  <si>
    <t>Día 10</t>
  </si>
  <si>
    <t>Estos datos se toman de la pestaña entre llegadas, contando cuantos usuarios llegaron a la sede en intervalos de 5 minutos</t>
  </si>
  <si>
    <t>Promedio λ (usuarios/h)</t>
  </si>
  <si>
    <t>Promedio de tiempo de espera =</t>
  </si>
  <si>
    <t>Desviación estándar</t>
  </si>
  <si>
    <t>Tasa de servicio u =</t>
  </si>
  <si>
    <t>Módulos habilitados (s)</t>
  </si>
  <si>
    <t>Capacidad s·μ (usuarios/h)</t>
  </si>
  <si>
    <t>ρ = λ/(s·μ)</t>
  </si>
  <si>
    <t>Condición</t>
  </si>
  <si>
    <t>Inestable</t>
  </si>
  <si>
    <t>Critica</t>
  </si>
  <si>
    <t>Estable</t>
  </si>
  <si>
    <t>Promedio de usarios por dia  =</t>
  </si>
  <si>
    <t>kks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</si>
</sst>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h:mm:ss"/>
    <numFmt numFmtId="166" formatCode="0.000"/>
    <numFmt numFmtId="167" formatCode="0.0"/>
    <numFmt numFmtId="168" formatCode="0.0%"/>
  </numFmts>
  <fonts count="14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b/>
      <sz val="14.0"/>
      <color theme="1"/>
      <name val="Calibri"/>
      <scheme val="minor"/>
    </font>
    <font>
      <b/>
      <sz val="20.0"/>
      <color theme="1"/>
      <name val="Calibri"/>
      <scheme val="minor"/>
    </font>
    <font/>
    <font>
      <b/>
      <sz val="16.0"/>
      <color theme="1"/>
      <name val="Calibri"/>
      <scheme val="minor"/>
    </font>
    <font>
      <sz val="11.0"/>
      <color theme="1"/>
      <name val="Calibri"/>
    </font>
    <font>
      <b/>
      <sz val="19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rgb="FF000000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1F4E78"/>
        <bgColor rgb="FF1F4E78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6" numFmtId="0" xfId="0" applyFont="1"/>
    <xf borderId="0" fillId="2" fontId="6" numFmtId="0" xfId="0" applyFill="1" applyFont="1"/>
    <xf borderId="4" fillId="0" fontId="7" numFmtId="0" xfId="0" applyAlignment="1" applyBorder="1" applyFont="1">
      <alignment horizontal="center" readingOrder="0" vertical="bottom"/>
    </xf>
    <xf borderId="5" fillId="0" fontId="4" numFmtId="0" xfId="0" applyBorder="1" applyFont="1"/>
    <xf borderId="0" fillId="2" fontId="8" numFmtId="0" xfId="0" applyAlignment="1" applyFill="1" applyFont="1">
      <alignment horizontal="center"/>
    </xf>
    <xf borderId="6" fillId="3" fontId="8" numFmtId="0" xfId="0" applyAlignment="1" applyBorder="1" applyFill="1" applyFont="1">
      <alignment horizontal="center" readingOrder="0" shrinkToFit="0" vertical="center" wrapText="1"/>
    </xf>
    <xf borderId="6" fillId="3" fontId="8" numFmtId="0" xfId="0" applyAlignment="1" applyBorder="1" applyFill="1" applyFont="1">
      <alignment horizontal="center"/>
    </xf>
    <xf borderId="6" fillId="3" fontId="8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6" fillId="3" fontId="8" numFmtId="0" xfId="0" applyAlignment="1" applyBorder="1" applyFill="1" applyFont="1">
      <alignment horizontal="center" readingOrder="0"/>
    </xf>
    <xf borderId="8" fillId="4" fontId="8" numFmtId="0" xfId="0" applyAlignment="1" applyBorder="1" applyFill="1" applyFont="1">
      <alignment horizontal="center" shrinkToFit="0" vertical="center" wrapText="1"/>
    </xf>
    <xf borderId="0" fillId="0" fontId="0" numFmtId="0" xfId="0" applyFont="1"/>
    <xf borderId="0" fillId="0" fontId="0" numFmtId="0" xfId="0" applyFont="1"/>
    <xf borderId="9" fillId="0" fontId="0" numFmtId="0" xfId="0" applyBorder="1" applyFont="1"/>
    <xf borderId="9" fillId="0" fontId="0" numFmtId="0" xfId="0" applyAlignment="1" applyBorder="1" applyFont="1">
      <alignment horizontal="center" vertical="bottom"/>
    </xf>
    <xf borderId="9" fillId="0" fontId="0" numFmtId="164" xfId="0" applyBorder="1" applyFont="1" applyNumberFormat="1"/>
    <xf borderId="9" fillId="2" fontId="9" numFmtId="164" xfId="0" applyAlignment="1" applyBorder="1" applyFill="1" applyFont="1" applyNumberFormat="1">
      <alignment vertical="bottom"/>
    </xf>
    <xf borderId="9" fillId="3" fontId="8" numFmtId="0" xfId="0" applyAlignment="1" applyBorder="1" applyFill="1" applyFont="1">
      <alignment horizontal="center" shrinkToFit="0" vertical="center" wrapText="1"/>
    </xf>
    <xf borderId="9" fillId="0" fontId="0" numFmtId="165" xfId="0" applyBorder="1" applyFont="1" applyNumberFormat="1"/>
    <xf borderId="10" fillId="0" fontId="0" numFmtId="0" xfId="0" applyAlignment="1" applyBorder="1" applyFont="1">
      <alignment vertical="bottom"/>
    </xf>
    <xf borderId="10" fillId="2" fontId="9" numFmtId="1" xfId="0" applyAlignment="1" applyBorder="1" applyFill="1" applyFont="1" applyNumberFormat="1">
      <alignment vertical="bottom"/>
    </xf>
    <xf borderId="9" fillId="2" fontId="9" numFmtId="0" xfId="0" applyAlignment="1" applyBorder="1" applyFill="1" applyFont="1">
      <alignment vertical="bottom"/>
    </xf>
    <xf borderId="9" fillId="2" fontId="9" numFmtId="165" xfId="0" applyAlignment="1" applyBorder="1" applyFill="1" applyFont="1" applyNumberFormat="1">
      <alignment vertical="bottom"/>
    </xf>
    <xf borderId="9" fillId="0" fontId="9" numFmtId="0" xfId="0" applyAlignment="1" applyBorder="1" applyFont="1">
      <alignment vertical="bottom"/>
    </xf>
    <xf borderId="9" fillId="0" fontId="9" numFmtId="1" xfId="0" applyAlignment="1" applyBorder="1" applyFont="1" applyNumberFormat="1">
      <alignment vertical="bottom"/>
    </xf>
    <xf borderId="9" fillId="0" fontId="0" numFmtId="2" xfId="0" applyBorder="1" applyFont="1" applyNumberFormat="1"/>
    <xf borderId="0" fillId="0" fontId="10" numFmtId="0" xfId="0" applyAlignment="1" applyFont="1">
      <alignment shrinkToFit="0" vertical="bottom" wrapText="1"/>
    </xf>
    <xf borderId="9" fillId="0" fontId="0" numFmtId="2" xfId="0" applyAlignment="1" applyBorder="1" applyFont="1" applyNumberFormat="1">
      <alignment vertical="bottom"/>
    </xf>
    <xf borderId="9" fillId="2" fontId="9" numFmtId="1" xfId="0" applyAlignment="1" applyBorder="1" applyFill="1" applyFont="1" applyNumberFormat="1">
      <alignment vertical="bottom"/>
    </xf>
    <xf borderId="9" fillId="2" fontId="11" numFmtId="0" xfId="0" applyAlignment="1" applyBorder="1" applyFill="1" applyFont="1">
      <alignment horizontal="right" vertical="bottom"/>
    </xf>
    <xf borderId="9" fillId="0" fontId="12" numFmtId="0" xfId="0" applyAlignment="1" applyBorder="1" applyFont="1">
      <alignment horizontal="right"/>
    </xf>
    <xf borderId="9" fillId="0" fontId="0" numFmtId="1" xfId="0" applyAlignment="1" applyBorder="1" applyFont="1" applyNumberFormat="1">
      <alignment vertical="bottom"/>
    </xf>
    <xf borderId="9" fillId="0" fontId="6" numFmtId="1" xfId="0" applyBorder="1" applyFont="1" applyNumberFormat="1"/>
    <xf borderId="9" fillId="0" fontId="6" numFmtId="166" xfId="0" applyBorder="1" applyFont="1" applyNumberFormat="1"/>
    <xf borderId="9" fillId="0" fontId="12" numFmtId="0" xfId="0" applyAlignment="1" applyBorder="1" applyFont="1">
      <alignment horizontal="right" readingOrder="0"/>
    </xf>
    <xf borderId="11" fillId="0" fontId="6" numFmtId="0" xfId="0" applyAlignment="1" applyBorder="1" applyFont="1">
      <alignment horizontal="right" readingOrder="0" shrinkToFit="0" wrapText="1"/>
    </xf>
    <xf borderId="12" fillId="0" fontId="6" numFmtId="2" xfId="0" applyAlignment="1" applyBorder="1" applyFont="1" applyNumberFormat="1">
      <alignment horizontal="center" readingOrder="0" vertical="center"/>
    </xf>
    <xf borderId="13" fillId="0" fontId="4" numFmtId="0" xfId="0" applyBorder="1" applyFont="1"/>
    <xf borderId="14" fillId="0" fontId="4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9" fillId="2" fontId="11" numFmtId="0" xfId="0" applyAlignment="1" applyBorder="1" applyFill="1" applyFont="1">
      <alignment horizontal="center" vertical="bottom"/>
    </xf>
    <xf borderId="9" fillId="0" fontId="0" numFmtId="167" xfId="0" applyAlignment="1" applyBorder="1" applyFont="1" applyNumberFormat="1">
      <alignment horizontal="center" vertical="bottom"/>
    </xf>
    <xf borderId="0" fillId="0" fontId="11" numFmtId="167" xfId="0" applyAlignment="1" applyFont="1" applyNumberFormat="1">
      <alignment horizontal="center" vertical="bottom"/>
    </xf>
    <xf borderId="11" fillId="0" fontId="6" numFmtId="0" xfId="0" applyAlignment="1" applyBorder="1" applyFont="1">
      <alignment horizontal="right" readingOrder="0" shrinkToFit="0" vertical="center" wrapText="1"/>
    </xf>
    <xf borderId="0" fillId="0" fontId="0" numFmtId="167" xfId="0" applyAlignment="1" applyFont="1" applyNumberFormat="1">
      <alignment horizontal="center" vertical="bottom"/>
    </xf>
    <xf borderId="9" fillId="0" fontId="0" numFmtId="168" xfId="0" applyAlignment="1" applyBorder="1" applyFont="1" applyNumberFormat="1">
      <alignment horizontal="center" vertical="bottom"/>
    </xf>
    <xf borderId="0" fillId="0" fontId="0" numFmtId="168" xfId="0" applyAlignment="1" applyFont="1" applyNumberFormat="1">
      <alignment horizontal="center" vertical="bottom"/>
    </xf>
    <xf borderId="9" fillId="2" fontId="9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9" fillId="0" fontId="0" numFmtId="166" xfId="0" applyAlignment="1" applyBorder="1" applyFont="1" applyNumberFormat="1">
      <alignment horizontal="center" vertical="bottom"/>
    </xf>
    <xf borderId="0" fillId="0" fontId="0" numFmtId="166" xfId="0" applyAlignment="1" applyFont="1" applyNumberFormat="1">
      <alignment horizontal="center" vertical="bottom"/>
    </xf>
    <xf borderId="9" fillId="0" fontId="0" numFmtId="0" xfId="0" applyAlignment="1" applyBorder="1" applyFont="1">
      <alignment horizontal="center" readingOrder="0" vertical="bottom"/>
    </xf>
    <xf borderId="0" fillId="0" fontId="0" numFmtId="0" xfId="0" applyAlignment="1" applyFont="1">
      <alignment horizontal="center" vertical="bottom"/>
    </xf>
    <xf borderId="1" fillId="0" fontId="0" numFmtId="0" xfId="0" applyAlignment="1" applyBorder="1" applyFont="1">
      <alignment horizontal="right" readingOrder="0"/>
    </xf>
    <xf borderId="2" fillId="0" fontId="0" numFmtId="167" xfId="0" applyAlignment="1" applyBorder="1" applyFont="1" applyNumberFormat="1">
      <alignment horizontal="left"/>
    </xf>
    <xf borderId="0" fillId="0" fontId="0" numFmtId="0" xfId="0" applyAlignment="1" applyFont="1">
      <alignment readingOrder="0"/>
    </xf>
    <xf borderId="0" fillId="0" fontId="0" numFmtId="0" xfId="0" applyAlignment="1" applyFont="1">
      <alignment vertical="bottom"/>
    </xf>
    <xf borderId="0" fillId="2" fontId="9" numFmtId="1" xfId="0" applyAlignment="1" applyFill="1" applyFont="1" applyNumberFormat="1">
      <alignment vertical="bottom"/>
    </xf>
    <xf borderId="0" fillId="2" fontId="9" numFmtId="164" xfId="0" applyAlignment="1" applyFill="1" applyFont="1" applyNumberFormat="1">
      <alignment vertical="bottom"/>
    </xf>
    <xf borderId="0" fillId="2" fontId="9" numFmtId="0" xfId="0" applyAlignment="1" applyFill="1" applyFont="1">
      <alignment vertical="bottom"/>
    </xf>
    <xf borderId="0" fillId="2" fontId="9" numFmtId="165" xfId="0" applyAlignment="1" applyFill="1" applyFont="1" applyNumberFormat="1">
      <alignment vertical="bottom"/>
    </xf>
    <xf borderId="0" fillId="0" fontId="0" numFmtId="2" xfId="0" applyAlignment="1" applyFont="1" applyNumberFormat="1">
      <alignment vertical="bottom"/>
    </xf>
    <xf borderId="0" fillId="0" fontId="0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12.43"/>
    <col customWidth="1" min="4" max="4" width="13.14"/>
    <col customWidth="1" min="5" max="5" width="12.0"/>
    <col customWidth="1" min="6" max="6" width="13.0"/>
    <col customWidth="1" min="7" max="7" width="12.0"/>
    <col customWidth="1" min="8" max="8" width="15.0"/>
    <col customWidth="1" min="9" max="10" width="16.0"/>
    <col customWidth="1" min="11" max="11" width="7.29"/>
    <col customWidth="1" min="12" max="12" width="22.71"/>
  </cols>
  <sheetData>
    <row r="1" ht="26.25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4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31.5" customHeight="1">
      <c r="A2" s="13" t="s">
        <v>4</v>
      </c>
      <c r="B2" s="15" t="s">
        <v>6</v>
      </c>
      <c r="C2" s="15" t="s">
        <v>9</v>
      </c>
      <c r="D2" s="15" t="s">
        <v>10</v>
      </c>
      <c r="E2" s="15" t="s">
        <v>12</v>
      </c>
      <c r="F2" s="15" t="s">
        <v>14</v>
      </c>
      <c r="G2" s="15" t="s">
        <v>15</v>
      </c>
      <c r="H2" s="15" t="s">
        <v>16</v>
      </c>
      <c r="I2" s="13" t="s">
        <v>17</v>
      </c>
      <c r="J2" s="13" t="s">
        <v>19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22">
        <v>1.0</v>
      </c>
      <c r="B3" s="24">
        <v>46258.0</v>
      </c>
      <c r="C3" s="29" t="s">
        <v>4</v>
      </c>
      <c r="D3" s="30">
        <v>0.2947625347222222</v>
      </c>
      <c r="E3" s="30">
        <v>0.2947625347222222</v>
      </c>
      <c r="F3" s="30">
        <v>0.2947856828703704</v>
      </c>
      <c r="G3" s="30">
        <v>0.2991606828703704</v>
      </c>
      <c r="H3" s="35">
        <f t="shared" ref="H3:H422" si="1">IF(AND(ISNUMBER(D3),ISNUMBER(E3)),(E3-D3)*1440,"")</f>
        <v>0</v>
      </c>
      <c r="I3" s="35">
        <f t="shared" ref="I3:I422" si="2">IF(AND(ISNUMBER(F3),ISNUMBER(G3)),(G3-F3)*1440,"")</f>
        <v>6.3</v>
      </c>
      <c r="J3" s="39">
        <f t="shared" ref="J3:J422" si="3">IF(ISNUMBER(D3),HOUR(D3),"")</f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22">
        <v>2.0</v>
      </c>
      <c r="B4" s="24">
        <v>46258.0</v>
      </c>
      <c r="C4" s="29" t="s">
        <v>39</v>
      </c>
      <c r="D4" s="30">
        <v>0.2998889583333333</v>
      </c>
      <c r="E4" s="30">
        <v>0.300190775462963</v>
      </c>
      <c r="F4" s="30">
        <v>0.3002254976851852</v>
      </c>
      <c r="G4" s="30">
        <v>0.3034778125</v>
      </c>
      <c r="H4" s="35">
        <f t="shared" si="1"/>
        <v>0.4346166667</v>
      </c>
      <c r="I4" s="35">
        <f t="shared" si="2"/>
        <v>4.683333333</v>
      </c>
      <c r="J4" s="39">
        <f t="shared" si="3"/>
        <v>7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22">
        <v>3.0</v>
      </c>
      <c r="B5" s="24">
        <v>46258.0</v>
      </c>
      <c r="C5" s="29" t="s">
        <v>4</v>
      </c>
      <c r="D5" s="30">
        <v>0.3038045486111111</v>
      </c>
      <c r="E5" s="30">
        <v>0.3085337731481481</v>
      </c>
      <c r="F5" s="30">
        <v>0.3085569212962963</v>
      </c>
      <c r="G5" s="30">
        <v>0.3102120138888889</v>
      </c>
      <c r="H5" s="35">
        <f t="shared" si="1"/>
        <v>6.810083333</v>
      </c>
      <c r="I5" s="35">
        <f t="shared" si="2"/>
        <v>2.383333333</v>
      </c>
      <c r="J5" s="39">
        <f t="shared" si="3"/>
        <v>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22">
        <v>4.0</v>
      </c>
      <c r="B6" s="24">
        <v>46258.0</v>
      </c>
      <c r="C6" s="29" t="s">
        <v>4</v>
      </c>
      <c r="D6" s="30">
        <v>0.3041539814814815</v>
      </c>
      <c r="E6" s="30">
        <v>0.3112796875</v>
      </c>
      <c r="F6" s="30">
        <v>0.3113259837962963</v>
      </c>
      <c r="G6" s="30">
        <v>0.3133977430555556</v>
      </c>
      <c r="H6" s="35">
        <f t="shared" si="1"/>
        <v>10.26101667</v>
      </c>
      <c r="I6" s="35">
        <f t="shared" si="2"/>
        <v>2.983333333</v>
      </c>
      <c r="J6" s="39">
        <f t="shared" si="3"/>
        <v>7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22">
        <v>5.0</v>
      </c>
      <c r="B7" s="24">
        <v>46258.0</v>
      </c>
      <c r="C7" s="29" t="s">
        <v>4</v>
      </c>
      <c r="D7" s="30">
        <v>0.3161259953703704</v>
      </c>
      <c r="E7" s="30">
        <v>0.3203428935185185</v>
      </c>
      <c r="F7" s="30">
        <v>0.3203891898148148</v>
      </c>
      <c r="G7" s="30">
        <v>0.3231785416666667</v>
      </c>
      <c r="H7" s="35">
        <f t="shared" si="1"/>
        <v>6.072333333</v>
      </c>
      <c r="I7" s="35">
        <f t="shared" si="2"/>
        <v>4.016666667</v>
      </c>
      <c r="J7" s="39">
        <f t="shared" si="3"/>
        <v>7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22">
        <v>6.0</v>
      </c>
      <c r="B8" s="24">
        <v>46258.0</v>
      </c>
      <c r="C8" s="29" t="s">
        <v>4</v>
      </c>
      <c r="D8" s="30">
        <v>0.3189950347222222</v>
      </c>
      <c r="E8" s="30">
        <v>0.3251229861111111</v>
      </c>
      <c r="F8" s="30">
        <v>0.3251345601851852</v>
      </c>
      <c r="G8" s="30">
        <v>0.3269053935185185</v>
      </c>
      <c r="H8" s="35">
        <f t="shared" si="1"/>
        <v>8.82425</v>
      </c>
      <c r="I8" s="35">
        <f t="shared" si="2"/>
        <v>2.55</v>
      </c>
      <c r="J8" s="39">
        <f t="shared" si="3"/>
        <v>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22">
        <v>7.0</v>
      </c>
      <c r="B9" s="24">
        <v>46258.0</v>
      </c>
      <c r="C9" s="29" t="s">
        <v>4</v>
      </c>
      <c r="D9" s="30">
        <v>0.3427493287037037</v>
      </c>
      <c r="E9" s="30">
        <v>0.3594153125</v>
      </c>
      <c r="F9" s="30">
        <v>0.3594500347222222</v>
      </c>
      <c r="G9" s="30">
        <v>0.3613829050925926</v>
      </c>
      <c r="H9" s="35">
        <f t="shared" si="1"/>
        <v>23.99901667</v>
      </c>
      <c r="I9" s="35">
        <f t="shared" si="2"/>
        <v>2.783333333</v>
      </c>
      <c r="J9" s="39">
        <f t="shared" si="3"/>
        <v>8</v>
      </c>
      <c r="K9" s="8"/>
      <c r="L9" s="43" t="s">
        <v>52</v>
      </c>
      <c r="M9" s="44">
        <f>AVERAGE(I3:I422)</f>
        <v>3.03031746</v>
      </c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22">
        <v>8.0</v>
      </c>
      <c r="B10" s="24">
        <v>46258.0</v>
      </c>
      <c r="C10" s="29" t="s">
        <v>4</v>
      </c>
      <c r="D10" s="30">
        <v>0.3447704398148148</v>
      </c>
      <c r="E10" s="30">
        <v>0.3606785416666667</v>
      </c>
      <c r="F10" s="30">
        <v>0.3606901157407407</v>
      </c>
      <c r="G10" s="30">
        <v>0.3637803935185185</v>
      </c>
      <c r="H10" s="35">
        <f t="shared" si="1"/>
        <v>22.90766667</v>
      </c>
      <c r="I10" s="35">
        <f t="shared" si="2"/>
        <v>4.45</v>
      </c>
      <c r="J10" s="39">
        <f t="shared" si="3"/>
        <v>8</v>
      </c>
      <c r="K10" s="8"/>
      <c r="L10" s="45"/>
      <c r="M10" s="46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22">
        <v>9.0</v>
      </c>
      <c r="B11" s="24">
        <v>46258.0</v>
      </c>
      <c r="C11" s="29" t="s">
        <v>4</v>
      </c>
      <c r="D11" s="30">
        <v>0.3495527777777778</v>
      </c>
      <c r="E11" s="30">
        <v>0.3700750347222223</v>
      </c>
      <c r="F11" s="30">
        <v>0.3700866087962963</v>
      </c>
      <c r="G11" s="30">
        <v>0.3719616087962963</v>
      </c>
      <c r="H11" s="35">
        <f t="shared" si="1"/>
        <v>29.55205</v>
      </c>
      <c r="I11" s="35">
        <f t="shared" si="2"/>
        <v>2.7</v>
      </c>
      <c r="J11" s="39">
        <f t="shared" si="3"/>
        <v>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22">
        <v>10.0</v>
      </c>
      <c r="B12" s="24">
        <v>46258.0</v>
      </c>
      <c r="C12" s="29" t="s">
        <v>39</v>
      </c>
      <c r="D12" s="30">
        <v>0.3579336574074074</v>
      </c>
      <c r="E12" s="30">
        <v>0.3591384837962963</v>
      </c>
      <c r="F12" s="30">
        <v>0.3591847800925926</v>
      </c>
      <c r="G12" s="30">
        <v>0.360805150462963</v>
      </c>
      <c r="H12" s="35">
        <f t="shared" si="1"/>
        <v>1.73495</v>
      </c>
      <c r="I12" s="35">
        <f t="shared" si="2"/>
        <v>2.333333333</v>
      </c>
      <c r="J12" s="39">
        <f t="shared" si="3"/>
        <v>8</v>
      </c>
      <c r="K12" s="8"/>
      <c r="L12" s="43" t="s">
        <v>56</v>
      </c>
      <c r="M12" s="44">
        <f>AVERAGE(Registro!H3:H422)</f>
        <v>16.00264579</v>
      </c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22">
        <v>11.0</v>
      </c>
      <c r="B13" s="24">
        <v>46258.0</v>
      </c>
      <c r="C13" s="29" t="s">
        <v>4</v>
      </c>
      <c r="D13" s="30">
        <v>0.3670949652777778</v>
      </c>
      <c r="E13" s="30">
        <v>0.3874014236111111</v>
      </c>
      <c r="F13" s="30">
        <v>0.3874245717592593</v>
      </c>
      <c r="G13" s="30">
        <v>0.3896930902777778</v>
      </c>
      <c r="H13" s="35">
        <f t="shared" si="1"/>
        <v>29.2413</v>
      </c>
      <c r="I13" s="35">
        <f t="shared" si="2"/>
        <v>3.266666667</v>
      </c>
      <c r="J13" s="39">
        <f t="shared" si="3"/>
        <v>8</v>
      </c>
      <c r="K13" s="8"/>
      <c r="L13" s="45"/>
      <c r="M13" s="46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22">
        <v>12.0</v>
      </c>
      <c r="B14" s="24">
        <v>46258.0</v>
      </c>
      <c r="C14" s="29" t="s">
        <v>4</v>
      </c>
      <c r="D14" s="30">
        <v>0.369484212962963</v>
      </c>
      <c r="E14" s="30">
        <v>0.3895088541666667</v>
      </c>
      <c r="F14" s="30">
        <v>0.389555150462963</v>
      </c>
      <c r="G14" s="30">
        <v>0.3919162615740741</v>
      </c>
      <c r="H14" s="35">
        <f t="shared" si="1"/>
        <v>28.83548333</v>
      </c>
      <c r="I14" s="35">
        <f t="shared" si="2"/>
        <v>3.4</v>
      </c>
      <c r="J14" s="39">
        <f t="shared" si="3"/>
        <v>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22">
        <v>13.0</v>
      </c>
      <c r="B15" s="24">
        <v>46258.0</v>
      </c>
      <c r="C15" s="29" t="s">
        <v>4</v>
      </c>
      <c r="D15" s="30">
        <v>0.3706656018518519</v>
      </c>
      <c r="E15" s="30">
        <v>0.3919162615740741</v>
      </c>
      <c r="F15" s="30">
        <v>0.3919278356481481</v>
      </c>
      <c r="G15" s="30">
        <v>0.3928769097222222</v>
      </c>
      <c r="H15" s="35">
        <f t="shared" si="1"/>
        <v>30.60095</v>
      </c>
      <c r="I15" s="35">
        <f t="shared" si="2"/>
        <v>1.366666667</v>
      </c>
      <c r="J15" s="39">
        <f t="shared" si="3"/>
        <v>8</v>
      </c>
      <c r="K15" s="8"/>
      <c r="L15" s="51" t="s">
        <v>58</v>
      </c>
      <c r="M15" s="44">
        <f>60/M9</f>
        <v>19.79990571</v>
      </c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22">
        <v>14.0</v>
      </c>
      <c r="B16" s="24">
        <v>46258.0</v>
      </c>
      <c r="C16" s="29" t="s">
        <v>4</v>
      </c>
      <c r="D16" s="30">
        <v>0.3939188541666667</v>
      </c>
      <c r="E16" s="30">
        <v>0.4172641898148148</v>
      </c>
      <c r="F16" s="30">
        <v>0.417310486111111</v>
      </c>
      <c r="G16" s="30">
        <v>0.4181785416666666</v>
      </c>
      <c r="H16" s="35">
        <f t="shared" si="1"/>
        <v>33.61728333</v>
      </c>
      <c r="I16" s="35">
        <f t="shared" si="2"/>
        <v>1.25</v>
      </c>
      <c r="J16" s="39">
        <f t="shared" si="3"/>
        <v>9</v>
      </c>
      <c r="K16" s="8"/>
      <c r="L16" s="45"/>
      <c r="M16" s="46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22">
        <v>15.0</v>
      </c>
      <c r="B17" s="24">
        <v>46258.0</v>
      </c>
      <c r="C17" s="29" t="s">
        <v>4</v>
      </c>
      <c r="D17" s="30">
        <v>0.3958000347222222</v>
      </c>
      <c r="E17" s="30">
        <v>0.4197046643518518</v>
      </c>
      <c r="F17" s="30">
        <v>0.4197393865740741</v>
      </c>
      <c r="G17" s="30">
        <v>0.4242879976851852</v>
      </c>
      <c r="H17" s="35">
        <f t="shared" si="1"/>
        <v>34.42266667</v>
      </c>
      <c r="I17" s="35">
        <f t="shared" si="2"/>
        <v>6.55</v>
      </c>
      <c r="J17" s="39">
        <f t="shared" si="3"/>
        <v>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22">
        <v>16.0</v>
      </c>
      <c r="B18" s="24">
        <v>46258.0</v>
      </c>
      <c r="C18" s="29" t="s">
        <v>4</v>
      </c>
      <c r="D18" s="30">
        <v>0.3992137615740741</v>
      </c>
      <c r="E18" s="30">
        <v>0.4254116319444445</v>
      </c>
      <c r="F18" s="30">
        <v>0.4254463541666667</v>
      </c>
      <c r="G18" s="30">
        <v>0.4274602430555556</v>
      </c>
      <c r="H18" s="35">
        <f t="shared" si="1"/>
        <v>37.72493333</v>
      </c>
      <c r="I18" s="35">
        <f t="shared" si="2"/>
        <v>2.9</v>
      </c>
      <c r="J18" s="39">
        <f t="shared" si="3"/>
        <v>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5.75" customHeight="1">
      <c r="A19" s="22">
        <v>17.0</v>
      </c>
      <c r="B19" s="24">
        <v>46258.0</v>
      </c>
      <c r="C19" s="29" t="s">
        <v>4</v>
      </c>
      <c r="D19" s="30">
        <v>0.4000461689814815</v>
      </c>
      <c r="E19" s="30">
        <v>0.4267282175925926</v>
      </c>
      <c r="F19" s="30">
        <v>0.4267513657407407</v>
      </c>
      <c r="G19" s="30">
        <v>0.4285916435185185</v>
      </c>
      <c r="H19" s="35">
        <f t="shared" si="1"/>
        <v>38.42215</v>
      </c>
      <c r="I19" s="35">
        <f t="shared" si="2"/>
        <v>2.65</v>
      </c>
      <c r="J19" s="39">
        <f t="shared" si="3"/>
        <v>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15.75" customHeight="1">
      <c r="A20" s="22">
        <v>18.0</v>
      </c>
      <c r="B20" s="24">
        <v>46258.0</v>
      </c>
      <c r="C20" s="29" t="s">
        <v>39</v>
      </c>
      <c r="D20" s="30">
        <v>0.4024045254629629</v>
      </c>
      <c r="E20" s="30">
        <v>0.4032559953703704</v>
      </c>
      <c r="F20" s="30">
        <v>0.4033022916666666</v>
      </c>
      <c r="G20" s="30">
        <v>0.4041471990740741</v>
      </c>
      <c r="H20" s="35">
        <f t="shared" si="1"/>
        <v>1.226116667</v>
      </c>
      <c r="I20" s="35">
        <f t="shared" si="2"/>
        <v>1.216666667</v>
      </c>
      <c r="J20" s="39">
        <f t="shared" si="3"/>
        <v>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15.75" customHeight="1">
      <c r="A21" s="22">
        <v>19.0</v>
      </c>
      <c r="B21" s="24">
        <v>46258.0</v>
      </c>
      <c r="C21" s="29" t="s">
        <v>4</v>
      </c>
      <c r="D21" s="30">
        <v>0.4280742361111111</v>
      </c>
      <c r="E21" s="30">
        <v>0.4514648726851852</v>
      </c>
      <c r="F21" s="30">
        <v>0.4514995949074074</v>
      </c>
      <c r="G21" s="30">
        <v>0.4539417245370371</v>
      </c>
      <c r="H21" s="35">
        <f t="shared" si="1"/>
        <v>33.68251667</v>
      </c>
      <c r="I21" s="35">
        <f t="shared" si="2"/>
        <v>3.516666667</v>
      </c>
      <c r="J21" s="39">
        <f t="shared" si="3"/>
        <v>10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15.75" customHeight="1">
      <c r="A22" s="22">
        <v>20.0</v>
      </c>
      <c r="B22" s="24">
        <v>46258.0</v>
      </c>
      <c r="C22" s="29" t="s">
        <v>4</v>
      </c>
      <c r="D22" s="30">
        <v>0.4482167013888889</v>
      </c>
      <c r="E22" s="30">
        <v>0.4685482060185185</v>
      </c>
      <c r="F22" s="30">
        <v>0.4685597800925926</v>
      </c>
      <c r="G22" s="30">
        <v>0.4693583912037037</v>
      </c>
      <c r="H22" s="35">
        <f t="shared" si="1"/>
        <v>29.27736667</v>
      </c>
      <c r="I22" s="35">
        <f t="shared" si="2"/>
        <v>1.15</v>
      </c>
      <c r="J22" s="39">
        <f t="shared" si="3"/>
        <v>10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15.75" customHeight="1">
      <c r="A23" s="22">
        <v>21.0</v>
      </c>
      <c r="B23" s="24">
        <v>46258.0</v>
      </c>
      <c r="C23" s="29" t="s">
        <v>4</v>
      </c>
      <c r="D23" s="30">
        <v>0.4490237268518519</v>
      </c>
      <c r="E23" s="30">
        <v>0.4693805902777778</v>
      </c>
      <c r="F23" s="30">
        <v>0.4693921643518519</v>
      </c>
      <c r="G23" s="30">
        <v>0.4710009606481482</v>
      </c>
      <c r="H23" s="35">
        <f t="shared" si="1"/>
        <v>29.31388333</v>
      </c>
      <c r="I23" s="35">
        <f t="shared" si="2"/>
        <v>2.316666667</v>
      </c>
      <c r="J23" s="39">
        <f t="shared" si="3"/>
        <v>10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15.75" customHeight="1">
      <c r="A24" s="22">
        <v>22.0</v>
      </c>
      <c r="B24" s="24">
        <v>46258.0</v>
      </c>
      <c r="C24" s="29" t="s">
        <v>4</v>
      </c>
      <c r="D24" s="30">
        <v>0.4547471990740741</v>
      </c>
      <c r="E24" s="30">
        <v>0.4764041435185185</v>
      </c>
      <c r="F24" s="30">
        <v>0.4764388657407407</v>
      </c>
      <c r="G24" s="30">
        <v>0.4780013657407408</v>
      </c>
      <c r="H24" s="35">
        <f t="shared" si="1"/>
        <v>31.186</v>
      </c>
      <c r="I24" s="35">
        <f t="shared" si="2"/>
        <v>2.25</v>
      </c>
      <c r="J24" s="39">
        <f t="shared" si="3"/>
        <v>10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15.75" customHeight="1">
      <c r="A25" s="22">
        <v>23.0</v>
      </c>
      <c r="B25" s="24">
        <v>46258.0</v>
      </c>
      <c r="C25" s="29" t="s">
        <v>4</v>
      </c>
      <c r="D25" s="30">
        <v>0.4719216666666667</v>
      </c>
      <c r="E25" s="30">
        <v>0.4852814583333333</v>
      </c>
      <c r="F25" s="30">
        <v>0.4853161805555555</v>
      </c>
      <c r="G25" s="30">
        <v>0.4873300694444445</v>
      </c>
      <c r="H25" s="35">
        <f t="shared" si="1"/>
        <v>19.2381</v>
      </c>
      <c r="I25" s="35">
        <f t="shared" si="2"/>
        <v>2.9</v>
      </c>
      <c r="J25" s="39">
        <f t="shared" si="3"/>
        <v>11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15.75" customHeight="1">
      <c r="A26" s="22">
        <v>24.0</v>
      </c>
      <c r="B26" s="24">
        <v>46258.0</v>
      </c>
      <c r="C26" s="29" t="s">
        <v>4</v>
      </c>
      <c r="D26" s="30">
        <v>0.4751316319444445</v>
      </c>
      <c r="E26" s="30">
        <v>0.4873300694444445</v>
      </c>
      <c r="F26" s="30">
        <v>0.4873763657407407</v>
      </c>
      <c r="G26" s="30">
        <v>0.4877583101851852</v>
      </c>
      <c r="H26" s="35">
        <f t="shared" si="1"/>
        <v>17.56575</v>
      </c>
      <c r="I26" s="35">
        <f t="shared" si="2"/>
        <v>0.55</v>
      </c>
      <c r="J26" s="39">
        <f t="shared" si="3"/>
        <v>11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ht="15.75" customHeight="1">
      <c r="A27" s="22">
        <v>25.0</v>
      </c>
      <c r="B27" s="24">
        <v>46258.0</v>
      </c>
      <c r="C27" s="29" t="s">
        <v>4</v>
      </c>
      <c r="D27" s="30">
        <v>0.4837125462962963</v>
      </c>
      <c r="E27" s="30">
        <v>0.4928313194444444</v>
      </c>
      <c r="F27" s="30">
        <v>0.4928428935185185</v>
      </c>
      <c r="G27" s="30">
        <v>0.4941623379629629</v>
      </c>
      <c r="H27" s="35">
        <f t="shared" si="1"/>
        <v>13.13103333</v>
      </c>
      <c r="I27" s="35">
        <f t="shared" si="2"/>
        <v>1.9</v>
      </c>
      <c r="J27" s="39">
        <f t="shared" si="3"/>
        <v>11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5.75" customHeight="1">
      <c r="A28" s="22">
        <v>26.0</v>
      </c>
      <c r="B28" s="24">
        <v>46258.0</v>
      </c>
      <c r="C28" s="29" t="s">
        <v>4</v>
      </c>
      <c r="D28" s="30">
        <v>0.503775636574074</v>
      </c>
      <c r="E28" s="30">
        <v>0.503775636574074</v>
      </c>
      <c r="F28" s="30">
        <v>0.5038103587962962</v>
      </c>
      <c r="G28" s="30">
        <v>0.5065765624999999</v>
      </c>
      <c r="H28" s="35">
        <f t="shared" si="1"/>
        <v>0</v>
      </c>
      <c r="I28" s="35">
        <f t="shared" si="2"/>
        <v>3.983333333</v>
      </c>
      <c r="J28" s="39">
        <f t="shared" si="3"/>
        <v>12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15.75" customHeight="1">
      <c r="A29" s="22">
        <v>27.0</v>
      </c>
      <c r="B29" s="24">
        <v>46258.0</v>
      </c>
      <c r="C29" s="29" t="s">
        <v>4</v>
      </c>
      <c r="D29" s="30">
        <v>0.5369152893518518</v>
      </c>
      <c r="E29" s="30">
        <v>0.5369152893518518</v>
      </c>
      <c r="F29" s="30">
        <v>0.5369268634259259</v>
      </c>
      <c r="G29" s="30">
        <v>0.5386166782407408</v>
      </c>
      <c r="H29" s="35">
        <f t="shared" si="1"/>
        <v>0</v>
      </c>
      <c r="I29" s="35">
        <f t="shared" si="2"/>
        <v>2.433333333</v>
      </c>
      <c r="J29" s="39">
        <f t="shared" si="3"/>
        <v>12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22">
        <v>28.0</v>
      </c>
      <c r="B30" s="24">
        <v>46258.0</v>
      </c>
      <c r="C30" s="29" t="s">
        <v>4</v>
      </c>
      <c r="D30" s="30">
        <v>0.5399139583333333</v>
      </c>
      <c r="E30" s="30">
        <v>0.5405611226851852</v>
      </c>
      <c r="F30" s="30">
        <v>0.5406074189814815</v>
      </c>
      <c r="G30" s="30">
        <v>0.5417648263888889</v>
      </c>
      <c r="H30" s="35">
        <f t="shared" si="1"/>
        <v>0.9319166667</v>
      </c>
      <c r="I30" s="35">
        <f t="shared" si="2"/>
        <v>1.666666667</v>
      </c>
      <c r="J30" s="39">
        <f t="shared" si="3"/>
        <v>12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ht="15.75" customHeight="1">
      <c r="A31" s="22">
        <v>29.0</v>
      </c>
      <c r="B31" s="24">
        <v>46258.0</v>
      </c>
      <c r="C31" s="29" t="s">
        <v>4</v>
      </c>
      <c r="D31" s="30">
        <v>0.5535555787037036</v>
      </c>
      <c r="E31" s="30">
        <v>0.5535555787037036</v>
      </c>
      <c r="F31" s="30">
        <v>0.553601875</v>
      </c>
      <c r="G31" s="30">
        <v>0.5547708564814815</v>
      </c>
      <c r="H31" s="35">
        <f t="shared" si="1"/>
        <v>0</v>
      </c>
      <c r="I31" s="35">
        <f t="shared" si="2"/>
        <v>1.683333333</v>
      </c>
      <c r="J31" s="39">
        <f t="shared" si="3"/>
        <v>13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15.75" customHeight="1">
      <c r="A32" s="22">
        <v>30.0</v>
      </c>
      <c r="B32" s="24">
        <v>46258.0</v>
      </c>
      <c r="C32" s="29" t="s">
        <v>4</v>
      </c>
      <c r="D32" s="30">
        <v>0.554669513888889</v>
      </c>
      <c r="E32" s="30">
        <v>0.554669513888889</v>
      </c>
      <c r="F32" s="30">
        <v>0.5547158101851852</v>
      </c>
      <c r="G32" s="30">
        <v>0.557493587962963</v>
      </c>
      <c r="H32" s="35">
        <f t="shared" si="1"/>
        <v>0</v>
      </c>
      <c r="I32" s="35">
        <f t="shared" si="2"/>
        <v>4</v>
      </c>
      <c r="J32" s="39">
        <f t="shared" si="3"/>
        <v>13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15.75" customHeight="1">
      <c r="A33" s="22">
        <v>31.0</v>
      </c>
      <c r="B33" s="24">
        <v>46258.0</v>
      </c>
      <c r="C33" s="29" t="s">
        <v>4</v>
      </c>
      <c r="D33" s="30">
        <v>0.5584469560185186</v>
      </c>
      <c r="E33" s="30">
        <v>0.5612320138888889</v>
      </c>
      <c r="F33" s="30">
        <v>0.5612551620370371</v>
      </c>
      <c r="G33" s="30">
        <v>0.5648778472222222</v>
      </c>
      <c r="H33" s="35">
        <f t="shared" si="1"/>
        <v>4.010483333</v>
      </c>
      <c r="I33" s="35">
        <f t="shared" si="2"/>
        <v>5.216666667</v>
      </c>
      <c r="J33" s="39">
        <f t="shared" si="3"/>
        <v>13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15.75" customHeight="1">
      <c r="A34" s="22">
        <v>32.0</v>
      </c>
      <c r="B34" s="24">
        <v>46258.0</v>
      </c>
      <c r="C34" s="29" t="s">
        <v>4</v>
      </c>
      <c r="D34" s="30">
        <v>0.5903803935185186</v>
      </c>
      <c r="E34" s="30">
        <v>0.5903803935185186</v>
      </c>
      <c r="F34" s="30">
        <v>0.5904266898148148</v>
      </c>
      <c r="G34" s="30">
        <v>0.5943850231481481</v>
      </c>
      <c r="H34" s="35">
        <f t="shared" si="1"/>
        <v>0</v>
      </c>
      <c r="I34" s="35">
        <f t="shared" si="2"/>
        <v>5.7</v>
      </c>
      <c r="J34" s="39">
        <f t="shared" si="3"/>
        <v>14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15.75" customHeight="1">
      <c r="A35" s="22">
        <v>33.0</v>
      </c>
      <c r="B35" s="24">
        <v>46258.0</v>
      </c>
      <c r="C35" s="29" t="s">
        <v>4</v>
      </c>
      <c r="D35" s="30">
        <v>0.6103630787037038</v>
      </c>
      <c r="E35" s="30">
        <v>0.6103630787037038</v>
      </c>
      <c r="F35" s="30">
        <v>0.6103862268518518</v>
      </c>
      <c r="G35" s="30">
        <v>0.6131640046296296</v>
      </c>
      <c r="H35" s="35">
        <f t="shared" si="1"/>
        <v>0</v>
      </c>
      <c r="I35" s="35">
        <f t="shared" si="2"/>
        <v>4</v>
      </c>
      <c r="J35" s="39">
        <f t="shared" si="3"/>
        <v>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15.75" customHeight="1">
      <c r="A36" s="22">
        <v>34.0</v>
      </c>
      <c r="B36" s="24">
        <v>46258.0</v>
      </c>
      <c r="C36" s="29" t="s">
        <v>4</v>
      </c>
      <c r="D36" s="30">
        <v>0.6154331944444444</v>
      </c>
      <c r="E36" s="30">
        <v>0.6158058217592592</v>
      </c>
      <c r="F36" s="30">
        <v>0.6158289699074074</v>
      </c>
      <c r="G36" s="30">
        <v>0.6171715625</v>
      </c>
      <c r="H36" s="35">
        <f t="shared" si="1"/>
        <v>0.5365833333</v>
      </c>
      <c r="I36" s="35">
        <f t="shared" si="2"/>
        <v>1.933333333</v>
      </c>
      <c r="J36" s="39">
        <f t="shared" si="3"/>
        <v>14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5.75" customHeight="1">
      <c r="A37" s="22">
        <v>35.0</v>
      </c>
      <c r="B37" s="24">
        <v>46258.0</v>
      </c>
      <c r="C37" s="29" t="s">
        <v>4</v>
      </c>
      <c r="D37" s="30">
        <v>0.6162322916666667</v>
      </c>
      <c r="E37" s="30">
        <v>0.6179701736111111</v>
      </c>
      <c r="F37" s="30">
        <v>0.6180048958333333</v>
      </c>
      <c r="G37" s="30">
        <v>0.6208289699074074</v>
      </c>
      <c r="H37" s="35">
        <f t="shared" si="1"/>
        <v>2.50255</v>
      </c>
      <c r="I37" s="35">
        <f t="shared" si="2"/>
        <v>4.066666667</v>
      </c>
      <c r="J37" s="39">
        <f t="shared" si="3"/>
        <v>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15.75" customHeight="1">
      <c r="A38" s="22">
        <v>36.0</v>
      </c>
      <c r="B38" s="24">
        <v>46258.0</v>
      </c>
      <c r="C38" s="29" t="s">
        <v>4</v>
      </c>
      <c r="D38" s="30">
        <v>0.6364292708333333</v>
      </c>
      <c r="E38" s="30">
        <v>0.6364292708333333</v>
      </c>
      <c r="F38" s="30">
        <v>0.6364639930555556</v>
      </c>
      <c r="G38" s="30">
        <v>0.6386399189814815</v>
      </c>
      <c r="H38" s="35">
        <f t="shared" si="1"/>
        <v>0</v>
      </c>
      <c r="I38" s="35">
        <f t="shared" si="2"/>
        <v>3.133333333</v>
      </c>
      <c r="J38" s="39">
        <f t="shared" si="3"/>
        <v>15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ht="15.75" customHeight="1">
      <c r="A39" s="22">
        <v>37.0</v>
      </c>
      <c r="B39" s="24">
        <v>46258.0</v>
      </c>
      <c r="C39" s="29" t="s">
        <v>4</v>
      </c>
      <c r="D39" s="30">
        <v>0.6421426504629629</v>
      </c>
      <c r="E39" s="30">
        <v>0.6421426504629629</v>
      </c>
      <c r="F39" s="30">
        <v>0.6421657986111111</v>
      </c>
      <c r="G39" s="30">
        <v>0.6445384837962963</v>
      </c>
      <c r="H39" s="35">
        <f t="shared" si="1"/>
        <v>0</v>
      </c>
      <c r="I39" s="35">
        <f t="shared" si="2"/>
        <v>3.416666667</v>
      </c>
      <c r="J39" s="39">
        <f t="shared" si="3"/>
        <v>15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15.75" customHeight="1">
      <c r="A40" s="22">
        <v>38.0</v>
      </c>
      <c r="B40" s="24">
        <v>46258.0</v>
      </c>
      <c r="C40" s="29" t="s">
        <v>4</v>
      </c>
      <c r="D40" s="30">
        <v>0.6580721296296297</v>
      </c>
      <c r="E40" s="30">
        <v>0.6580721296296297</v>
      </c>
      <c r="F40" s="30">
        <v>0.6581068518518519</v>
      </c>
      <c r="G40" s="30">
        <v>0.6589170370370371</v>
      </c>
      <c r="H40" s="35">
        <f t="shared" si="1"/>
        <v>0</v>
      </c>
      <c r="I40" s="35">
        <f t="shared" si="2"/>
        <v>1.166666667</v>
      </c>
      <c r="J40" s="39">
        <f t="shared" si="3"/>
        <v>15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ht="15.75" customHeight="1">
      <c r="A41" s="22">
        <v>39.0</v>
      </c>
      <c r="B41" s="24">
        <v>46258.0</v>
      </c>
      <c r="C41" s="29" t="s">
        <v>4</v>
      </c>
      <c r="D41" s="30">
        <v>0.6611762962962963</v>
      </c>
      <c r="E41" s="30">
        <v>0.6611762962962963</v>
      </c>
      <c r="F41" s="30">
        <v>0.6612225925925925</v>
      </c>
      <c r="G41" s="30">
        <v>0.6624378703703704</v>
      </c>
      <c r="H41" s="35">
        <f t="shared" si="1"/>
        <v>0</v>
      </c>
      <c r="I41" s="35">
        <f t="shared" si="2"/>
        <v>1.75</v>
      </c>
      <c r="J41" s="39">
        <f t="shared" si="3"/>
        <v>15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15.75" customHeight="1">
      <c r="A42" s="22">
        <v>40.0</v>
      </c>
      <c r="B42" s="24">
        <v>46258.0</v>
      </c>
      <c r="C42" s="29" t="s">
        <v>39</v>
      </c>
      <c r="D42" s="30">
        <v>0.673408287037037</v>
      </c>
      <c r="E42" s="30">
        <v>0.673408287037037</v>
      </c>
      <c r="F42" s="30">
        <v>0.6734430092592593</v>
      </c>
      <c r="G42" s="30">
        <v>0.6742647685185186</v>
      </c>
      <c r="H42" s="35">
        <f t="shared" si="1"/>
        <v>0</v>
      </c>
      <c r="I42" s="35">
        <f t="shared" si="2"/>
        <v>1.183333333</v>
      </c>
      <c r="J42" s="39">
        <f t="shared" si="3"/>
        <v>16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15.75" customHeight="1">
      <c r="A43" s="22">
        <v>41.0</v>
      </c>
      <c r="B43" s="24">
        <v>46258.0</v>
      </c>
      <c r="C43" s="29" t="s">
        <v>4</v>
      </c>
      <c r="D43" s="30">
        <v>0.696637511574074</v>
      </c>
      <c r="E43" s="30">
        <v>0.6971493865740741</v>
      </c>
      <c r="F43" s="30">
        <v>0.6971609606481481</v>
      </c>
      <c r="G43" s="30">
        <v>0.6982142013888889</v>
      </c>
      <c r="H43" s="35">
        <f t="shared" si="1"/>
        <v>0.7371</v>
      </c>
      <c r="I43" s="35">
        <f t="shared" si="2"/>
        <v>1.516666667</v>
      </c>
      <c r="J43" s="39">
        <f t="shared" si="3"/>
        <v>16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customHeight="1">
      <c r="A44" s="22">
        <v>42.0</v>
      </c>
      <c r="B44" s="24">
        <v>46258.0</v>
      </c>
      <c r="C44" s="29" t="s">
        <v>4</v>
      </c>
      <c r="D44" s="30">
        <v>0.7058423148148147</v>
      </c>
      <c r="E44" s="30">
        <v>0.7058423148148147</v>
      </c>
      <c r="F44" s="30">
        <v>0.7058886111111111</v>
      </c>
      <c r="G44" s="30">
        <v>0.7062705555555555</v>
      </c>
      <c r="H44" s="35">
        <f t="shared" si="1"/>
        <v>0</v>
      </c>
      <c r="I44" s="35">
        <f t="shared" si="2"/>
        <v>0.55</v>
      </c>
      <c r="J44" s="39">
        <f t="shared" si="3"/>
        <v>16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15.75" customHeight="1">
      <c r="A45" s="22">
        <v>43.0</v>
      </c>
      <c r="B45" s="24">
        <v>46259.0</v>
      </c>
      <c r="C45" s="29" t="s">
        <v>4</v>
      </c>
      <c r="D45" s="30">
        <v>0.2969880902777778</v>
      </c>
      <c r="E45" s="30">
        <v>0.2982773958333333</v>
      </c>
      <c r="F45" s="30">
        <v>0.2982889699074074</v>
      </c>
      <c r="G45" s="30">
        <v>0.3000482291666667</v>
      </c>
      <c r="H45" s="35">
        <f t="shared" si="1"/>
        <v>1.8566</v>
      </c>
      <c r="I45" s="35">
        <f t="shared" si="2"/>
        <v>2.533333333</v>
      </c>
      <c r="J45" s="39">
        <f t="shared" si="3"/>
        <v>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customHeight="1">
      <c r="A46" s="22">
        <v>44.0</v>
      </c>
      <c r="B46" s="24">
        <v>46259.0</v>
      </c>
      <c r="C46" s="29" t="s">
        <v>4</v>
      </c>
      <c r="D46" s="30">
        <v>0.308765150462963</v>
      </c>
      <c r="E46" s="30">
        <v>0.3122465856481482</v>
      </c>
      <c r="F46" s="30">
        <v>0.3122813078703703</v>
      </c>
      <c r="G46" s="30">
        <v>0.3143993634259259</v>
      </c>
      <c r="H46" s="35">
        <f t="shared" si="1"/>
        <v>5.013266667</v>
      </c>
      <c r="I46" s="35">
        <f t="shared" si="2"/>
        <v>3.05</v>
      </c>
      <c r="J46" s="39">
        <f t="shared" si="3"/>
        <v>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15.75" customHeight="1">
      <c r="A47" s="22">
        <v>45.0</v>
      </c>
      <c r="B47" s="24">
        <v>46259.0</v>
      </c>
      <c r="C47" s="29" t="s">
        <v>4</v>
      </c>
      <c r="D47" s="30">
        <v>0.3125036342592593</v>
      </c>
      <c r="E47" s="30">
        <v>0.3193246064814815</v>
      </c>
      <c r="F47" s="30">
        <v>0.3193593287037037</v>
      </c>
      <c r="G47" s="30">
        <v>0.3203546990740741</v>
      </c>
      <c r="H47" s="35">
        <f t="shared" si="1"/>
        <v>9.8222</v>
      </c>
      <c r="I47" s="35">
        <f t="shared" si="2"/>
        <v>1.433333333</v>
      </c>
      <c r="J47" s="39">
        <f t="shared" si="3"/>
        <v>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customHeight="1">
      <c r="A48" s="22">
        <v>46.0</v>
      </c>
      <c r="B48" s="24">
        <v>46259.0</v>
      </c>
      <c r="C48" s="29" t="s">
        <v>4</v>
      </c>
      <c r="D48" s="30">
        <v>0.3132753240740741</v>
      </c>
      <c r="E48" s="30">
        <v>0.3198391782407408</v>
      </c>
      <c r="F48" s="30">
        <v>0.3198623263888889</v>
      </c>
      <c r="G48" s="30">
        <v>0.3220151041666667</v>
      </c>
      <c r="H48" s="35">
        <f t="shared" si="1"/>
        <v>9.45195</v>
      </c>
      <c r="I48" s="35">
        <f t="shared" si="2"/>
        <v>3.1</v>
      </c>
      <c r="J48" s="39">
        <f t="shared" si="3"/>
        <v>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15.75" customHeight="1">
      <c r="A49" s="22">
        <v>47.0</v>
      </c>
      <c r="B49" s="24">
        <v>46259.0</v>
      </c>
      <c r="C49" s="29" t="s">
        <v>4</v>
      </c>
      <c r="D49" s="30">
        <v>0.3195997222222222</v>
      </c>
      <c r="E49" s="30">
        <v>0.3244171990740741</v>
      </c>
      <c r="F49" s="30">
        <v>0.3244634953703704</v>
      </c>
      <c r="G49" s="30">
        <v>0.3263847916666667</v>
      </c>
      <c r="H49" s="35">
        <f t="shared" si="1"/>
        <v>6.937166667</v>
      </c>
      <c r="I49" s="35">
        <f t="shared" si="2"/>
        <v>2.766666667</v>
      </c>
      <c r="J49" s="39">
        <f t="shared" si="3"/>
        <v>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customHeight="1">
      <c r="A50" s="22">
        <v>48.0</v>
      </c>
      <c r="B50" s="24">
        <v>46259.0</v>
      </c>
      <c r="C50" s="29" t="s">
        <v>4</v>
      </c>
      <c r="D50" s="30">
        <v>0.3281983680555556</v>
      </c>
      <c r="E50" s="30">
        <v>0.3354989004629629</v>
      </c>
      <c r="F50" s="30">
        <v>0.3355451967592593</v>
      </c>
      <c r="G50" s="30">
        <v>0.3364132523148148</v>
      </c>
      <c r="H50" s="35">
        <f t="shared" si="1"/>
        <v>10.51276667</v>
      </c>
      <c r="I50" s="35">
        <f t="shared" si="2"/>
        <v>1.25</v>
      </c>
      <c r="J50" s="39">
        <f t="shared" si="3"/>
        <v>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15.75" customHeight="1">
      <c r="A51" s="22">
        <v>49.0</v>
      </c>
      <c r="B51" s="24">
        <v>46259.0</v>
      </c>
      <c r="C51" s="29" t="s">
        <v>4</v>
      </c>
      <c r="D51" s="30">
        <v>0.3369073032407408</v>
      </c>
      <c r="E51" s="30">
        <v>0.3470498263888889</v>
      </c>
      <c r="F51" s="30">
        <v>0.347072974537037</v>
      </c>
      <c r="G51" s="30">
        <v>0.3491678819444444</v>
      </c>
      <c r="H51" s="35">
        <f t="shared" si="1"/>
        <v>14.60523333</v>
      </c>
      <c r="I51" s="35">
        <f t="shared" si="2"/>
        <v>3.016666667</v>
      </c>
      <c r="J51" s="39">
        <f t="shared" si="3"/>
        <v>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A52" s="22">
        <v>50.0</v>
      </c>
      <c r="B52" s="24">
        <v>46259.0</v>
      </c>
      <c r="C52" s="29" t="s">
        <v>4</v>
      </c>
      <c r="D52" s="30">
        <v>0.3444365162037037</v>
      </c>
      <c r="E52" s="30">
        <v>0.3557773958333333</v>
      </c>
      <c r="F52" s="30">
        <v>0.3557889699074074</v>
      </c>
      <c r="G52" s="30">
        <v>0.3586361921296297</v>
      </c>
      <c r="H52" s="35">
        <f t="shared" si="1"/>
        <v>16.33086667</v>
      </c>
      <c r="I52" s="35">
        <f t="shared" si="2"/>
        <v>4.1</v>
      </c>
      <c r="J52" s="39">
        <f t="shared" si="3"/>
        <v>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customHeight="1">
      <c r="A53" s="22">
        <v>51.0</v>
      </c>
      <c r="B53" s="24">
        <v>46259.0</v>
      </c>
      <c r="C53" s="29" t="s">
        <v>4</v>
      </c>
      <c r="D53" s="30">
        <v>0.344598761574074</v>
      </c>
      <c r="E53" s="30">
        <v>0.3582708333333333</v>
      </c>
      <c r="F53" s="30">
        <v>0.3583171296296296</v>
      </c>
      <c r="G53" s="30">
        <v>0.3628541666666666</v>
      </c>
      <c r="H53" s="35">
        <f t="shared" si="1"/>
        <v>19.68778333</v>
      </c>
      <c r="I53" s="35">
        <f t="shared" si="2"/>
        <v>6.533333333</v>
      </c>
      <c r="J53" s="39">
        <f t="shared" si="3"/>
        <v>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customHeight="1">
      <c r="A54" s="22">
        <v>52.0</v>
      </c>
      <c r="B54" s="24">
        <v>46259.0</v>
      </c>
      <c r="C54" s="29" t="s">
        <v>4</v>
      </c>
      <c r="D54" s="30">
        <v>0.3471418171296296</v>
      </c>
      <c r="E54" s="30">
        <v>0.362686400462963</v>
      </c>
      <c r="F54" s="30">
        <v>0.3627211226851852</v>
      </c>
      <c r="G54" s="30">
        <v>0.3645266782407408</v>
      </c>
      <c r="H54" s="35">
        <f t="shared" si="1"/>
        <v>22.3842</v>
      </c>
      <c r="I54" s="35">
        <f t="shared" si="2"/>
        <v>2.6</v>
      </c>
      <c r="J54" s="39">
        <f t="shared" si="3"/>
        <v>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customHeight="1">
      <c r="A55" s="22">
        <v>53.0</v>
      </c>
      <c r="B55" s="24">
        <v>46259.0</v>
      </c>
      <c r="C55" s="29" t="s">
        <v>4</v>
      </c>
      <c r="D55" s="30">
        <v>0.3535</v>
      </c>
      <c r="E55" s="30">
        <v>0.3728491550925926</v>
      </c>
      <c r="F55" s="30">
        <v>0.3728607291666667</v>
      </c>
      <c r="G55" s="30">
        <v>0.3734625810185185</v>
      </c>
      <c r="H55" s="35">
        <f t="shared" si="1"/>
        <v>27.86278333</v>
      </c>
      <c r="I55" s="35">
        <f t="shared" si="2"/>
        <v>0.8666666667</v>
      </c>
      <c r="J55" s="39">
        <f t="shared" si="3"/>
        <v>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customHeight="1">
      <c r="A56" s="22">
        <v>54.0</v>
      </c>
      <c r="B56" s="24">
        <v>46259.0</v>
      </c>
      <c r="C56" s="29" t="s">
        <v>4</v>
      </c>
      <c r="D56" s="30">
        <v>0.361606724537037</v>
      </c>
      <c r="E56" s="30">
        <v>0.3832824074074074</v>
      </c>
      <c r="F56" s="30">
        <v>0.3833287037037037</v>
      </c>
      <c r="G56" s="30">
        <v>0.3865578703703704</v>
      </c>
      <c r="H56" s="35">
        <f t="shared" si="1"/>
        <v>31.21298333</v>
      </c>
      <c r="I56" s="35">
        <f t="shared" si="2"/>
        <v>4.65</v>
      </c>
      <c r="J56" s="39">
        <f t="shared" si="3"/>
        <v>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customHeight="1">
      <c r="A57" s="22">
        <v>55.0</v>
      </c>
      <c r="B57" s="24">
        <v>46259.0</v>
      </c>
      <c r="C57" s="29" t="s">
        <v>4</v>
      </c>
      <c r="D57" s="30">
        <v>0.3805078125</v>
      </c>
      <c r="E57" s="30">
        <v>0.4058287037037037</v>
      </c>
      <c r="F57" s="30">
        <v>0.4058634259259259</v>
      </c>
      <c r="G57" s="30">
        <v>0.4087222222222222</v>
      </c>
      <c r="H57" s="35">
        <f t="shared" si="1"/>
        <v>36.46208333</v>
      </c>
      <c r="I57" s="35">
        <f t="shared" si="2"/>
        <v>4.116666667</v>
      </c>
      <c r="J57" s="39">
        <f t="shared" si="3"/>
        <v>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customHeight="1">
      <c r="A58" s="22">
        <v>56.0</v>
      </c>
      <c r="B58" s="24">
        <v>46259.0</v>
      </c>
      <c r="C58" s="29" t="s">
        <v>4</v>
      </c>
      <c r="D58" s="30">
        <v>0.3989160532407408</v>
      </c>
      <c r="E58" s="30">
        <v>0.4261412037037037</v>
      </c>
      <c r="F58" s="30">
        <v>0.4261527777777778</v>
      </c>
      <c r="G58" s="30">
        <v>0.4271944444444444</v>
      </c>
      <c r="H58" s="35">
        <f t="shared" si="1"/>
        <v>39.20421667</v>
      </c>
      <c r="I58" s="35">
        <f t="shared" si="2"/>
        <v>1.5</v>
      </c>
      <c r="J58" s="39">
        <f t="shared" si="3"/>
        <v>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customHeight="1">
      <c r="A59" s="22">
        <v>57.0</v>
      </c>
      <c r="B59" s="24">
        <v>46259.0</v>
      </c>
      <c r="C59" s="29" t="s">
        <v>39</v>
      </c>
      <c r="D59" s="30">
        <v>0.4024813310185186</v>
      </c>
      <c r="E59" s="30">
        <v>0.4032713657407407</v>
      </c>
      <c r="F59" s="30">
        <v>0.4033176620370371</v>
      </c>
      <c r="G59" s="30">
        <v>0.4053662731481482</v>
      </c>
      <c r="H59" s="35">
        <f t="shared" si="1"/>
        <v>1.13765</v>
      </c>
      <c r="I59" s="35">
        <f t="shared" si="2"/>
        <v>2.95</v>
      </c>
      <c r="J59" s="39">
        <f t="shared" si="3"/>
        <v>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customHeight="1">
      <c r="A60" s="22">
        <v>58.0</v>
      </c>
      <c r="B60" s="24">
        <v>46259.0</v>
      </c>
      <c r="C60" s="29" t="s">
        <v>4</v>
      </c>
      <c r="D60" s="30">
        <v>0.4069977546296296</v>
      </c>
      <c r="E60" s="30">
        <v>0.4325706597222223</v>
      </c>
      <c r="F60" s="30">
        <v>0.4325822337962963</v>
      </c>
      <c r="G60" s="30">
        <v>0.4347928819444445</v>
      </c>
      <c r="H60" s="35">
        <f t="shared" si="1"/>
        <v>36.82498333</v>
      </c>
      <c r="I60" s="35">
        <f t="shared" si="2"/>
        <v>3.183333333</v>
      </c>
      <c r="J60" s="39">
        <f t="shared" si="3"/>
        <v>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customHeight="1">
      <c r="A61" s="22">
        <v>59.0</v>
      </c>
      <c r="B61" s="24">
        <v>46259.0</v>
      </c>
      <c r="C61" s="29" t="s">
        <v>4</v>
      </c>
      <c r="D61" s="30">
        <v>0.4100040740740741</v>
      </c>
      <c r="E61" s="30">
        <v>0.4358634259259259</v>
      </c>
      <c r="F61" s="30">
        <v>0.4358865740740741</v>
      </c>
      <c r="G61" s="30">
        <v>0.4388611111111111</v>
      </c>
      <c r="H61" s="35">
        <f t="shared" si="1"/>
        <v>37.23746667</v>
      </c>
      <c r="I61" s="35">
        <f t="shared" si="2"/>
        <v>4.283333333</v>
      </c>
      <c r="J61" s="39">
        <f t="shared" si="3"/>
        <v>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customHeight="1">
      <c r="A62" s="22">
        <v>60.0</v>
      </c>
      <c r="B62" s="24">
        <v>46259.0</v>
      </c>
      <c r="C62" s="29" t="s">
        <v>4</v>
      </c>
      <c r="D62" s="30">
        <v>0.4189055439814814</v>
      </c>
      <c r="E62" s="30">
        <v>0.4473861921296297</v>
      </c>
      <c r="F62" s="30">
        <v>0.4474209143518519</v>
      </c>
      <c r="G62" s="30">
        <v>0.4496894328703704</v>
      </c>
      <c r="H62" s="35">
        <f t="shared" si="1"/>
        <v>41.01213333</v>
      </c>
      <c r="I62" s="35">
        <f t="shared" si="2"/>
        <v>3.266666667</v>
      </c>
      <c r="J62" s="39">
        <f t="shared" si="3"/>
        <v>10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customHeight="1">
      <c r="A63" s="22">
        <v>61.0</v>
      </c>
      <c r="B63" s="24">
        <v>46259.0</v>
      </c>
      <c r="C63" s="29" t="s">
        <v>4</v>
      </c>
      <c r="D63" s="30">
        <v>0.4370663773148148</v>
      </c>
      <c r="E63" s="30">
        <v>0.4594634953703704</v>
      </c>
      <c r="F63" s="30">
        <v>0.4594750694444444</v>
      </c>
      <c r="G63" s="30">
        <v>0.4622296990740741</v>
      </c>
      <c r="H63" s="35">
        <f t="shared" si="1"/>
        <v>32.25185</v>
      </c>
      <c r="I63" s="35">
        <f t="shared" si="2"/>
        <v>3.966666667</v>
      </c>
      <c r="J63" s="39">
        <f t="shared" si="3"/>
        <v>10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22">
        <v>62.0</v>
      </c>
      <c r="B64" s="24">
        <v>46259.0</v>
      </c>
      <c r="C64" s="29" t="s">
        <v>4</v>
      </c>
      <c r="D64" s="30">
        <v>0.4412081134259259</v>
      </c>
      <c r="E64" s="30">
        <v>0.4608005439814815</v>
      </c>
      <c r="F64" s="30">
        <v>0.4608352662037037</v>
      </c>
      <c r="G64" s="30">
        <v>0.4627102662037037</v>
      </c>
      <c r="H64" s="35">
        <f t="shared" si="1"/>
        <v>28.2131</v>
      </c>
      <c r="I64" s="35">
        <f t="shared" si="2"/>
        <v>2.7</v>
      </c>
      <c r="J64" s="39">
        <f t="shared" si="3"/>
        <v>10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22">
        <v>63.0</v>
      </c>
      <c r="B65" s="24">
        <v>46259.0</v>
      </c>
      <c r="C65" s="29" t="s">
        <v>4</v>
      </c>
      <c r="D65" s="30">
        <v>0.44374625</v>
      </c>
      <c r="E65" s="30">
        <v>0.4640810185185185</v>
      </c>
      <c r="F65" s="30">
        <v>0.4641041666666667</v>
      </c>
      <c r="G65" s="30">
        <v>0.4659328703703703</v>
      </c>
      <c r="H65" s="35">
        <f t="shared" si="1"/>
        <v>29.28206667</v>
      </c>
      <c r="I65" s="35">
        <f t="shared" si="2"/>
        <v>2.633333333</v>
      </c>
      <c r="J65" s="39">
        <f t="shared" si="3"/>
        <v>10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22">
        <v>64.0</v>
      </c>
      <c r="B66" s="24">
        <v>46259.0</v>
      </c>
      <c r="C66" s="29" t="s">
        <v>4</v>
      </c>
      <c r="D66" s="30">
        <v>0.4477506481481482</v>
      </c>
      <c r="E66" s="30">
        <v>0.4673970486111111</v>
      </c>
      <c r="F66" s="30">
        <v>0.4674433449074075</v>
      </c>
      <c r="G66" s="30">
        <v>0.4699086226851852</v>
      </c>
      <c r="H66" s="35">
        <f t="shared" si="1"/>
        <v>28.29081667</v>
      </c>
      <c r="I66" s="35">
        <f t="shared" si="2"/>
        <v>3.55</v>
      </c>
      <c r="J66" s="39">
        <f t="shared" si="3"/>
        <v>10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22">
        <v>65.0</v>
      </c>
      <c r="B67" s="24">
        <v>46259.0</v>
      </c>
      <c r="C67" s="29" t="s">
        <v>4</v>
      </c>
      <c r="D67" s="30">
        <v>0.4597917592592593</v>
      </c>
      <c r="E67" s="30">
        <v>0.4785138888888888</v>
      </c>
      <c r="F67" s="30">
        <v>0.4785254629629629</v>
      </c>
      <c r="G67" s="30">
        <v>0.4807592592592592</v>
      </c>
      <c r="H67" s="35">
        <f t="shared" si="1"/>
        <v>26.95986667</v>
      </c>
      <c r="I67" s="35">
        <f t="shared" si="2"/>
        <v>3.216666667</v>
      </c>
      <c r="J67" s="39">
        <f t="shared" si="3"/>
        <v>11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22">
        <v>66.0</v>
      </c>
      <c r="B68" s="24">
        <v>46259.0</v>
      </c>
      <c r="C68" s="29" t="s">
        <v>4</v>
      </c>
      <c r="D68" s="30">
        <v>0.4638602662037037</v>
      </c>
      <c r="E68" s="30">
        <v>0.4823107175925926</v>
      </c>
      <c r="F68" s="30">
        <v>0.4823338657407408</v>
      </c>
      <c r="G68" s="30">
        <v>0.4841278472222222</v>
      </c>
      <c r="H68" s="35">
        <f t="shared" si="1"/>
        <v>26.56865</v>
      </c>
      <c r="I68" s="35">
        <f t="shared" si="2"/>
        <v>2.583333333</v>
      </c>
      <c r="J68" s="39">
        <f t="shared" si="3"/>
        <v>11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22">
        <v>67.0</v>
      </c>
      <c r="B69" s="24">
        <v>46259.0</v>
      </c>
      <c r="C69" s="29" t="s">
        <v>4</v>
      </c>
      <c r="D69" s="30">
        <v>0.4763992592592592</v>
      </c>
      <c r="E69" s="30">
        <v>0.4907773958333334</v>
      </c>
      <c r="F69" s="30">
        <v>0.4907889699074074</v>
      </c>
      <c r="G69" s="30">
        <v>0.4929417476851852</v>
      </c>
      <c r="H69" s="35">
        <f t="shared" si="1"/>
        <v>20.70451667</v>
      </c>
      <c r="I69" s="35">
        <f t="shared" si="2"/>
        <v>3.1</v>
      </c>
      <c r="J69" s="39">
        <f t="shared" si="3"/>
        <v>11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22">
        <v>68.0</v>
      </c>
      <c r="B70" s="24">
        <v>46259.0</v>
      </c>
      <c r="C70" s="29" t="s">
        <v>4</v>
      </c>
      <c r="D70" s="30">
        <v>0.4980976851851852</v>
      </c>
      <c r="E70" s="30">
        <v>0.5072234375</v>
      </c>
      <c r="F70" s="30">
        <v>0.5072697337962964</v>
      </c>
      <c r="G70" s="30">
        <v>0.509260474537037</v>
      </c>
      <c r="H70" s="35">
        <f t="shared" si="1"/>
        <v>13.14108333</v>
      </c>
      <c r="I70" s="35">
        <f t="shared" si="2"/>
        <v>2.866666667</v>
      </c>
      <c r="J70" s="39">
        <f t="shared" si="3"/>
        <v>11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22">
        <v>69.0</v>
      </c>
      <c r="B71" s="24">
        <v>46259.0</v>
      </c>
      <c r="C71" s="29" t="s">
        <v>4</v>
      </c>
      <c r="D71" s="30">
        <v>0.5044442708333333</v>
      </c>
      <c r="E71" s="30">
        <v>0.5141678819444445</v>
      </c>
      <c r="F71" s="30">
        <v>0.5141910300925926</v>
      </c>
      <c r="G71" s="30">
        <v>0.5169456597222223</v>
      </c>
      <c r="H71" s="35">
        <f t="shared" si="1"/>
        <v>14.002</v>
      </c>
      <c r="I71" s="35">
        <f t="shared" si="2"/>
        <v>3.966666667</v>
      </c>
      <c r="J71" s="39">
        <f t="shared" si="3"/>
        <v>12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22">
        <v>70.0</v>
      </c>
      <c r="B72" s="24">
        <v>46259.0</v>
      </c>
      <c r="C72" s="29" t="s">
        <v>4</v>
      </c>
      <c r="D72" s="30">
        <v>0.5257563425925925</v>
      </c>
      <c r="E72" s="30">
        <v>0.5285891782407408</v>
      </c>
      <c r="F72" s="30">
        <v>0.5286354745370371</v>
      </c>
      <c r="G72" s="30">
        <v>0.5295266782407407</v>
      </c>
      <c r="H72" s="35">
        <f t="shared" si="1"/>
        <v>4.079283333</v>
      </c>
      <c r="I72" s="35">
        <f t="shared" si="2"/>
        <v>1.283333333</v>
      </c>
      <c r="J72" s="39">
        <f t="shared" si="3"/>
        <v>12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22">
        <v>71.0</v>
      </c>
      <c r="B73" s="24">
        <v>46259.0</v>
      </c>
      <c r="C73" s="29" t="s">
        <v>4</v>
      </c>
      <c r="D73" s="30">
        <v>0.5445108101851851</v>
      </c>
      <c r="E73" s="30">
        <v>0.5445705671296296</v>
      </c>
      <c r="F73" s="30">
        <v>0.5445937152777778</v>
      </c>
      <c r="G73" s="30">
        <v>0.5455543634259259</v>
      </c>
      <c r="H73" s="35">
        <f t="shared" si="1"/>
        <v>0.08605</v>
      </c>
      <c r="I73" s="35">
        <f t="shared" si="2"/>
        <v>1.383333333</v>
      </c>
      <c r="J73" s="39">
        <f t="shared" si="3"/>
        <v>13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22">
        <v>72.0</v>
      </c>
      <c r="B74" s="24">
        <v>46259.0</v>
      </c>
      <c r="C74" s="29" t="s">
        <v>4</v>
      </c>
      <c r="D74" s="30">
        <v>0.5452945833333332</v>
      </c>
      <c r="E74" s="30">
        <v>0.5455543634259259</v>
      </c>
      <c r="F74" s="30">
        <v>0.5455775115740741</v>
      </c>
      <c r="G74" s="30">
        <v>0.5499293634259259</v>
      </c>
      <c r="H74" s="35">
        <f t="shared" si="1"/>
        <v>0.3740833333</v>
      </c>
      <c r="I74" s="35">
        <f t="shared" si="2"/>
        <v>6.266666667</v>
      </c>
      <c r="J74" s="39">
        <f t="shared" si="3"/>
        <v>13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22">
        <v>73.0</v>
      </c>
      <c r="B75" s="24">
        <v>46259.0</v>
      </c>
      <c r="C75" s="29" t="s">
        <v>4</v>
      </c>
      <c r="D75" s="30">
        <v>0.5661699884259259</v>
      </c>
      <c r="E75" s="30">
        <v>0.5661699884259259</v>
      </c>
      <c r="F75" s="30">
        <v>0.5662047106481481</v>
      </c>
      <c r="G75" s="30">
        <v>0.5688088773148148</v>
      </c>
      <c r="H75" s="35">
        <f t="shared" si="1"/>
        <v>0</v>
      </c>
      <c r="I75" s="35">
        <f t="shared" si="2"/>
        <v>3.75</v>
      </c>
      <c r="J75" s="39">
        <f t="shared" si="3"/>
        <v>13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22">
        <v>74.0</v>
      </c>
      <c r="B76" s="24">
        <v>46259.0</v>
      </c>
      <c r="C76" s="29" t="s">
        <v>4</v>
      </c>
      <c r="D76" s="30">
        <v>0.6148472453703704</v>
      </c>
      <c r="E76" s="30">
        <v>0.6159916319444445</v>
      </c>
      <c r="F76" s="30">
        <v>0.6160263541666667</v>
      </c>
      <c r="G76" s="30">
        <v>0.6176814467592593</v>
      </c>
      <c r="H76" s="35">
        <f t="shared" si="1"/>
        <v>1.647916667</v>
      </c>
      <c r="I76" s="35">
        <f t="shared" si="2"/>
        <v>2.383333333</v>
      </c>
      <c r="J76" s="39">
        <f t="shared" si="3"/>
        <v>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22">
        <v>75.0</v>
      </c>
      <c r="B77" s="24">
        <v>46259.0</v>
      </c>
      <c r="C77" s="29" t="s">
        <v>4</v>
      </c>
      <c r="D77" s="30">
        <v>0.6171775231481481</v>
      </c>
      <c r="E77" s="30">
        <v>0.6176048726851852</v>
      </c>
      <c r="F77" s="30">
        <v>0.6176164467592593</v>
      </c>
      <c r="G77" s="30">
        <v>0.6200238541666667</v>
      </c>
      <c r="H77" s="35">
        <f t="shared" si="1"/>
        <v>0.6153833333</v>
      </c>
      <c r="I77" s="35">
        <f t="shared" si="2"/>
        <v>3.466666667</v>
      </c>
      <c r="J77" s="39">
        <f t="shared" si="3"/>
        <v>14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22">
        <v>76.0</v>
      </c>
      <c r="B78" s="24">
        <v>46259.0</v>
      </c>
      <c r="C78" s="29" t="s">
        <v>4</v>
      </c>
      <c r="D78" s="30">
        <v>0.6183765625000001</v>
      </c>
      <c r="E78" s="30">
        <v>0.6183765625000001</v>
      </c>
      <c r="F78" s="30">
        <v>0.6183997106481481</v>
      </c>
      <c r="G78" s="30">
        <v>0.6205061921296297</v>
      </c>
      <c r="H78" s="35">
        <f t="shared" si="1"/>
        <v>0</v>
      </c>
      <c r="I78" s="35">
        <f t="shared" si="2"/>
        <v>3.033333333</v>
      </c>
      <c r="J78" s="39">
        <f t="shared" si="3"/>
        <v>14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22">
        <v>77.0</v>
      </c>
      <c r="B79" s="24">
        <v>46259.0</v>
      </c>
      <c r="C79" s="29" t="s">
        <v>4</v>
      </c>
      <c r="D79" s="30">
        <v>0.6213525462962963</v>
      </c>
      <c r="E79" s="30">
        <v>0.6213525462962963</v>
      </c>
      <c r="F79" s="30">
        <v>0.6213641203703704</v>
      </c>
      <c r="G79" s="30">
        <v>0.6217460648148149</v>
      </c>
      <c r="H79" s="35">
        <f t="shared" si="1"/>
        <v>0</v>
      </c>
      <c r="I79" s="35">
        <f t="shared" si="2"/>
        <v>0.55</v>
      </c>
      <c r="J79" s="39">
        <f t="shared" si="3"/>
        <v>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22">
        <v>78.0</v>
      </c>
      <c r="B80" s="24">
        <v>46259.0</v>
      </c>
      <c r="C80" s="29" t="s">
        <v>4</v>
      </c>
      <c r="D80" s="30">
        <v>0.6247896759259259</v>
      </c>
      <c r="E80" s="30">
        <v>0.6276546527777778</v>
      </c>
      <c r="F80" s="30">
        <v>0.6276662268518519</v>
      </c>
      <c r="G80" s="30">
        <v>0.6299000231481482</v>
      </c>
      <c r="H80" s="35">
        <f t="shared" si="1"/>
        <v>4.125566667</v>
      </c>
      <c r="I80" s="35">
        <f t="shared" si="2"/>
        <v>3.216666667</v>
      </c>
      <c r="J80" s="39">
        <f t="shared" si="3"/>
        <v>14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22">
        <v>79.0</v>
      </c>
      <c r="B81" s="24">
        <v>46259.0</v>
      </c>
      <c r="C81" s="29" t="s">
        <v>4</v>
      </c>
      <c r="D81" s="30">
        <v>0.6462936921296296</v>
      </c>
      <c r="E81" s="30">
        <v>0.6495774305555555</v>
      </c>
      <c r="F81" s="30">
        <v>0.6495890046296297</v>
      </c>
      <c r="G81" s="30">
        <v>0.6501908564814814</v>
      </c>
      <c r="H81" s="35">
        <f t="shared" si="1"/>
        <v>4.728583333</v>
      </c>
      <c r="I81" s="35">
        <f t="shared" si="2"/>
        <v>0.8666666667</v>
      </c>
      <c r="J81" s="39">
        <f t="shared" si="3"/>
        <v>15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22">
        <v>80.0</v>
      </c>
      <c r="B82" s="24">
        <v>46259.0</v>
      </c>
      <c r="C82" s="29" t="s">
        <v>4</v>
      </c>
      <c r="D82" s="30">
        <v>0.6538889699074074</v>
      </c>
      <c r="E82" s="30">
        <v>0.6541548495370371</v>
      </c>
      <c r="F82" s="30">
        <v>0.6541895717592593</v>
      </c>
      <c r="G82" s="30">
        <v>0.6546641087962963</v>
      </c>
      <c r="H82" s="35">
        <f t="shared" si="1"/>
        <v>0.3828666667</v>
      </c>
      <c r="I82" s="35">
        <f t="shared" si="2"/>
        <v>0.6833333333</v>
      </c>
      <c r="J82" s="39">
        <f t="shared" si="3"/>
        <v>15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customHeight="1">
      <c r="A83" s="22">
        <v>81.0</v>
      </c>
      <c r="B83" s="24">
        <v>46259.0</v>
      </c>
      <c r="C83" s="29" t="s">
        <v>4</v>
      </c>
      <c r="D83" s="30">
        <v>0.6547447222222222</v>
      </c>
      <c r="E83" s="30">
        <v>0.6547447222222222</v>
      </c>
      <c r="F83" s="30">
        <v>0.6547562962962963</v>
      </c>
      <c r="G83" s="30">
        <v>0.6560062962962964</v>
      </c>
      <c r="H83" s="35">
        <f t="shared" si="1"/>
        <v>0</v>
      </c>
      <c r="I83" s="35">
        <f t="shared" si="2"/>
        <v>1.8</v>
      </c>
      <c r="J83" s="39">
        <f t="shared" si="3"/>
        <v>15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customHeight="1">
      <c r="A84" s="22">
        <v>82.0</v>
      </c>
      <c r="B84" s="24">
        <v>46259.0</v>
      </c>
      <c r="C84" s="29" t="s">
        <v>4</v>
      </c>
      <c r="D84" s="30">
        <v>0.6592362037037037</v>
      </c>
      <c r="E84" s="30">
        <v>0.6592362037037037</v>
      </c>
      <c r="F84" s="30">
        <v>0.6592477777777778</v>
      </c>
      <c r="G84" s="30">
        <v>0.6643750925925926</v>
      </c>
      <c r="H84" s="35">
        <f t="shared" si="1"/>
        <v>0</v>
      </c>
      <c r="I84" s="35">
        <f t="shared" si="2"/>
        <v>7.383333333</v>
      </c>
      <c r="J84" s="39">
        <f t="shared" si="3"/>
        <v>15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customHeight="1">
      <c r="A85" s="22">
        <v>83.0</v>
      </c>
      <c r="B85" s="24">
        <v>46259.0</v>
      </c>
      <c r="C85" s="29" t="s">
        <v>4</v>
      </c>
      <c r="D85" s="30">
        <v>0.6813362731481482</v>
      </c>
      <c r="E85" s="30">
        <v>0.6813362731481482</v>
      </c>
      <c r="F85" s="30">
        <v>0.6813825694444444</v>
      </c>
      <c r="G85" s="30">
        <v>0.6827946064814815</v>
      </c>
      <c r="H85" s="35">
        <f t="shared" si="1"/>
        <v>0</v>
      </c>
      <c r="I85" s="35">
        <f t="shared" si="2"/>
        <v>2.033333333</v>
      </c>
      <c r="J85" s="39">
        <f t="shared" si="3"/>
        <v>16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customHeight="1">
      <c r="A86" s="22">
        <v>84.0</v>
      </c>
      <c r="B86" s="24">
        <v>46259.0</v>
      </c>
      <c r="C86" s="29" t="s">
        <v>4</v>
      </c>
      <c r="D86" s="30">
        <v>0.6920976041666667</v>
      </c>
      <c r="E86" s="30">
        <v>0.6930599421296296</v>
      </c>
      <c r="F86" s="30">
        <v>0.6930946643518519</v>
      </c>
      <c r="G86" s="30">
        <v>0.6960229050925926</v>
      </c>
      <c r="H86" s="35">
        <f t="shared" si="1"/>
        <v>1.385766667</v>
      </c>
      <c r="I86" s="35">
        <f t="shared" si="2"/>
        <v>4.216666667</v>
      </c>
      <c r="J86" s="39">
        <f t="shared" si="3"/>
        <v>16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customHeight="1">
      <c r="A87" s="22">
        <v>85.0</v>
      </c>
      <c r="B87" s="24">
        <v>46260.0</v>
      </c>
      <c r="C87" s="29" t="s">
        <v>4</v>
      </c>
      <c r="D87" s="30">
        <v>0.3053741782407408</v>
      </c>
      <c r="E87" s="30">
        <v>0.3081451967592592</v>
      </c>
      <c r="F87" s="30">
        <v>0.3081683449074074</v>
      </c>
      <c r="G87" s="30">
        <v>0.3093489004629629</v>
      </c>
      <c r="H87" s="35">
        <f t="shared" si="1"/>
        <v>3.990266667</v>
      </c>
      <c r="I87" s="35">
        <f t="shared" si="2"/>
        <v>1.7</v>
      </c>
      <c r="J87" s="39">
        <f t="shared" si="3"/>
        <v>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customHeight="1">
      <c r="A88" s="22">
        <v>86.0</v>
      </c>
      <c r="B88" s="24">
        <v>46260.0</v>
      </c>
      <c r="C88" s="29" t="s">
        <v>4</v>
      </c>
      <c r="D88" s="30">
        <v>0.3193075462962963</v>
      </c>
      <c r="E88" s="30">
        <v>0.3246845486111111</v>
      </c>
      <c r="F88" s="30">
        <v>0.3247192708333333</v>
      </c>
      <c r="G88" s="30">
        <v>0.3266984375</v>
      </c>
      <c r="H88" s="35">
        <f t="shared" si="1"/>
        <v>7.742883333</v>
      </c>
      <c r="I88" s="35">
        <f t="shared" si="2"/>
        <v>2.85</v>
      </c>
      <c r="J88" s="39">
        <f t="shared" si="3"/>
        <v>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customHeight="1">
      <c r="A89" s="22">
        <v>87.0</v>
      </c>
      <c r="B89" s="24">
        <v>46260.0</v>
      </c>
      <c r="C89" s="29" t="s">
        <v>4</v>
      </c>
      <c r="D89" s="30">
        <v>0.3233066087962963</v>
      </c>
      <c r="E89" s="30">
        <v>0.3280406365740741</v>
      </c>
      <c r="F89" s="30">
        <v>0.3280522106481482</v>
      </c>
      <c r="G89" s="30">
        <v>0.3308762847222222</v>
      </c>
      <c r="H89" s="35">
        <f t="shared" si="1"/>
        <v>6.817</v>
      </c>
      <c r="I89" s="35">
        <f t="shared" si="2"/>
        <v>4.066666667</v>
      </c>
      <c r="J89" s="39">
        <f t="shared" si="3"/>
        <v>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customHeight="1">
      <c r="A90" s="22">
        <v>88.0</v>
      </c>
      <c r="B90" s="24">
        <v>46260.0</v>
      </c>
      <c r="C90" s="29" t="s">
        <v>4</v>
      </c>
      <c r="D90" s="30">
        <v>0.326908275462963</v>
      </c>
      <c r="E90" s="30">
        <v>0.3348693402777778</v>
      </c>
      <c r="F90" s="30">
        <v>0.3348924884259259</v>
      </c>
      <c r="G90" s="30">
        <v>0.3376702662037037</v>
      </c>
      <c r="H90" s="35">
        <f t="shared" si="1"/>
        <v>11.46393333</v>
      </c>
      <c r="I90" s="35">
        <f t="shared" si="2"/>
        <v>4</v>
      </c>
      <c r="J90" s="39">
        <f t="shared" si="3"/>
        <v>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customHeight="1">
      <c r="A91" s="22">
        <v>89.0</v>
      </c>
      <c r="B91" s="24">
        <v>46260.0</v>
      </c>
      <c r="C91" s="29" t="s">
        <v>4</v>
      </c>
      <c r="D91" s="30">
        <v>0.3331528819444444</v>
      </c>
      <c r="E91" s="30">
        <v>0.3398234375</v>
      </c>
      <c r="F91" s="30">
        <v>0.3398350115740741</v>
      </c>
      <c r="G91" s="30">
        <v>0.3421961226851852</v>
      </c>
      <c r="H91" s="35">
        <f t="shared" si="1"/>
        <v>9.6056</v>
      </c>
      <c r="I91" s="35">
        <f t="shared" si="2"/>
        <v>3.4</v>
      </c>
      <c r="J91" s="39">
        <f t="shared" si="3"/>
        <v>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customHeight="1">
      <c r="A92" s="22">
        <v>90.0</v>
      </c>
      <c r="B92" s="24">
        <v>46260.0</v>
      </c>
      <c r="C92" s="29" t="s">
        <v>4</v>
      </c>
      <c r="D92" s="30">
        <v>0.3443321064814815</v>
      </c>
      <c r="E92" s="30">
        <v>0.3519895949074074</v>
      </c>
      <c r="F92" s="30">
        <v>0.3520243171296297</v>
      </c>
      <c r="G92" s="30">
        <v>0.353482650462963</v>
      </c>
      <c r="H92" s="35">
        <f t="shared" si="1"/>
        <v>11.02678333</v>
      </c>
      <c r="I92" s="35">
        <f t="shared" si="2"/>
        <v>2.1</v>
      </c>
      <c r="J92" s="39">
        <f t="shared" si="3"/>
        <v>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customHeight="1">
      <c r="A93" s="22">
        <v>91.0</v>
      </c>
      <c r="B93" s="24">
        <v>46260.0</v>
      </c>
      <c r="C93" s="29" t="s">
        <v>4</v>
      </c>
      <c r="D93" s="30">
        <v>0.3474538657407407</v>
      </c>
      <c r="E93" s="30">
        <v>0.3564408101851852</v>
      </c>
      <c r="F93" s="30">
        <v>0.3564755324074074</v>
      </c>
      <c r="G93" s="30">
        <v>0.3575287731481482</v>
      </c>
      <c r="H93" s="35">
        <f t="shared" si="1"/>
        <v>12.9412</v>
      </c>
      <c r="I93" s="35">
        <f t="shared" si="2"/>
        <v>1.516666667</v>
      </c>
      <c r="J93" s="39">
        <f t="shared" si="3"/>
        <v>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customHeight="1">
      <c r="A94" s="22">
        <v>92.0</v>
      </c>
      <c r="B94" s="24">
        <v>46260.0</v>
      </c>
      <c r="C94" s="29" t="s">
        <v>4</v>
      </c>
      <c r="D94" s="30">
        <v>0.3498787731481482</v>
      </c>
      <c r="E94" s="30">
        <v>0.3579021412037037</v>
      </c>
      <c r="F94" s="30">
        <v>0.3579252893518519</v>
      </c>
      <c r="G94" s="30">
        <v>0.3611081597222222</v>
      </c>
      <c r="H94" s="35">
        <f t="shared" si="1"/>
        <v>11.55365</v>
      </c>
      <c r="I94" s="35">
        <f t="shared" si="2"/>
        <v>4.583333333</v>
      </c>
      <c r="J94" s="39">
        <f t="shared" si="3"/>
        <v>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customHeight="1">
      <c r="A95" s="22">
        <v>93.0</v>
      </c>
      <c r="B95" s="24">
        <v>46260.0</v>
      </c>
      <c r="C95" s="29" t="s">
        <v>4</v>
      </c>
      <c r="D95" s="30">
        <v>0.3580911805555556</v>
      </c>
      <c r="E95" s="30">
        <v>0.3695243171296296</v>
      </c>
      <c r="F95" s="30">
        <v>0.3695474652777778</v>
      </c>
      <c r="G95" s="30">
        <v>0.3734710763888889</v>
      </c>
      <c r="H95" s="35">
        <f t="shared" si="1"/>
        <v>16.46371667</v>
      </c>
      <c r="I95" s="35">
        <f t="shared" si="2"/>
        <v>5.65</v>
      </c>
      <c r="J95" s="39">
        <f t="shared" si="3"/>
        <v>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customHeight="1">
      <c r="A96" s="22">
        <v>94.0</v>
      </c>
      <c r="B96" s="24">
        <v>46260.0</v>
      </c>
      <c r="C96" s="29" t="s">
        <v>4</v>
      </c>
      <c r="D96" s="30">
        <v>0.3670420949074074</v>
      </c>
      <c r="E96" s="30">
        <v>0.381417662037037</v>
      </c>
      <c r="F96" s="30">
        <v>0.3814639583333333</v>
      </c>
      <c r="G96" s="30">
        <v>0.3821236805555555</v>
      </c>
      <c r="H96" s="35">
        <f t="shared" si="1"/>
        <v>20.70081667</v>
      </c>
      <c r="I96" s="35">
        <f t="shared" si="2"/>
        <v>0.95</v>
      </c>
      <c r="J96" s="39">
        <f t="shared" si="3"/>
        <v>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customHeight="1">
      <c r="A97" s="22">
        <v>95.0</v>
      </c>
      <c r="B97" s="24">
        <v>46260.0</v>
      </c>
      <c r="C97" s="29" t="s">
        <v>4</v>
      </c>
      <c r="D97" s="30">
        <v>0.3696021296296296</v>
      </c>
      <c r="E97" s="30">
        <v>0.3827255324074074</v>
      </c>
      <c r="F97" s="30">
        <v>0.3827371064814815</v>
      </c>
      <c r="G97" s="30">
        <v>0.3866607175925926</v>
      </c>
      <c r="H97" s="35">
        <f t="shared" si="1"/>
        <v>18.8977</v>
      </c>
      <c r="I97" s="35">
        <f t="shared" si="2"/>
        <v>5.65</v>
      </c>
      <c r="J97" s="39">
        <f t="shared" si="3"/>
        <v>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customHeight="1">
      <c r="A98" s="22">
        <v>96.0</v>
      </c>
      <c r="B98" s="24">
        <v>46260.0</v>
      </c>
      <c r="C98" s="29" t="s">
        <v>4</v>
      </c>
      <c r="D98" s="30">
        <v>0.3765713194444444</v>
      </c>
      <c r="E98" s="30">
        <v>0.3928229282407407</v>
      </c>
      <c r="F98" s="30">
        <v>0.392869224537037</v>
      </c>
      <c r="G98" s="30">
        <v>0.3958553356481481</v>
      </c>
      <c r="H98" s="35">
        <f t="shared" si="1"/>
        <v>23.40231667</v>
      </c>
      <c r="I98" s="35">
        <f t="shared" si="2"/>
        <v>4.3</v>
      </c>
      <c r="J98" s="39">
        <f t="shared" si="3"/>
        <v>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customHeight="1">
      <c r="A99" s="22">
        <v>97.0</v>
      </c>
      <c r="B99" s="24">
        <v>46260.0</v>
      </c>
      <c r="C99" s="29" t="s">
        <v>4</v>
      </c>
      <c r="D99" s="30">
        <v>0.3839183796296297</v>
      </c>
      <c r="E99" s="30">
        <v>0.4021961226851852</v>
      </c>
      <c r="F99" s="30">
        <v>0.4022192708333334</v>
      </c>
      <c r="G99" s="30">
        <v>0.4040942708333334</v>
      </c>
      <c r="H99" s="35">
        <f t="shared" si="1"/>
        <v>26.31995</v>
      </c>
      <c r="I99" s="35">
        <f t="shared" si="2"/>
        <v>2.7</v>
      </c>
      <c r="J99" s="39">
        <f t="shared" si="3"/>
        <v>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ht="15.75" customHeight="1">
      <c r="A100" s="22">
        <v>98.0</v>
      </c>
      <c r="B100" s="24">
        <v>46260.0</v>
      </c>
      <c r="C100" s="29" t="s">
        <v>4</v>
      </c>
      <c r="D100" s="30">
        <v>0.388960474537037</v>
      </c>
      <c r="E100" s="30">
        <v>0.4077071875</v>
      </c>
      <c r="F100" s="30">
        <v>0.4077534837962963</v>
      </c>
      <c r="G100" s="30">
        <v>0.4087835763888888</v>
      </c>
      <c r="H100" s="35">
        <f t="shared" si="1"/>
        <v>26.99526667</v>
      </c>
      <c r="I100" s="35">
        <f t="shared" si="2"/>
        <v>1.483333333</v>
      </c>
      <c r="J100" s="39">
        <f t="shared" si="3"/>
        <v>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ht="15.75" customHeight="1">
      <c r="A101" s="22">
        <v>99.0</v>
      </c>
      <c r="B101" s="24">
        <v>46260.0</v>
      </c>
      <c r="C101" s="29" t="s">
        <v>4</v>
      </c>
      <c r="D101" s="30">
        <v>0.396503599537037</v>
      </c>
      <c r="E101" s="30">
        <v>0.419348900462963</v>
      </c>
      <c r="F101" s="30">
        <v>0.4193720486111112</v>
      </c>
      <c r="G101" s="30">
        <v>0.4208303819444445</v>
      </c>
      <c r="H101" s="35">
        <f t="shared" si="1"/>
        <v>32.89723333</v>
      </c>
      <c r="I101" s="35">
        <f t="shared" si="2"/>
        <v>2.1</v>
      </c>
      <c r="J101" s="39">
        <f t="shared" si="3"/>
        <v>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ht="15.75" customHeight="1">
      <c r="A102" s="22">
        <v>100.0</v>
      </c>
      <c r="B102" s="24">
        <v>46260.0</v>
      </c>
      <c r="C102" s="29" t="s">
        <v>4</v>
      </c>
      <c r="D102" s="30">
        <v>0.4001334953703704</v>
      </c>
      <c r="E102" s="30">
        <v>0.4241838657407407</v>
      </c>
      <c r="F102" s="30">
        <v>0.424230162037037</v>
      </c>
      <c r="G102" s="30">
        <v>0.4266259953703703</v>
      </c>
      <c r="H102" s="35">
        <f t="shared" si="1"/>
        <v>34.63253333</v>
      </c>
      <c r="I102" s="35">
        <f t="shared" si="2"/>
        <v>3.45</v>
      </c>
      <c r="J102" s="39">
        <f t="shared" si="3"/>
        <v>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ht="15.75" customHeight="1">
      <c r="A103" s="22">
        <v>101.0</v>
      </c>
      <c r="B103" s="24">
        <v>46260.0</v>
      </c>
      <c r="C103" s="29" t="s">
        <v>4</v>
      </c>
      <c r="D103" s="30">
        <v>0.4038854861111111</v>
      </c>
      <c r="E103" s="30">
        <v>0.4303442708333334</v>
      </c>
      <c r="F103" s="30">
        <v>0.4303789930555556</v>
      </c>
      <c r="G103" s="30">
        <v>0.4314901041666667</v>
      </c>
      <c r="H103" s="35">
        <f t="shared" si="1"/>
        <v>38.10065</v>
      </c>
      <c r="I103" s="35">
        <f t="shared" si="2"/>
        <v>1.6</v>
      </c>
      <c r="J103" s="39">
        <f t="shared" si="3"/>
        <v>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ht="15.75" customHeight="1">
      <c r="A104" s="22">
        <v>102.0</v>
      </c>
      <c r="B104" s="24">
        <v>46260.0</v>
      </c>
      <c r="C104" s="29" t="s">
        <v>4</v>
      </c>
      <c r="D104" s="30">
        <v>0.4122872685185185</v>
      </c>
      <c r="E104" s="30">
        <v>0.4376445138888889</v>
      </c>
      <c r="F104" s="30">
        <v>0.4376560879629629</v>
      </c>
      <c r="G104" s="30">
        <v>0.4390449768518518</v>
      </c>
      <c r="H104" s="35">
        <f t="shared" si="1"/>
        <v>36.51443333</v>
      </c>
      <c r="I104" s="35">
        <f t="shared" si="2"/>
        <v>2</v>
      </c>
      <c r="J104" s="39">
        <f t="shared" si="3"/>
        <v>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ht="15.75" customHeight="1">
      <c r="A105" s="22">
        <v>103.0</v>
      </c>
      <c r="B105" s="24">
        <v>46260.0</v>
      </c>
      <c r="C105" s="29" t="s">
        <v>4</v>
      </c>
      <c r="D105" s="30">
        <v>0.4203005555555556</v>
      </c>
      <c r="E105" s="30">
        <v>0.4501934143518519</v>
      </c>
      <c r="F105" s="30">
        <v>0.4502049884259259</v>
      </c>
      <c r="G105" s="30">
        <v>0.4527165625</v>
      </c>
      <c r="H105" s="35">
        <f t="shared" si="1"/>
        <v>43.04571667</v>
      </c>
      <c r="I105" s="35">
        <f t="shared" si="2"/>
        <v>3.616666667</v>
      </c>
      <c r="J105" s="39">
        <f t="shared" si="3"/>
        <v>10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ht="15.75" customHeight="1">
      <c r="A106" s="22">
        <v>104.0</v>
      </c>
      <c r="B106" s="24">
        <v>46260.0</v>
      </c>
      <c r="C106" s="29" t="s">
        <v>4</v>
      </c>
      <c r="D106" s="30">
        <v>0.4320555208333334</v>
      </c>
      <c r="E106" s="30">
        <v>0.4644432986111111</v>
      </c>
      <c r="F106" s="30">
        <v>0.4644664467592592</v>
      </c>
      <c r="G106" s="30">
        <v>0.4680891319444444</v>
      </c>
      <c r="H106" s="35">
        <f t="shared" si="1"/>
        <v>46.6384</v>
      </c>
      <c r="I106" s="35">
        <f t="shared" si="2"/>
        <v>5.216666667</v>
      </c>
      <c r="J106" s="39">
        <f t="shared" si="3"/>
        <v>10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ht="15.75" customHeight="1">
      <c r="A107" s="22">
        <v>105.0</v>
      </c>
      <c r="B107" s="24">
        <v>46260.0</v>
      </c>
      <c r="C107" s="29" t="s">
        <v>4</v>
      </c>
      <c r="D107" s="30">
        <v>0.4349872337962963</v>
      </c>
      <c r="E107" s="30">
        <v>0.4690128587962963</v>
      </c>
      <c r="F107" s="30">
        <v>0.4690360069444445</v>
      </c>
      <c r="G107" s="30">
        <v>0.4705059143518519</v>
      </c>
      <c r="H107" s="35">
        <f t="shared" si="1"/>
        <v>48.9969</v>
      </c>
      <c r="I107" s="35">
        <f t="shared" si="2"/>
        <v>2.116666667</v>
      </c>
      <c r="J107" s="39">
        <f t="shared" si="3"/>
        <v>10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customHeight="1">
      <c r="A108" s="22">
        <v>106.0</v>
      </c>
      <c r="B108" s="24">
        <v>46260.0</v>
      </c>
      <c r="C108" s="29" t="s">
        <v>4</v>
      </c>
      <c r="D108" s="30">
        <v>0.4370290393518519</v>
      </c>
      <c r="E108" s="30">
        <v>0.4730985069444445</v>
      </c>
      <c r="F108" s="30">
        <v>0.4731448032407408</v>
      </c>
      <c r="G108" s="30">
        <v>0.4748346180555556</v>
      </c>
      <c r="H108" s="35">
        <f t="shared" si="1"/>
        <v>51.94003333</v>
      </c>
      <c r="I108" s="35">
        <f t="shared" si="2"/>
        <v>2.433333333</v>
      </c>
      <c r="J108" s="39">
        <f t="shared" si="3"/>
        <v>10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customHeight="1">
      <c r="A109" s="22">
        <v>107.0</v>
      </c>
      <c r="B109" s="24">
        <v>46260.0</v>
      </c>
      <c r="C109" s="29" t="s">
        <v>4</v>
      </c>
      <c r="D109" s="30">
        <v>0.4505147106481481</v>
      </c>
      <c r="E109" s="30">
        <v>0.4901706597222222</v>
      </c>
      <c r="F109" s="30">
        <v>0.4902169560185186</v>
      </c>
      <c r="G109" s="30">
        <v>0.4911891782407408</v>
      </c>
      <c r="H109" s="35">
        <f t="shared" si="1"/>
        <v>57.10456667</v>
      </c>
      <c r="I109" s="35">
        <f t="shared" si="2"/>
        <v>1.4</v>
      </c>
      <c r="J109" s="39">
        <f t="shared" si="3"/>
        <v>10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customHeight="1">
      <c r="A110" s="22">
        <v>108.0</v>
      </c>
      <c r="B110" s="24">
        <v>46260.0</v>
      </c>
      <c r="C110" s="29" t="s">
        <v>4</v>
      </c>
      <c r="D110" s="30">
        <v>0.4559366666666667</v>
      </c>
      <c r="E110" s="30">
        <v>0.4951445138888889</v>
      </c>
      <c r="F110" s="30">
        <v>0.495156087962963</v>
      </c>
      <c r="G110" s="30">
        <v>0.4963250694444444</v>
      </c>
      <c r="H110" s="35">
        <f t="shared" si="1"/>
        <v>56.4593</v>
      </c>
      <c r="I110" s="35">
        <f t="shared" si="2"/>
        <v>1.683333333</v>
      </c>
      <c r="J110" s="39">
        <f t="shared" si="3"/>
        <v>10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customHeight="1">
      <c r="A111" s="22">
        <v>109.0</v>
      </c>
      <c r="B111" s="24">
        <v>46260.0</v>
      </c>
      <c r="C111" s="29" t="s">
        <v>4</v>
      </c>
      <c r="D111" s="30">
        <v>0.4590128587962963</v>
      </c>
      <c r="E111" s="30">
        <v>0.4966886689814815</v>
      </c>
      <c r="F111" s="30">
        <v>0.4967002430555555</v>
      </c>
      <c r="G111" s="30">
        <v>0.4995590393518518</v>
      </c>
      <c r="H111" s="35">
        <f t="shared" si="1"/>
        <v>54.25316667</v>
      </c>
      <c r="I111" s="35">
        <f t="shared" si="2"/>
        <v>4.116666667</v>
      </c>
      <c r="J111" s="39">
        <f t="shared" si="3"/>
        <v>11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customHeight="1">
      <c r="A112" s="22">
        <v>110.0</v>
      </c>
      <c r="B112" s="24">
        <v>46260.0</v>
      </c>
      <c r="C112" s="29" t="s">
        <v>4</v>
      </c>
      <c r="D112" s="30">
        <v>0.4614391319444445</v>
      </c>
      <c r="E112" s="30">
        <v>0.4996584027777777</v>
      </c>
      <c r="F112" s="30">
        <v>0.499693125</v>
      </c>
      <c r="G112" s="30">
        <v>0.5025519212962962</v>
      </c>
      <c r="H112" s="35">
        <f t="shared" si="1"/>
        <v>55.03575</v>
      </c>
      <c r="I112" s="35">
        <f t="shared" si="2"/>
        <v>4.116666667</v>
      </c>
      <c r="J112" s="39">
        <f t="shared" si="3"/>
        <v>11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customHeight="1">
      <c r="A113" s="22">
        <v>111.0</v>
      </c>
      <c r="B113" s="24">
        <v>46260.0</v>
      </c>
      <c r="C113" s="29" t="s">
        <v>4</v>
      </c>
      <c r="D113" s="30">
        <v>0.4674389930555555</v>
      </c>
      <c r="E113" s="30">
        <v>0.5065150578703703</v>
      </c>
      <c r="F113" s="30">
        <v>0.5065613541666666</v>
      </c>
      <c r="G113" s="30">
        <v>0.5088298726851852</v>
      </c>
      <c r="H113" s="35">
        <f t="shared" si="1"/>
        <v>56.26953333</v>
      </c>
      <c r="I113" s="35">
        <f t="shared" si="2"/>
        <v>3.266666667</v>
      </c>
      <c r="J113" s="39">
        <f t="shared" si="3"/>
        <v>11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customHeight="1">
      <c r="A114" s="22">
        <v>112.0</v>
      </c>
      <c r="B114" s="24">
        <v>46260.0</v>
      </c>
      <c r="C114" s="29" t="s">
        <v>4</v>
      </c>
      <c r="D114" s="30">
        <v>0.4737686458333333</v>
      </c>
      <c r="E114" s="30">
        <v>0.5107395949074074</v>
      </c>
      <c r="F114" s="30">
        <v>0.5107858912037037</v>
      </c>
      <c r="G114" s="30">
        <v>0.5135405208333333</v>
      </c>
      <c r="H114" s="35">
        <f t="shared" si="1"/>
        <v>53.23816667</v>
      </c>
      <c r="I114" s="35">
        <f t="shared" si="2"/>
        <v>3.966666667</v>
      </c>
      <c r="J114" s="39">
        <f t="shared" si="3"/>
        <v>11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customHeight="1">
      <c r="A115" s="22">
        <v>113.0</v>
      </c>
      <c r="B115" s="24">
        <v>46260.0</v>
      </c>
      <c r="C115" s="29" t="s">
        <v>4</v>
      </c>
      <c r="D115" s="30">
        <v>0.5346174652777778</v>
      </c>
      <c r="E115" s="30">
        <v>0.5493159837962963</v>
      </c>
      <c r="F115" s="30">
        <v>0.5493507060185185</v>
      </c>
      <c r="G115" s="30">
        <v>0.551306724537037</v>
      </c>
      <c r="H115" s="35">
        <f t="shared" si="1"/>
        <v>21.16586667</v>
      </c>
      <c r="I115" s="35">
        <f t="shared" si="2"/>
        <v>2.816666667</v>
      </c>
      <c r="J115" s="39">
        <f t="shared" si="3"/>
        <v>12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customHeight="1">
      <c r="A116" s="22">
        <v>114.0</v>
      </c>
      <c r="B116" s="24">
        <v>46260.0</v>
      </c>
      <c r="C116" s="29" t="s">
        <v>4</v>
      </c>
      <c r="D116" s="30">
        <v>0.5374165624999999</v>
      </c>
      <c r="E116" s="30">
        <v>0.551306724537037</v>
      </c>
      <c r="F116" s="30">
        <v>0.5513530208333333</v>
      </c>
      <c r="G116" s="30">
        <v>0.552244224537037</v>
      </c>
      <c r="H116" s="35">
        <f t="shared" si="1"/>
        <v>20.00183333</v>
      </c>
      <c r="I116" s="35">
        <f t="shared" si="2"/>
        <v>1.283333333</v>
      </c>
      <c r="J116" s="39">
        <f t="shared" si="3"/>
        <v>12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customHeight="1">
      <c r="A117" s="22">
        <v>115.0</v>
      </c>
      <c r="B117" s="24">
        <v>46260.0</v>
      </c>
      <c r="C117" s="29" t="s">
        <v>4</v>
      </c>
      <c r="D117" s="30">
        <v>0.5436946412037037</v>
      </c>
      <c r="E117" s="30">
        <v>0.5531914930555556</v>
      </c>
      <c r="F117" s="30">
        <v>0.5532262152777778</v>
      </c>
      <c r="G117" s="30">
        <v>0.5547308449074074</v>
      </c>
      <c r="H117" s="35">
        <f t="shared" si="1"/>
        <v>13.67546667</v>
      </c>
      <c r="I117" s="35">
        <f t="shared" si="2"/>
        <v>2.166666667</v>
      </c>
      <c r="J117" s="39">
        <f t="shared" si="3"/>
        <v>13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customHeight="1">
      <c r="A118" s="22">
        <v>116.0</v>
      </c>
      <c r="B118" s="24">
        <v>46260.0</v>
      </c>
      <c r="C118" s="29" t="s">
        <v>4</v>
      </c>
      <c r="D118" s="30">
        <v>0.5472737847222222</v>
      </c>
      <c r="E118" s="30">
        <v>0.5565034837962963</v>
      </c>
      <c r="F118" s="30">
        <v>0.5565150578703704</v>
      </c>
      <c r="G118" s="30">
        <v>0.5602882060185185</v>
      </c>
      <c r="H118" s="35">
        <f t="shared" si="1"/>
        <v>13.29076667</v>
      </c>
      <c r="I118" s="35">
        <f t="shared" si="2"/>
        <v>5.433333333</v>
      </c>
      <c r="J118" s="39">
        <f t="shared" si="3"/>
        <v>13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customHeight="1">
      <c r="A119" s="22">
        <v>117.0</v>
      </c>
      <c r="B119" s="24">
        <v>46260.0</v>
      </c>
      <c r="C119" s="29" t="s">
        <v>4</v>
      </c>
      <c r="D119" s="30">
        <v>0.5780241550925925</v>
      </c>
      <c r="E119" s="30">
        <v>0.5827949768518518</v>
      </c>
      <c r="F119" s="30">
        <v>0.5828412731481482</v>
      </c>
      <c r="G119" s="30">
        <v>0.5852255324074074</v>
      </c>
      <c r="H119" s="35">
        <f t="shared" si="1"/>
        <v>6.869983333</v>
      </c>
      <c r="I119" s="35">
        <f t="shared" si="2"/>
        <v>3.433333333</v>
      </c>
      <c r="J119" s="39">
        <f t="shared" si="3"/>
        <v>13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customHeight="1">
      <c r="A120" s="22">
        <v>118.0</v>
      </c>
      <c r="B120" s="24">
        <v>46260.0</v>
      </c>
      <c r="C120" s="29" t="s">
        <v>4</v>
      </c>
      <c r="D120" s="30">
        <v>0.5967709490740741</v>
      </c>
      <c r="E120" s="30">
        <v>0.6035155671296296</v>
      </c>
      <c r="F120" s="30">
        <v>0.6035387152777778</v>
      </c>
      <c r="G120" s="30">
        <v>0.6073118634259259</v>
      </c>
      <c r="H120" s="35">
        <f t="shared" si="1"/>
        <v>9.71225</v>
      </c>
      <c r="I120" s="35">
        <f t="shared" si="2"/>
        <v>5.433333333</v>
      </c>
      <c r="J120" s="39">
        <f t="shared" si="3"/>
        <v>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customHeight="1">
      <c r="A121" s="22">
        <v>119.0</v>
      </c>
      <c r="B121" s="24">
        <v>46260.0</v>
      </c>
      <c r="C121" s="29" t="s">
        <v>4</v>
      </c>
      <c r="D121" s="30">
        <v>0.6099044444444445</v>
      </c>
      <c r="E121" s="30">
        <v>0.6099044444444445</v>
      </c>
      <c r="F121" s="30">
        <v>0.6099391666666667</v>
      </c>
      <c r="G121" s="30">
        <v>0.6127632407407407</v>
      </c>
      <c r="H121" s="35">
        <f t="shared" si="1"/>
        <v>0</v>
      </c>
      <c r="I121" s="35">
        <f t="shared" si="2"/>
        <v>4.066666667</v>
      </c>
      <c r="J121" s="39">
        <f t="shared" si="3"/>
        <v>14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customHeight="1">
      <c r="A122" s="22">
        <v>120.0</v>
      </c>
      <c r="B122" s="24">
        <v>46260.0</v>
      </c>
      <c r="C122" s="29" t="s">
        <v>4</v>
      </c>
      <c r="D122" s="30">
        <v>0.6129508449074075</v>
      </c>
      <c r="E122" s="30">
        <v>0.6151580208333333</v>
      </c>
      <c r="F122" s="30">
        <v>0.6151927430555555</v>
      </c>
      <c r="G122" s="30">
        <v>0.6170908912037036</v>
      </c>
      <c r="H122" s="35">
        <f t="shared" si="1"/>
        <v>3.178333333</v>
      </c>
      <c r="I122" s="35">
        <f t="shared" si="2"/>
        <v>2.733333333</v>
      </c>
      <c r="J122" s="39">
        <f t="shared" si="3"/>
        <v>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customHeight="1">
      <c r="A123" s="22">
        <v>121.0</v>
      </c>
      <c r="B123" s="24">
        <v>46260.0</v>
      </c>
      <c r="C123" s="29" t="s">
        <v>4</v>
      </c>
      <c r="D123" s="30">
        <v>0.6145536458333333</v>
      </c>
      <c r="E123" s="30">
        <v>0.6173482175925926</v>
      </c>
      <c r="F123" s="30">
        <v>0.6173829398148148</v>
      </c>
      <c r="G123" s="30">
        <v>0.6196746064814814</v>
      </c>
      <c r="H123" s="35">
        <f t="shared" si="1"/>
        <v>4.024183333</v>
      </c>
      <c r="I123" s="35">
        <f t="shared" si="2"/>
        <v>3.3</v>
      </c>
      <c r="J123" s="39">
        <f t="shared" si="3"/>
        <v>14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customHeight="1">
      <c r="A124" s="22">
        <v>122.0</v>
      </c>
      <c r="B124" s="24">
        <v>46260.0</v>
      </c>
      <c r="C124" s="29" t="s">
        <v>4</v>
      </c>
      <c r="D124" s="30">
        <v>0.6421087152777778</v>
      </c>
      <c r="E124" s="30">
        <v>0.6421087152777778</v>
      </c>
      <c r="F124" s="30">
        <v>0.6421434375</v>
      </c>
      <c r="G124" s="30">
        <v>0.6442962152777778</v>
      </c>
      <c r="H124" s="35">
        <f t="shared" si="1"/>
        <v>0</v>
      </c>
      <c r="I124" s="35">
        <f t="shared" si="2"/>
        <v>3.1</v>
      </c>
      <c r="J124" s="39">
        <f t="shared" si="3"/>
        <v>15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customHeight="1">
      <c r="A125" s="22">
        <v>123.0</v>
      </c>
      <c r="B125" s="24">
        <v>46260.0</v>
      </c>
      <c r="C125" s="29" t="s">
        <v>4</v>
      </c>
      <c r="D125" s="30">
        <v>0.6528622222222222</v>
      </c>
      <c r="E125" s="30">
        <v>0.6528622222222222</v>
      </c>
      <c r="F125" s="30">
        <v>0.6529085185185185</v>
      </c>
      <c r="G125" s="30">
        <v>0.6540312037037037</v>
      </c>
      <c r="H125" s="35">
        <f t="shared" si="1"/>
        <v>0</v>
      </c>
      <c r="I125" s="35">
        <f t="shared" si="2"/>
        <v>1.616666667</v>
      </c>
      <c r="J125" s="39">
        <f t="shared" si="3"/>
        <v>15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customHeight="1">
      <c r="A126" s="22">
        <v>124.0</v>
      </c>
      <c r="B126" s="24">
        <v>46260.0</v>
      </c>
      <c r="C126" s="29" t="s">
        <v>4</v>
      </c>
      <c r="D126" s="30">
        <v>0.6612800231481482</v>
      </c>
      <c r="E126" s="30">
        <v>0.6612800231481482</v>
      </c>
      <c r="F126" s="30">
        <v>0.6613263194444444</v>
      </c>
      <c r="G126" s="30">
        <v>0.6633865046296296</v>
      </c>
      <c r="H126" s="35">
        <f t="shared" si="1"/>
        <v>0</v>
      </c>
      <c r="I126" s="35">
        <f t="shared" si="2"/>
        <v>2.966666667</v>
      </c>
      <c r="J126" s="39">
        <f t="shared" si="3"/>
        <v>15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15.75" customHeight="1">
      <c r="A127" s="22">
        <v>125.0</v>
      </c>
      <c r="B127" s="24">
        <v>46260.0</v>
      </c>
      <c r="C127" s="29" t="s">
        <v>4</v>
      </c>
      <c r="D127" s="30">
        <v>0.6916708564814815</v>
      </c>
      <c r="E127" s="30">
        <v>0.6916708564814815</v>
      </c>
      <c r="F127" s="30">
        <v>0.6917171527777778</v>
      </c>
      <c r="G127" s="30">
        <v>0.6926430787037037</v>
      </c>
      <c r="H127" s="35">
        <f t="shared" si="1"/>
        <v>0</v>
      </c>
      <c r="I127" s="35">
        <f t="shared" si="2"/>
        <v>1.333333333</v>
      </c>
      <c r="J127" s="39">
        <f t="shared" si="3"/>
        <v>16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customHeight="1">
      <c r="A128" s="22">
        <v>126.0</v>
      </c>
      <c r="B128" s="24">
        <v>46260.0</v>
      </c>
      <c r="C128" s="29" t="s">
        <v>4</v>
      </c>
      <c r="D128" s="30">
        <v>0.7066922916666667</v>
      </c>
      <c r="E128" s="30">
        <v>0.7066922916666667</v>
      </c>
      <c r="F128" s="30">
        <v>0.7067038657407407</v>
      </c>
      <c r="G128" s="30">
        <v>0.707213125</v>
      </c>
      <c r="H128" s="35">
        <f t="shared" si="1"/>
        <v>0</v>
      </c>
      <c r="I128" s="35">
        <f t="shared" si="2"/>
        <v>0.7333333333</v>
      </c>
      <c r="J128" s="39">
        <f t="shared" si="3"/>
        <v>16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customHeight="1">
      <c r="A129" s="22">
        <v>127.0</v>
      </c>
      <c r="B129" s="24">
        <v>46261.0</v>
      </c>
      <c r="C129" s="29" t="s">
        <v>4</v>
      </c>
      <c r="D129" s="30">
        <v>0.2967618055555556</v>
      </c>
      <c r="E129" s="30">
        <v>0.299189375</v>
      </c>
      <c r="F129" s="30">
        <v>0.2992009490740741</v>
      </c>
      <c r="G129" s="30">
        <v>0.3016199305555555</v>
      </c>
      <c r="H129" s="35">
        <f t="shared" si="1"/>
        <v>3.4957</v>
      </c>
      <c r="I129" s="35">
        <f t="shared" si="2"/>
        <v>3.483333333</v>
      </c>
      <c r="J129" s="39">
        <f t="shared" si="3"/>
        <v>7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customHeight="1">
      <c r="A130" s="22">
        <v>128.0</v>
      </c>
      <c r="B130" s="24">
        <v>46261.0</v>
      </c>
      <c r="C130" s="29" t="s">
        <v>4</v>
      </c>
      <c r="D130" s="30">
        <v>0.311370775462963</v>
      </c>
      <c r="E130" s="30">
        <v>0.316202199074074</v>
      </c>
      <c r="F130" s="30">
        <v>0.3162484953703704</v>
      </c>
      <c r="G130" s="30">
        <v>0.3187832175925926</v>
      </c>
      <c r="H130" s="35">
        <f t="shared" si="1"/>
        <v>6.95725</v>
      </c>
      <c r="I130" s="35">
        <f t="shared" si="2"/>
        <v>3.65</v>
      </c>
      <c r="J130" s="39">
        <f t="shared" si="3"/>
        <v>7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customHeight="1">
      <c r="A131" s="22">
        <v>129.0</v>
      </c>
      <c r="B131" s="24">
        <v>46261.0</v>
      </c>
      <c r="C131" s="29" t="s">
        <v>4</v>
      </c>
      <c r="D131" s="30">
        <v>0.3124323032407408</v>
      </c>
      <c r="E131" s="30">
        <v>0.3167735532407407</v>
      </c>
      <c r="F131" s="30">
        <v>0.316808275462963</v>
      </c>
      <c r="G131" s="30">
        <v>0.3177689236111111</v>
      </c>
      <c r="H131" s="35">
        <f t="shared" si="1"/>
        <v>6.2514</v>
      </c>
      <c r="I131" s="35">
        <f t="shared" si="2"/>
        <v>1.383333333</v>
      </c>
      <c r="J131" s="39">
        <f t="shared" si="3"/>
        <v>7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customHeight="1">
      <c r="A132" s="22">
        <v>130.0</v>
      </c>
      <c r="B132" s="24">
        <v>46261.0</v>
      </c>
      <c r="C132" s="29" t="s">
        <v>4</v>
      </c>
      <c r="D132" s="30">
        <v>0.3140727546296296</v>
      </c>
      <c r="E132" s="30">
        <v>0.3187832175925926</v>
      </c>
      <c r="F132" s="30">
        <v>0.3188295138888889</v>
      </c>
      <c r="G132" s="30">
        <v>0.3200910879629629</v>
      </c>
      <c r="H132" s="35">
        <f t="shared" si="1"/>
        <v>6.783066667</v>
      </c>
      <c r="I132" s="35">
        <f t="shared" si="2"/>
        <v>1.816666667</v>
      </c>
      <c r="J132" s="39">
        <f t="shared" si="3"/>
        <v>7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customHeight="1">
      <c r="A133" s="22">
        <v>131.0</v>
      </c>
      <c r="B133" s="24">
        <v>46261.0</v>
      </c>
      <c r="C133" s="29" t="s">
        <v>4</v>
      </c>
      <c r="D133" s="30">
        <v>0.3209163773148148</v>
      </c>
      <c r="E133" s="30">
        <v>0.3270818287037037</v>
      </c>
      <c r="F133" s="30">
        <v>0.3271049768518519</v>
      </c>
      <c r="G133" s="30">
        <v>0.3288295138888889</v>
      </c>
      <c r="H133" s="35">
        <f t="shared" si="1"/>
        <v>8.87825</v>
      </c>
      <c r="I133" s="35">
        <f t="shared" si="2"/>
        <v>2.483333333</v>
      </c>
      <c r="J133" s="39">
        <f t="shared" si="3"/>
        <v>7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customHeight="1">
      <c r="A134" s="22">
        <v>132.0</v>
      </c>
      <c r="B134" s="24">
        <v>46261.0</v>
      </c>
      <c r="C134" s="29" t="s">
        <v>4</v>
      </c>
      <c r="D134" s="30">
        <v>0.3272212384259259</v>
      </c>
      <c r="E134" s="30">
        <v>0.3318966435185185</v>
      </c>
      <c r="F134" s="30">
        <v>0.3319082175925926</v>
      </c>
      <c r="G134" s="30">
        <v>0.3330077546296296</v>
      </c>
      <c r="H134" s="35">
        <f t="shared" si="1"/>
        <v>6.732583333</v>
      </c>
      <c r="I134" s="35">
        <f t="shared" si="2"/>
        <v>1.583333333</v>
      </c>
      <c r="J134" s="39">
        <f t="shared" si="3"/>
        <v>7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customHeight="1">
      <c r="A135" s="22">
        <v>133.0</v>
      </c>
      <c r="B135" s="24">
        <v>46261.0</v>
      </c>
      <c r="C135" s="29" t="s">
        <v>4</v>
      </c>
      <c r="D135" s="30">
        <v>0.3334700462962963</v>
      </c>
      <c r="E135" s="30">
        <v>0.3386222453703704</v>
      </c>
      <c r="F135" s="30">
        <v>0.3386338194444444</v>
      </c>
      <c r="G135" s="30">
        <v>0.3411569675925926</v>
      </c>
      <c r="H135" s="35">
        <f t="shared" si="1"/>
        <v>7.419166667</v>
      </c>
      <c r="I135" s="35">
        <f t="shared" si="2"/>
        <v>3.633333333</v>
      </c>
      <c r="J135" s="39">
        <f t="shared" si="3"/>
        <v>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customHeight="1">
      <c r="A136" s="22">
        <v>134.0</v>
      </c>
      <c r="B136" s="24">
        <v>46261.0</v>
      </c>
      <c r="C136" s="29" t="s">
        <v>4</v>
      </c>
      <c r="D136" s="30">
        <v>0.3357727893518518</v>
      </c>
      <c r="E136" s="30">
        <v>0.3448364583333333</v>
      </c>
      <c r="F136" s="30">
        <v>0.3448711805555555</v>
      </c>
      <c r="G136" s="30">
        <v>0.3484012731481481</v>
      </c>
      <c r="H136" s="35">
        <f t="shared" si="1"/>
        <v>13.05168333</v>
      </c>
      <c r="I136" s="35">
        <f t="shared" si="2"/>
        <v>5.083333333</v>
      </c>
      <c r="J136" s="39">
        <f t="shared" si="3"/>
        <v>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customHeight="1">
      <c r="A137" s="22">
        <v>135.0</v>
      </c>
      <c r="B137" s="24">
        <v>46261.0</v>
      </c>
      <c r="C137" s="29" t="s">
        <v>4</v>
      </c>
      <c r="D137" s="30">
        <v>0.3425096180555555</v>
      </c>
      <c r="E137" s="30">
        <v>0.357950949074074</v>
      </c>
      <c r="F137" s="30">
        <v>0.3579972453703704</v>
      </c>
      <c r="G137" s="30">
        <v>0.3599416898148148</v>
      </c>
      <c r="H137" s="35">
        <f t="shared" si="1"/>
        <v>22.23551667</v>
      </c>
      <c r="I137" s="35">
        <f t="shared" si="2"/>
        <v>2.8</v>
      </c>
      <c r="J137" s="39">
        <f t="shared" si="3"/>
        <v>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customHeight="1">
      <c r="A138" s="22">
        <v>136.0</v>
      </c>
      <c r="B138" s="24">
        <v>46261.0</v>
      </c>
      <c r="C138" s="29" t="s">
        <v>4</v>
      </c>
      <c r="D138" s="30">
        <v>0.344373125</v>
      </c>
      <c r="E138" s="30">
        <v>0.3621347569444444</v>
      </c>
      <c r="F138" s="30">
        <v>0.3621694791666666</v>
      </c>
      <c r="G138" s="30">
        <v>0.3655838310185185</v>
      </c>
      <c r="H138" s="35">
        <f t="shared" si="1"/>
        <v>25.57675</v>
      </c>
      <c r="I138" s="35">
        <f t="shared" si="2"/>
        <v>4.916666667</v>
      </c>
      <c r="J138" s="39">
        <f t="shared" si="3"/>
        <v>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customHeight="1">
      <c r="A139" s="22">
        <v>137.0</v>
      </c>
      <c r="B139" s="24">
        <v>46261.0</v>
      </c>
      <c r="C139" s="29" t="s">
        <v>4</v>
      </c>
      <c r="D139" s="30">
        <v>0.3482216782407407</v>
      </c>
      <c r="E139" s="30">
        <v>0.3715304976851852</v>
      </c>
      <c r="F139" s="30">
        <v>0.3715420717592592</v>
      </c>
      <c r="G139" s="30">
        <v>0.372896238425926</v>
      </c>
      <c r="H139" s="35">
        <f t="shared" si="1"/>
        <v>33.5647</v>
      </c>
      <c r="I139" s="35">
        <f t="shared" si="2"/>
        <v>1.95</v>
      </c>
      <c r="J139" s="39">
        <f t="shared" si="3"/>
        <v>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customHeight="1">
      <c r="A140" s="22">
        <v>138.0</v>
      </c>
      <c r="B140" s="24">
        <v>46261.0</v>
      </c>
      <c r="C140" s="29" t="s">
        <v>4</v>
      </c>
      <c r="D140" s="30">
        <v>0.3646780902777778</v>
      </c>
      <c r="E140" s="30">
        <v>0.390253125</v>
      </c>
      <c r="F140" s="30">
        <v>0.3902646990740741</v>
      </c>
      <c r="G140" s="30">
        <v>0.3940262731481482</v>
      </c>
      <c r="H140" s="35">
        <f t="shared" si="1"/>
        <v>36.82805</v>
      </c>
      <c r="I140" s="35">
        <f t="shared" si="2"/>
        <v>5.416666667</v>
      </c>
      <c r="J140" s="39">
        <f t="shared" si="3"/>
        <v>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customHeight="1">
      <c r="A141" s="22">
        <v>139.0</v>
      </c>
      <c r="B141" s="24">
        <v>46261.0</v>
      </c>
      <c r="C141" s="29" t="s">
        <v>4</v>
      </c>
      <c r="D141" s="30">
        <v>0.374409525462963</v>
      </c>
      <c r="E141" s="30">
        <v>0.3993861342592592</v>
      </c>
      <c r="F141" s="30">
        <v>0.3993977083333333</v>
      </c>
      <c r="G141" s="30">
        <v>0.4007634490740741</v>
      </c>
      <c r="H141" s="35">
        <f t="shared" si="1"/>
        <v>35.96631667</v>
      </c>
      <c r="I141" s="35">
        <f t="shared" si="2"/>
        <v>1.966666667</v>
      </c>
      <c r="J141" s="39">
        <f t="shared" si="3"/>
        <v>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customHeight="1">
      <c r="A142" s="22">
        <v>140.0</v>
      </c>
      <c r="B142" s="24">
        <v>46261.0</v>
      </c>
      <c r="C142" s="29" t="s">
        <v>39</v>
      </c>
      <c r="D142" s="30">
        <v>0.3831924768518519</v>
      </c>
      <c r="E142" s="30">
        <v>0.3833707754629629</v>
      </c>
      <c r="F142" s="30">
        <v>0.3833939236111111</v>
      </c>
      <c r="G142" s="30">
        <v>0.3866809606481482</v>
      </c>
      <c r="H142" s="35">
        <f t="shared" si="1"/>
        <v>0.25675</v>
      </c>
      <c r="I142" s="35">
        <f t="shared" si="2"/>
        <v>4.733333333</v>
      </c>
      <c r="J142" s="39">
        <f t="shared" si="3"/>
        <v>9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customHeight="1">
      <c r="A143" s="22">
        <v>141.0</v>
      </c>
      <c r="B143" s="24">
        <v>46261.0</v>
      </c>
      <c r="C143" s="29" t="s">
        <v>4</v>
      </c>
      <c r="D143" s="30">
        <v>0.3860193981481482</v>
      </c>
      <c r="E143" s="30">
        <v>0.4125795138888889</v>
      </c>
      <c r="F143" s="30">
        <v>0.4126142361111111</v>
      </c>
      <c r="G143" s="30">
        <v>0.4140957175925926</v>
      </c>
      <c r="H143" s="35">
        <f t="shared" si="1"/>
        <v>38.24656667</v>
      </c>
      <c r="I143" s="35">
        <f t="shared" si="2"/>
        <v>2.133333333</v>
      </c>
      <c r="J143" s="39">
        <f t="shared" si="3"/>
        <v>9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customHeight="1">
      <c r="A144" s="22">
        <v>142.0</v>
      </c>
      <c r="B144" s="24">
        <v>46261.0</v>
      </c>
      <c r="C144" s="29" t="s">
        <v>4</v>
      </c>
      <c r="D144" s="30">
        <v>0.3992966087962963</v>
      </c>
      <c r="E144" s="30">
        <v>0.4238824421296296</v>
      </c>
      <c r="F144" s="30">
        <v>0.4238940162037037</v>
      </c>
      <c r="G144" s="30">
        <v>0.4277829050925926</v>
      </c>
      <c r="H144" s="35">
        <f t="shared" si="1"/>
        <v>35.4036</v>
      </c>
      <c r="I144" s="35">
        <f t="shared" si="2"/>
        <v>5.6</v>
      </c>
      <c r="J144" s="39">
        <f t="shared" si="3"/>
        <v>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customHeight="1">
      <c r="A145" s="22">
        <v>143.0</v>
      </c>
      <c r="B145" s="24">
        <v>46261.0</v>
      </c>
      <c r="C145" s="29" t="s">
        <v>4</v>
      </c>
      <c r="D145" s="30">
        <v>0.3997176273148149</v>
      </c>
      <c r="E145" s="30">
        <v>0.4248722453703704</v>
      </c>
      <c r="F145" s="30">
        <v>0.4248953935185185</v>
      </c>
      <c r="G145" s="30">
        <v>0.4266315046296296</v>
      </c>
      <c r="H145" s="35">
        <f t="shared" si="1"/>
        <v>36.22265</v>
      </c>
      <c r="I145" s="35">
        <f t="shared" si="2"/>
        <v>2.5</v>
      </c>
      <c r="J145" s="39">
        <f t="shared" si="3"/>
        <v>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customHeight="1">
      <c r="A146" s="22">
        <v>144.0</v>
      </c>
      <c r="B146" s="24">
        <v>46261.0</v>
      </c>
      <c r="C146" s="29" t="s">
        <v>4</v>
      </c>
      <c r="D146" s="30">
        <v>0.4003008796296296</v>
      </c>
      <c r="E146" s="30">
        <v>0.425091087962963</v>
      </c>
      <c r="F146" s="30">
        <v>0.4251142361111112</v>
      </c>
      <c r="G146" s="30">
        <v>0.4270702546296297</v>
      </c>
      <c r="H146" s="35">
        <f t="shared" si="1"/>
        <v>35.6979</v>
      </c>
      <c r="I146" s="35">
        <f t="shared" si="2"/>
        <v>2.816666667</v>
      </c>
      <c r="J146" s="39">
        <f t="shared" si="3"/>
        <v>9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customHeight="1">
      <c r="A147" s="22">
        <v>145.0</v>
      </c>
      <c r="B147" s="24">
        <v>46261.0</v>
      </c>
      <c r="C147" s="29" t="s">
        <v>4</v>
      </c>
      <c r="D147" s="30">
        <v>0.4043621990740741</v>
      </c>
      <c r="E147" s="30">
        <v>0.4277762731481482</v>
      </c>
      <c r="F147" s="30">
        <v>0.4277994212962963</v>
      </c>
      <c r="G147" s="30">
        <v>0.4308202546296296</v>
      </c>
      <c r="H147" s="35">
        <f t="shared" si="1"/>
        <v>33.71626667</v>
      </c>
      <c r="I147" s="35">
        <f t="shared" si="2"/>
        <v>4.35</v>
      </c>
      <c r="J147" s="39">
        <f t="shared" si="3"/>
        <v>9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customHeight="1">
      <c r="A148" s="22">
        <v>146.0</v>
      </c>
      <c r="B148" s="24">
        <v>46261.0</v>
      </c>
      <c r="C148" s="29" t="s">
        <v>4</v>
      </c>
      <c r="D148" s="30">
        <v>0.4205877893518519</v>
      </c>
      <c r="E148" s="30">
        <v>0.4551153009259259</v>
      </c>
      <c r="F148" s="30">
        <v>0.4551500231481481</v>
      </c>
      <c r="G148" s="30">
        <v>0.4578352083333334</v>
      </c>
      <c r="H148" s="35">
        <f t="shared" si="1"/>
        <v>49.71961667</v>
      </c>
      <c r="I148" s="35">
        <f t="shared" si="2"/>
        <v>3.866666667</v>
      </c>
      <c r="J148" s="39">
        <f t="shared" si="3"/>
        <v>10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customHeight="1">
      <c r="A149" s="22">
        <v>147.0</v>
      </c>
      <c r="B149" s="24">
        <v>46261.0</v>
      </c>
      <c r="C149" s="29" t="s">
        <v>4</v>
      </c>
      <c r="D149" s="30">
        <v>0.4251165046296296</v>
      </c>
      <c r="E149" s="30">
        <v>0.4592240972222222</v>
      </c>
      <c r="F149" s="30">
        <v>0.4592356712962963</v>
      </c>
      <c r="G149" s="30">
        <v>0.4596176157407407</v>
      </c>
      <c r="H149" s="35">
        <f t="shared" si="1"/>
        <v>49.11493333</v>
      </c>
      <c r="I149" s="35">
        <f t="shared" si="2"/>
        <v>0.55</v>
      </c>
      <c r="J149" s="39">
        <f t="shared" si="3"/>
        <v>10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customHeight="1">
      <c r="A150" s="22">
        <v>148.0</v>
      </c>
      <c r="B150" s="24">
        <v>46261.0</v>
      </c>
      <c r="C150" s="29" t="s">
        <v>4</v>
      </c>
      <c r="D150" s="30">
        <v>0.4462160532407408</v>
      </c>
      <c r="E150" s="30">
        <v>0.4773406828703704</v>
      </c>
      <c r="F150" s="30">
        <v>0.4773754050925926</v>
      </c>
      <c r="G150" s="30">
        <v>0.477757349537037</v>
      </c>
      <c r="H150" s="35">
        <f t="shared" si="1"/>
        <v>44.81946667</v>
      </c>
      <c r="I150" s="35">
        <f t="shared" si="2"/>
        <v>0.55</v>
      </c>
      <c r="J150" s="39">
        <f t="shared" si="3"/>
        <v>10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customHeight="1">
      <c r="A151" s="22">
        <v>149.0</v>
      </c>
      <c r="B151" s="24">
        <v>46261.0</v>
      </c>
      <c r="C151" s="29" t="s">
        <v>4</v>
      </c>
      <c r="D151" s="30">
        <v>0.4517203819444445</v>
      </c>
      <c r="E151" s="30">
        <v>0.4813873842592593</v>
      </c>
      <c r="F151" s="30">
        <v>0.4814336805555556</v>
      </c>
      <c r="G151" s="30">
        <v>0.4828341435185186</v>
      </c>
      <c r="H151" s="35">
        <f t="shared" si="1"/>
        <v>42.72048333</v>
      </c>
      <c r="I151" s="35">
        <f t="shared" si="2"/>
        <v>2.016666667</v>
      </c>
      <c r="J151" s="39">
        <f t="shared" si="3"/>
        <v>10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customHeight="1">
      <c r="A152" s="22">
        <v>150.0</v>
      </c>
      <c r="B152" s="24">
        <v>46261.0</v>
      </c>
      <c r="C152" s="29" t="s">
        <v>4</v>
      </c>
      <c r="D152" s="30">
        <v>0.4601915740740741</v>
      </c>
      <c r="E152" s="30">
        <v>0.4845074421296296</v>
      </c>
      <c r="F152" s="30">
        <v>0.4845305902777778</v>
      </c>
      <c r="G152" s="30">
        <v>0.4860352199074074</v>
      </c>
      <c r="H152" s="35">
        <f t="shared" si="1"/>
        <v>35.01485</v>
      </c>
      <c r="I152" s="35">
        <f t="shared" si="2"/>
        <v>2.166666667</v>
      </c>
      <c r="J152" s="39">
        <f t="shared" si="3"/>
        <v>11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customHeight="1">
      <c r="A153" s="22">
        <v>151.0</v>
      </c>
      <c r="B153" s="24">
        <v>46261.0</v>
      </c>
      <c r="C153" s="29" t="s">
        <v>4</v>
      </c>
      <c r="D153" s="30">
        <v>0.4643568402777777</v>
      </c>
      <c r="E153" s="30">
        <v>0.4860352199074074</v>
      </c>
      <c r="F153" s="30">
        <v>0.4860815162037037</v>
      </c>
      <c r="G153" s="30">
        <v>0.4864634606481482</v>
      </c>
      <c r="H153" s="35">
        <f t="shared" si="1"/>
        <v>31.21686667</v>
      </c>
      <c r="I153" s="35">
        <f t="shared" si="2"/>
        <v>0.55</v>
      </c>
      <c r="J153" s="39">
        <f t="shared" si="3"/>
        <v>11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customHeight="1">
      <c r="A154" s="22">
        <v>152.0</v>
      </c>
      <c r="B154" s="24">
        <v>46261.0</v>
      </c>
      <c r="C154" s="29" t="s">
        <v>4</v>
      </c>
      <c r="D154" s="30">
        <v>0.4957609722222222</v>
      </c>
      <c r="E154" s="30">
        <v>0.5110170138888889</v>
      </c>
      <c r="F154" s="30">
        <v>0.5110517361111111</v>
      </c>
      <c r="G154" s="30">
        <v>0.5154730324074074</v>
      </c>
      <c r="H154" s="35">
        <f t="shared" si="1"/>
        <v>21.9687</v>
      </c>
      <c r="I154" s="35">
        <f t="shared" si="2"/>
        <v>6.366666667</v>
      </c>
      <c r="J154" s="39">
        <f t="shared" si="3"/>
        <v>11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customHeight="1">
      <c r="A155" s="22">
        <v>153.0</v>
      </c>
      <c r="B155" s="24">
        <v>46261.0</v>
      </c>
      <c r="C155" s="29" t="s">
        <v>4</v>
      </c>
      <c r="D155" s="30">
        <v>0.4964005787037037</v>
      </c>
      <c r="E155" s="30">
        <v>0.5140967824074074</v>
      </c>
      <c r="F155" s="30">
        <v>0.5141430787037037</v>
      </c>
      <c r="G155" s="30">
        <v>0.5166430787037037</v>
      </c>
      <c r="H155" s="35">
        <f t="shared" si="1"/>
        <v>25.48253333</v>
      </c>
      <c r="I155" s="35">
        <f t="shared" si="2"/>
        <v>3.6</v>
      </c>
      <c r="J155" s="39">
        <f t="shared" si="3"/>
        <v>11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customHeight="1">
      <c r="A156" s="22">
        <v>154.0</v>
      </c>
      <c r="B156" s="24">
        <v>46261.0</v>
      </c>
      <c r="C156" s="29" t="s">
        <v>4</v>
      </c>
      <c r="D156" s="30">
        <v>0.5205240972222223</v>
      </c>
      <c r="E156" s="30">
        <v>0.5350447916666667</v>
      </c>
      <c r="F156" s="30">
        <v>0.5350563657407408</v>
      </c>
      <c r="G156" s="30">
        <v>0.5354383101851852</v>
      </c>
      <c r="H156" s="35">
        <f t="shared" si="1"/>
        <v>20.9098</v>
      </c>
      <c r="I156" s="35">
        <f t="shared" si="2"/>
        <v>0.55</v>
      </c>
      <c r="J156" s="39">
        <f t="shared" si="3"/>
        <v>12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customHeight="1">
      <c r="A157" s="22">
        <v>155.0</v>
      </c>
      <c r="B157" s="24">
        <v>46261.0</v>
      </c>
      <c r="C157" s="29" t="s">
        <v>4</v>
      </c>
      <c r="D157" s="30">
        <v>0.5247081018518518</v>
      </c>
      <c r="E157" s="30">
        <v>0.5384949305555555</v>
      </c>
      <c r="F157" s="30">
        <v>0.5385296527777778</v>
      </c>
      <c r="G157" s="30">
        <v>0.5397680787037037</v>
      </c>
      <c r="H157" s="35">
        <f t="shared" si="1"/>
        <v>19.85303333</v>
      </c>
      <c r="I157" s="35">
        <f t="shared" si="2"/>
        <v>1.783333333</v>
      </c>
      <c r="J157" s="39">
        <f t="shared" si="3"/>
        <v>12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customHeight="1">
      <c r="A158" s="22">
        <v>156.0</v>
      </c>
      <c r="B158" s="24">
        <v>46261.0</v>
      </c>
      <c r="C158" s="29" t="s">
        <v>39</v>
      </c>
      <c r="D158" s="30">
        <v>0.526361863425926</v>
      </c>
      <c r="E158" s="30">
        <v>0.5286916898148148</v>
      </c>
      <c r="F158" s="30">
        <v>0.5287148379629629</v>
      </c>
      <c r="G158" s="30">
        <v>0.5305551157407408</v>
      </c>
      <c r="H158" s="35">
        <f t="shared" si="1"/>
        <v>3.35495</v>
      </c>
      <c r="I158" s="35">
        <f t="shared" si="2"/>
        <v>2.65</v>
      </c>
      <c r="J158" s="39">
        <f t="shared" si="3"/>
        <v>12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customHeight="1">
      <c r="A159" s="22">
        <v>157.0</v>
      </c>
      <c r="B159" s="24">
        <v>46261.0</v>
      </c>
      <c r="C159" s="29" t="s">
        <v>4</v>
      </c>
      <c r="D159" s="30">
        <v>0.5522100231481482</v>
      </c>
      <c r="E159" s="30">
        <v>0.5569671527777778</v>
      </c>
      <c r="F159" s="30">
        <v>0.557001875</v>
      </c>
      <c r="G159" s="30">
        <v>0.5574185416666667</v>
      </c>
      <c r="H159" s="35">
        <f t="shared" si="1"/>
        <v>6.850266667</v>
      </c>
      <c r="I159" s="35">
        <f t="shared" si="2"/>
        <v>0.6</v>
      </c>
      <c r="J159" s="39">
        <f t="shared" si="3"/>
        <v>13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customHeight="1">
      <c r="A160" s="22">
        <v>158.0</v>
      </c>
      <c r="B160" s="24">
        <v>46261.0</v>
      </c>
      <c r="C160" s="29" t="s">
        <v>4</v>
      </c>
      <c r="D160" s="30">
        <v>0.5571534375</v>
      </c>
      <c r="E160" s="30">
        <v>0.5598490972222222</v>
      </c>
      <c r="F160" s="30">
        <v>0.5598838194444444</v>
      </c>
      <c r="G160" s="30">
        <v>0.5627773379629629</v>
      </c>
      <c r="H160" s="35">
        <f t="shared" si="1"/>
        <v>3.88175</v>
      </c>
      <c r="I160" s="35">
        <f t="shared" si="2"/>
        <v>4.166666667</v>
      </c>
      <c r="J160" s="39">
        <f t="shared" si="3"/>
        <v>13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customHeight="1">
      <c r="A161" s="22">
        <v>159.0</v>
      </c>
      <c r="B161" s="24">
        <v>46261.0</v>
      </c>
      <c r="C161" s="29" t="s">
        <v>4</v>
      </c>
      <c r="D161" s="30">
        <v>0.5605597569444444</v>
      </c>
      <c r="E161" s="30">
        <v>0.5627773379629629</v>
      </c>
      <c r="F161" s="30">
        <v>0.5628236342592593</v>
      </c>
      <c r="G161" s="30">
        <v>0.5642935416666667</v>
      </c>
      <c r="H161" s="35">
        <f t="shared" si="1"/>
        <v>3.193316667</v>
      </c>
      <c r="I161" s="35">
        <f t="shared" si="2"/>
        <v>2.116666667</v>
      </c>
      <c r="J161" s="39">
        <f t="shared" si="3"/>
        <v>13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customHeight="1">
      <c r="A162" s="22">
        <v>160.0</v>
      </c>
      <c r="B162" s="24">
        <v>46261.0</v>
      </c>
      <c r="C162" s="29" t="s">
        <v>4</v>
      </c>
      <c r="D162" s="30">
        <v>0.5873398032407408</v>
      </c>
      <c r="E162" s="30">
        <v>0.5898851041666666</v>
      </c>
      <c r="F162" s="30">
        <v>0.5899082523148148</v>
      </c>
      <c r="G162" s="30">
        <v>0.5907763078703704</v>
      </c>
      <c r="H162" s="35">
        <f t="shared" si="1"/>
        <v>3.665233333</v>
      </c>
      <c r="I162" s="35">
        <f t="shared" si="2"/>
        <v>1.25</v>
      </c>
      <c r="J162" s="39">
        <f t="shared" si="3"/>
        <v>14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customHeight="1">
      <c r="A163" s="22">
        <v>161.0</v>
      </c>
      <c r="B163" s="24">
        <v>46261.0</v>
      </c>
      <c r="C163" s="29" t="s">
        <v>4</v>
      </c>
      <c r="D163" s="30">
        <v>0.5884466898148148</v>
      </c>
      <c r="E163" s="30">
        <v>0.5899677199074075</v>
      </c>
      <c r="F163" s="30">
        <v>0.5900024421296297</v>
      </c>
      <c r="G163" s="30">
        <v>0.5910209606481481</v>
      </c>
      <c r="H163" s="35">
        <f t="shared" si="1"/>
        <v>2.190283333</v>
      </c>
      <c r="I163" s="35">
        <f t="shared" si="2"/>
        <v>1.466666667</v>
      </c>
      <c r="J163" s="39">
        <f t="shared" si="3"/>
        <v>14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customHeight="1">
      <c r="A164" s="22">
        <v>162.0</v>
      </c>
      <c r="B164" s="24">
        <v>46261.0</v>
      </c>
      <c r="C164" s="29" t="s">
        <v>4</v>
      </c>
      <c r="D164" s="30">
        <v>0.6008253819444445</v>
      </c>
      <c r="E164" s="30">
        <v>0.6008253819444445</v>
      </c>
      <c r="F164" s="30">
        <v>0.6008716782407407</v>
      </c>
      <c r="G164" s="30">
        <v>0.6026772337962963</v>
      </c>
      <c r="H164" s="35">
        <f t="shared" si="1"/>
        <v>0</v>
      </c>
      <c r="I164" s="35">
        <f t="shared" si="2"/>
        <v>2.6</v>
      </c>
      <c r="J164" s="39">
        <f t="shared" si="3"/>
        <v>14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customHeight="1">
      <c r="A165" s="22">
        <v>163.0</v>
      </c>
      <c r="B165" s="24">
        <v>46261.0</v>
      </c>
      <c r="C165" s="29" t="s">
        <v>4</v>
      </c>
      <c r="D165" s="30">
        <v>0.613395150462963</v>
      </c>
      <c r="E165" s="30">
        <v>0.6146553587962963</v>
      </c>
      <c r="F165" s="30">
        <v>0.6146669328703703</v>
      </c>
      <c r="G165" s="30">
        <v>0.6151414699074074</v>
      </c>
      <c r="H165" s="35">
        <f t="shared" si="1"/>
        <v>1.8147</v>
      </c>
      <c r="I165" s="35">
        <f t="shared" si="2"/>
        <v>0.6833333333</v>
      </c>
      <c r="J165" s="39">
        <f t="shared" si="3"/>
        <v>14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customHeight="1">
      <c r="A166" s="22">
        <v>164.0</v>
      </c>
      <c r="B166" s="24">
        <v>46261.0</v>
      </c>
      <c r="C166" s="29" t="s">
        <v>4</v>
      </c>
      <c r="D166" s="30">
        <v>0.6257401967592593</v>
      </c>
      <c r="E166" s="30">
        <v>0.6281304629629629</v>
      </c>
      <c r="F166" s="30">
        <v>0.6281536111111111</v>
      </c>
      <c r="G166" s="30">
        <v>0.6296698148148149</v>
      </c>
      <c r="H166" s="35">
        <f t="shared" si="1"/>
        <v>3.441983333</v>
      </c>
      <c r="I166" s="35">
        <f t="shared" si="2"/>
        <v>2.183333333</v>
      </c>
      <c r="J166" s="39">
        <f t="shared" si="3"/>
        <v>15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customHeight="1">
      <c r="A167" s="22">
        <v>165.0</v>
      </c>
      <c r="B167" s="24">
        <v>46261.0</v>
      </c>
      <c r="C167" s="29" t="s">
        <v>4</v>
      </c>
      <c r="D167" s="30">
        <v>0.6419175115740741</v>
      </c>
      <c r="E167" s="30">
        <v>0.6419175115740741</v>
      </c>
      <c r="F167" s="30">
        <v>0.6419638078703704</v>
      </c>
      <c r="G167" s="30">
        <v>0.6423457523148148</v>
      </c>
      <c r="H167" s="35">
        <f t="shared" si="1"/>
        <v>0</v>
      </c>
      <c r="I167" s="35">
        <f t="shared" si="2"/>
        <v>0.55</v>
      </c>
      <c r="J167" s="39">
        <f t="shared" si="3"/>
        <v>15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customHeight="1">
      <c r="A168" s="22">
        <v>166.0</v>
      </c>
      <c r="B168" s="24">
        <v>46261.0</v>
      </c>
      <c r="C168" s="29" t="s">
        <v>4</v>
      </c>
      <c r="D168" s="30">
        <v>0.6539222453703704</v>
      </c>
      <c r="E168" s="30">
        <v>0.6539222453703704</v>
      </c>
      <c r="F168" s="30">
        <v>0.6539685416666666</v>
      </c>
      <c r="G168" s="30">
        <v>0.6561676157407407</v>
      </c>
      <c r="H168" s="35">
        <f t="shared" si="1"/>
        <v>0</v>
      </c>
      <c r="I168" s="35">
        <f t="shared" si="2"/>
        <v>3.166666667</v>
      </c>
      <c r="J168" s="39">
        <f t="shared" si="3"/>
        <v>15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customHeight="1">
      <c r="A169" s="22">
        <v>167.0</v>
      </c>
      <c r="B169" s="24">
        <v>46261.0</v>
      </c>
      <c r="C169" s="29" t="s">
        <v>4</v>
      </c>
      <c r="D169" s="30">
        <v>0.6696981249999999</v>
      </c>
      <c r="E169" s="30">
        <v>0.6696981249999999</v>
      </c>
      <c r="F169" s="30">
        <v>0.6697444212962963</v>
      </c>
      <c r="G169" s="30">
        <v>0.671735162037037</v>
      </c>
      <c r="H169" s="35">
        <f t="shared" si="1"/>
        <v>0</v>
      </c>
      <c r="I169" s="35">
        <f t="shared" si="2"/>
        <v>2.866666667</v>
      </c>
      <c r="J169" s="39">
        <f t="shared" si="3"/>
        <v>16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customHeight="1">
      <c r="A170" s="22">
        <v>168.0</v>
      </c>
      <c r="B170" s="24">
        <v>46261.0</v>
      </c>
      <c r="C170" s="29" t="s">
        <v>4</v>
      </c>
      <c r="D170" s="30">
        <v>0.6804369097222223</v>
      </c>
      <c r="E170" s="30">
        <v>0.6804369097222223</v>
      </c>
      <c r="F170" s="30">
        <v>0.6804484837962963</v>
      </c>
      <c r="G170" s="30">
        <v>0.6808304282407408</v>
      </c>
      <c r="H170" s="35">
        <f t="shared" si="1"/>
        <v>0</v>
      </c>
      <c r="I170" s="35">
        <f t="shared" si="2"/>
        <v>0.55</v>
      </c>
      <c r="J170" s="39">
        <f t="shared" si="3"/>
        <v>16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customHeight="1">
      <c r="A171" s="22">
        <v>169.0</v>
      </c>
      <c r="B171" s="24">
        <v>46262.0</v>
      </c>
      <c r="C171" s="29" t="s">
        <v>4</v>
      </c>
      <c r="D171" s="30">
        <v>0.3010414583333333</v>
      </c>
      <c r="E171" s="30">
        <v>0.3044133680555555</v>
      </c>
      <c r="F171" s="30">
        <v>0.3044480902777777</v>
      </c>
      <c r="G171" s="30">
        <v>0.3056980902777778</v>
      </c>
      <c r="H171" s="35">
        <f t="shared" si="1"/>
        <v>4.85555</v>
      </c>
      <c r="I171" s="35">
        <f t="shared" si="2"/>
        <v>1.8</v>
      </c>
      <c r="J171" s="39">
        <f t="shared" si="3"/>
        <v>7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customHeight="1">
      <c r="A172" s="22">
        <v>170.0</v>
      </c>
      <c r="B172" s="24">
        <v>46262.0</v>
      </c>
      <c r="C172" s="29" t="s">
        <v>4</v>
      </c>
      <c r="D172" s="30">
        <v>0.3052578935185185</v>
      </c>
      <c r="E172" s="30">
        <v>0.3097374421296296</v>
      </c>
      <c r="F172" s="30">
        <v>0.3097721643518518</v>
      </c>
      <c r="G172" s="30">
        <v>0.3166355902777778</v>
      </c>
      <c r="H172" s="35">
        <f t="shared" si="1"/>
        <v>6.45055</v>
      </c>
      <c r="I172" s="35">
        <f t="shared" si="2"/>
        <v>9.883333333</v>
      </c>
      <c r="J172" s="39">
        <f t="shared" si="3"/>
        <v>7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customHeight="1">
      <c r="A173" s="22">
        <v>171.0</v>
      </c>
      <c r="B173" s="24">
        <v>46262.0</v>
      </c>
      <c r="C173" s="29" t="s">
        <v>4</v>
      </c>
      <c r="D173" s="30">
        <v>0.3213141898148148</v>
      </c>
      <c r="E173" s="30">
        <v>0.3269756134259259</v>
      </c>
      <c r="F173" s="30">
        <v>0.3270219097222222</v>
      </c>
      <c r="G173" s="30">
        <v>0.3288737615740741</v>
      </c>
      <c r="H173" s="35">
        <f t="shared" si="1"/>
        <v>8.15245</v>
      </c>
      <c r="I173" s="35">
        <f t="shared" si="2"/>
        <v>2.666666667</v>
      </c>
      <c r="J173" s="39">
        <f t="shared" si="3"/>
        <v>7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customHeight="1">
      <c r="A174" s="22">
        <v>172.0</v>
      </c>
      <c r="B174" s="24">
        <v>46262.0</v>
      </c>
      <c r="C174" s="29" t="s">
        <v>4</v>
      </c>
      <c r="D174" s="30">
        <v>0.3233052430555556</v>
      </c>
      <c r="E174" s="30">
        <v>0.3302279282407407</v>
      </c>
      <c r="F174" s="30">
        <v>0.3302626504629629</v>
      </c>
      <c r="G174" s="30">
        <v>0.3324501504629629</v>
      </c>
      <c r="H174" s="35">
        <f t="shared" si="1"/>
        <v>9.968666667</v>
      </c>
      <c r="I174" s="35">
        <f t="shared" si="2"/>
        <v>3.15</v>
      </c>
      <c r="J174" s="39">
        <f t="shared" si="3"/>
        <v>7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customHeight="1">
      <c r="A175" s="22">
        <v>173.0</v>
      </c>
      <c r="B175" s="24">
        <v>46262.0</v>
      </c>
      <c r="C175" s="29" t="s">
        <v>4</v>
      </c>
      <c r="D175" s="30">
        <v>0.3286487962962963</v>
      </c>
      <c r="E175" s="30">
        <v>0.3391059259259259</v>
      </c>
      <c r="F175" s="30">
        <v>0.3391175</v>
      </c>
      <c r="G175" s="30">
        <v>0.3404022222222222</v>
      </c>
      <c r="H175" s="35">
        <f t="shared" si="1"/>
        <v>15.05826667</v>
      </c>
      <c r="I175" s="35">
        <f t="shared" si="2"/>
        <v>1.85</v>
      </c>
      <c r="J175" s="39">
        <f t="shared" si="3"/>
        <v>7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customHeight="1">
      <c r="A176" s="22">
        <v>174.0</v>
      </c>
      <c r="B176" s="24">
        <v>46262.0</v>
      </c>
      <c r="C176" s="29" t="s">
        <v>4</v>
      </c>
      <c r="D176" s="30">
        <v>0.3394409143518519</v>
      </c>
      <c r="E176" s="30">
        <v>0.3484444328703704</v>
      </c>
      <c r="F176" s="30">
        <v>0.3484560069444445</v>
      </c>
      <c r="G176" s="30">
        <v>0.3510833217592592</v>
      </c>
      <c r="H176" s="35">
        <f t="shared" si="1"/>
        <v>12.96506667</v>
      </c>
      <c r="I176" s="35">
        <f t="shared" si="2"/>
        <v>3.783333333</v>
      </c>
      <c r="J176" s="39">
        <f t="shared" si="3"/>
        <v>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customHeight="1">
      <c r="A177" s="22">
        <v>175.0</v>
      </c>
      <c r="B177" s="24">
        <v>46262.0</v>
      </c>
      <c r="C177" s="29" t="s">
        <v>4</v>
      </c>
      <c r="D177" s="30">
        <v>0.3475255208333334</v>
      </c>
      <c r="E177" s="30">
        <v>0.3566620254629629</v>
      </c>
      <c r="F177" s="30">
        <v>0.3566967476851852</v>
      </c>
      <c r="G177" s="30">
        <v>0.3614652662037037</v>
      </c>
      <c r="H177" s="35">
        <f t="shared" si="1"/>
        <v>13.15656667</v>
      </c>
      <c r="I177" s="35">
        <f t="shared" si="2"/>
        <v>6.866666667</v>
      </c>
      <c r="J177" s="39">
        <f t="shared" si="3"/>
        <v>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customHeight="1">
      <c r="A178" s="22">
        <v>176.0</v>
      </c>
      <c r="B178" s="24">
        <v>46262.0</v>
      </c>
      <c r="C178" s="29" t="s">
        <v>4</v>
      </c>
      <c r="D178" s="30">
        <v>0.3488895486111111</v>
      </c>
      <c r="E178" s="30">
        <v>0.359024224537037</v>
      </c>
      <c r="F178" s="30">
        <v>0.3590705208333334</v>
      </c>
      <c r="G178" s="30">
        <v>0.3602973726851852</v>
      </c>
      <c r="H178" s="35">
        <f t="shared" si="1"/>
        <v>14.59393333</v>
      </c>
      <c r="I178" s="35">
        <f t="shared" si="2"/>
        <v>1.766666667</v>
      </c>
      <c r="J178" s="39">
        <f t="shared" si="3"/>
        <v>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customHeight="1">
      <c r="A179" s="22">
        <v>177.0</v>
      </c>
      <c r="B179" s="24">
        <v>46262.0</v>
      </c>
      <c r="C179" s="29" t="s">
        <v>39</v>
      </c>
      <c r="D179" s="30">
        <v>0.3610018634259259</v>
      </c>
      <c r="E179" s="30">
        <v>0.3611191319444444</v>
      </c>
      <c r="F179" s="30">
        <v>0.3611307060185185</v>
      </c>
      <c r="G179" s="30">
        <v>0.3632834837962963</v>
      </c>
      <c r="H179" s="35">
        <f t="shared" si="1"/>
        <v>0.1688666667</v>
      </c>
      <c r="I179" s="35">
        <f t="shared" si="2"/>
        <v>3.1</v>
      </c>
      <c r="J179" s="39">
        <f t="shared" si="3"/>
        <v>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customHeight="1">
      <c r="A180" s="22">
        <v>178.0</v>
      </c>
      <c r="B180" s="24">
        <v>46262.0</v>
      </c>
      <c r="C180" s="29" t="s">
        <v>4</v>
      </c>
      <c r="D180" s="30">
        <v>0.3710522800925926</v>
      </c>
      <c r="E180" s="30">
        <v>0.3833066319444444</v>
      </c>
      <c r="F180" s="30">
        <v>0.3833413541666666</v>
      </c>
      <c r="G180" s="30">
        <v>0.3881908912037037</v>
      </c>
      <c r="H180" s="35">
        <f t="shared" si="1"/>
        <v>17.64626667</v>
      </c>
      <c r="I180" s="35">
        <f t="shared" si="2"/>
        <v>6.983333333</v>
      </c>
      <c r="J180" s="39">
        <f t="shared" si="3"/>
        <v>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customHeight="1">
      <c r="A181" s="22">
        <v>179.0</v>
      </c>
      <c r="B181" s="24">
        <v>46262.0</v>
      </c>
      <c r="C181" s="29" t="s">
        <v>4</v>
      </c>
      <c r="D181" s="30">
        <v>0.3729660532407407</v>
      </c>
      <c r="E181" s="30">
        <v>0.3835156481481481</v>
      </c>
      <c r="F181" s="30">
        <v>0.3835619444444445</v>
      </c>
      <c r="G181" s="30">
        <v>0.386918425925926</v>
      </c>
      <c r="H181" s="35">
        <f t="shared" si="1"/>
        <v>15.19141667</v>
      </c>
      <c r="I181" s="35">
        <f t="shared" si="2"/>
        <v>4.833333333</v>
      </c>
      <c r="J181" s="39">
        <f t="shared" si="3"/>
        <v>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customHeight="1">
      <c r="A182" s="22">
        <v>180.0</v>
      </c>
      <c r="B182" s="24">
        <v>46262.0</v>
      </c>
      <c r="C182" s="29" t="s">
        <v>4</v>
      </c>
      <c r="D182" s="30">
        <v>0.3783970717592593</v>
      </c>
      <c r="E182" s="30">
        <v>0.3943026851851852</v>
      </c>
      <c r="F182" s="30">
        <v>0.3943374074074074</v>
      </c>
      <c r="G182" s="30">
        <v>0.3947193518518519</v>
      </c>
      <c r="H182" s="35">
        <f t="shared" si="1"/>
        <v>22.90408333</v>
      </c>
      <c r="I182" s="35">
        <f t="shared" si="2"/>
        <v>0.55</v>
      </c>
      <c r="J182" s="39">
        <f t="shared" si="3"/>
        <v>9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customHeight="1">
      <c r="A183" s="22">
        <v>181.0</v>
      </c>
      <c r="B183" s="24">
        <v>46262.0</v>
      </c>
      <c r="C183" s="29" t="s">
        <v>4</v>
      </c>
      <c r="D183" s="30">
        <v>0.3804534837962962</v>
      </c>
      <c r="E183" s="30">
        <v>0.397555</v>
      </c>
      <c r="F183" s="30">
        <v>0.3975665740740741</v>
      </c>
      <c r="G183" s="30">
        <v>0.3979485185185185</v>
      </c>
      <c r="H183" s="35">
        <f t="shared" si="1"/>
        <v>24.62618333</v>
      </c>
      <c r="I183" s="35">
        <f t="shared" si="2"/>
        <v>0.55</v>
      </c>
      <c r="J183" s="39">
        <f t="shared" si="3"/>
        <v>9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customHeight="1">
      <c r="A184" s="22">
        <v>182.0</v>
      </c>
      <c r="B184" s="24">
        <v>46262.0</v>
      </c>
      <c r="C184" s="29" t="s">
        <v>4</v>
      </c>
      <c r="D184" s="30">
        <v>0.3893617592592593</v>
      </c>
      <c r="E184" s="30">
        <v>0.4092314699074074</v>
      </c>
      <c r="F184" s="30">
        <v>0.4092661921296297</v>
      </c>
      <c r="G184" s="30">
        <v>0.411037025462963</v>
      </c>
      <c r="H184" s="35">
        <f t="shared" si="1"/>
        <v>28.61238333</v>
      </c>
      <c r="I184" s="35">
        <f t="shared" si="2"/>
        <v>2.55</v>
      </c>
      <c r="J184" s="39">
        <f t="shared" si="3"/>
        <v>9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customHeight="1">
      <c r="A185" s="22">
        <v>183.0</v>
      </c>
      <c r="B185" s="24">
        <v>46262.0</v>
      </c>
      <c r="C185" s="29" t="s">
        <v>4</v>
      </c>
      <c r="D185" s="30">
        <v>0.4051495138888889</v>
      </c>
      <c r="E185" s="30">
        <v>0.428330462962963</v>
      </c>
      <c r="F185" s="30">
        <v>0.4283536111111111</v>
      </c>
      <c r="G185" s="30">
        <v>0.4310850925925926</v>
      </c>
      <c r="H185" s="35">
        <f t="shared" si="1"/>
        <v>33.38056667</v>
      </c>
      <c r="I185" s="35">
        <f t="shared" si="2"/>
        <v>3.933333333</v>
      </c>
      <c r="J185" s="39">
        <f t="shared" si="3"/>
        <v>9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customHeight="1">
      <c r="A186" s="22">
        <v>184.0</v>
      </c>
      <c r="B186" s="24">
        <v>46262.0</v>
      </c>
      <c r="C186" s="29" t="s">
        <v>39</v>
      </c>
      <c r="D186" s="30">
        <v>0.4060910532407407</v>
      </c>
      <c r="E186" s="30">
        <v>0.4062580208333333</v>
      </c>
      <c r="F186" s="30">
        <v>0.4062927430555556</v>
      </c>
      <c r="G186" s="30">
        <v>0.4082719097222222</v>
      </c>
      <c r="H186" s="35">
        <f t="shared" si="1"/>
        <v>0.2404333333</v>
      </c>
      <c r="I186" s="35">
        <f t="shared" si="2"/>
        <v>2.85</v>
      </c>
      <c r="J186" s="39">
        <f t="shared" si="3"/>
        <v>9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customHeight="1">
      <c r="A187" s="22">
        <v>185.0</v>
      </c>
      <c r="B187" s="24">
        <v>46262.0</v>
      </c>
      <c r="C187" s="29" t="s">
        <v>4</v>
      </c>
      <c r="D187" s="30">
        <v>0.4107488657407407</v>
      </c>
      <c r="E187" s="30">
        <v>0.4374508333333333</v>
      </c>
      <c r="F187" s="30">
        <v>0.4374971296296296</v>
      </c>
      <c r="G187" s="30">
        <v>0.4391869444444444</v>
      </c>
      <c r="H187" s="35">
        <f t="shared" si="1"/>
        <v>38.45083333</v>
      </c>
      <c r="I187" s="35">
        <f t="shared" si="2"/>
        <v>2.433333333</v>
      </c>
      <c r="J187" s="39">
        <f t="shared" si="3"/>
        <v>9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customHeight="1">
      <c r="A188" s="22">
        <v>186.0</v>
      </c>
      <c r="B188" s="24">
        <v>46262.0</v>
      </c>
      <c r="C188" s="29" t="s">
        <v>4</v>
      </c>
      <c r="D188" s="30">
        <v>0.4161618287037037</v>
      </c>
      <c r="E188" s="30">
        <v>0.4425152199074074</v>
      </c>
      <c r="F188" s="30">
        <v>0.4425267939814815</v>
      </c>
      <c r="G188" s="30">
        <v>0.4429781828703704</v>
      </c>
      <c r="H188" s="35">
        <f t="shared" si="1"/>
        <v>37.94888333</v>
      </c>
      <c r="I188" s="35">
        <f t="shared" si="2"/>
        <v>0.65</v>
      </c>
      <c r="J188" s="39">
        <f t="shared" si="3"/>
        <v>9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customHeight="1">
      <c r="A189" s="22">
        <v>187.0</v>
      </c>
      <c r="B189" s="24">
        <v>46262.0</v>
      </c>
      <c r="C189" s="29" t="s">
        <v>4</v>
      </c>
      <c r="D189" s="30">
        <v>0.4293155208333333</v>
      </c>
      <c r="E189" s="30">
        <v>0.4528161458333334</v>
      </c>
      <c r="F189" s="30">
        <v>0.4528624421296297</v>
      </c>
      <c r="G189" s="30">
        <v>0.4550267939814815</v>
      </c>
      <c r="H189" s="35">
        <f t="shared" si="1"/>
        <v>33.8409</v>
      </c>
      <c r="I189" s="35">
        <f t="shared" si="2"/>
        <v>3.116666667</v>
      </c>
      <c r="J189" s="39">
        <f t="shared" si="3"/>
        <v>10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customHeight="1">
      <c r="A190" s="22">
        <v>188.0</v>
      </c>
      <c r="B190" s="24">
        <v>46262.0</v>
      </c>
      <c r="C190" s="29" t="s">
        <v>4</v>
      </c>
      <c r="D190" s="30">
        <v>0.4394944212962963</v>
      </c>
      <c r="E190" s="30">
        <v>0.4640347106481482</v>
      </c>
      <c r="F190" s="30">
        <v>0.4640462847222223</v>
      </c>
      <c r="G190" s="30">
        <v>0.4654583217592593</v>
      </c>
      <c r="H190" s="35">
        <f t="shared" si="1"/>
        <v>35.33801667</v>
      </c>
      <c r="I190" s="35">
        <f t="shared" si="2"/>
        <v>2.033333333</v>
      </c>
      <c r="J190" s="39">
        <f t="shared" si="3"/>
        <v>10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customHeight="1">
      <c r="A191" s="22">
        <v>189.0</v>
      </c>
      <c r="B191" s="24">
        <v>46262.0</v>
      </c>
      <c r="C191" s="29" t="s">
        <v>4</v>
      </c>
      <c r="D191" s="30">
        <v>0.4405986805555556</v>
      </c>
      <c r="E191" s="30">
        <v>0.4651591666666667</v>
      </c>
      <c r="F191" s="30">
        <v>0.4651707407407407</v>
      </c>
      <c r="G191" s="30">
        <v>0.4707841666666667</v>
      </c>
      <c r="H191" s="35">
        <f t="shared" si="1"/>
        <v>35.3671</v>
      </c>
      <c r="I191" s="35">
        <f t="shared" si="2"/>
        <v>8.083333333</v>
      </c>
      <c r="J191" s="39">
        <f t="shared" si="3"/>
        <v>10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customHeight="1">
      <c r="A192" s="22">
        <v>190.0</v>
      </c>
      <c r="B192" s="24">
        <v>46262.0</v>
      </c>
      <c r="C192" s="29" t="s">
        <v>4</v>
      </c>
      <c r="D192" s="30">
        <v>0.4458645833333333</v>
      </c>
      <c r="E192" s="30">
        <v>0.4697142939814815</v>
      </c>
      <c r="F192" s="30">
        <v>0.4697374421296296</v>
      </c>
      <c r="G192" s="30">
        <v>0.4718439236111112</v>
      </c>
      <c r="H192" s="35">
        <f t="shared" si="1"/>
        <v>34.34358333</v>
      </c>
      <c r="I192" s="35">
        <f t="shared" si="2"/>
        <v>3.033333333</v>
      </c>
      <c r="J192" s="39">
        <f t="shared" si="3"/>
        <v>10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customHeight="1">
      <c r="A193" s="22">
        <v>191.0</v>
      </c>
      <c r="B193" s="24">
        <v>46262.0</v>
      </c>
      <c r="C193" s="29" t="s">
        <v>39</v>
      </c>
      <c r="D193" s="30">
        <v>0.4571979282407407</v>
      </c>
      <c r="E193" s="30">
        <v>0.4586538541666667</v>
      </c>
      <c r="F193" s="30">
        <v>0.458700150462963</v>
      </c>
      <c r="G193" s="30">
        <v>0.4598691319444445</v>
      </c>
      <c r="H193" s="35">
        <f t="shared" si="1"/>
        <v>2.096533333</v>
      </c>
      <c r="I193" s="35">
        <f t="shared" si="2"/>
        <v>1.683333333</v>
      </c>
      <c r="J193" s="39">
        <f t="shared" si="3"/>
        <v>10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customHeight="1">
      <c r="A194" s="22">
        <v>192.0</v>
      </c>
      <c r="B194" s="24">
        <v>46262.0</v>
      </c>
      <c r="C194" s="29" t="s">
        <v>4</v>
      </c>
      <c r="D194" s="30">
        <v>0.4594503009259259</v>
      </c>
      <c r="E194" s="30">
        <v>0.4856517939814815</v>
      </c>
      <c r="F194" s="30">
        <v>0.4856633680555556</v>
      </c>
      <c r="G194" s="30">
        <v>0.4885105902777778</v>
      </c>
      <c r="H194" s="35">
        <f t="shared" si="1"/>
        <v>37.73015</v>
      </c>
      <c r="I194" s="35">
        <f t="shared" si="2"/>
        <v>4.1</v>
      </c>
      <c r="J194" s="39">
        <f t="shared" si="3"/>
        <v>11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customHeight="1">
      <c r="A195" s="22">
        <v>193.0</v>
      </c>
      <c r="B195" s="24">
        <v>46262.0</v>
      </c>
      <c r="C195" s="29" t="s">
        <v>4</v>
      </c>
      <c r="D195" s="30">
        <v>0.4747324768518518</v>
      </c>
      <c r="E195" s="30">
        <v>0.4962239814814815</v>
      </c>
      <c r="F195" s="30">
        <v>0.4962702777777778</v>
      </c>
      <c r="G195" s="30">
        <v>0.4980411111111111</v>
      </c>
      <c r="H195" s="35">
        <f t="shared" si="1"/>
        <v>30.94776667</v>
      </c>
      <c r="I195" s="35">
        <f t="shared" si="2"/>
        <v>2.55</v>
      </c>
      <c r="J195" s="39">
        <f t="shared" si="3"/>
        <v>11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customHeight="1">
      <c r="A196" s="22">
        <v>194.0</v>
      </c>
      <c r="B196" s="24">
        <v>46262.0</v>
      </c>
      <c r="C196" s="29" t="s">
        <v>4</v>
      </c>
      <c r="D196" s="30">
        <v>0.4862552893518519</v>
      </c>
      <c r="E196" s="30">
        <v>0.5036776851851852</v>
      </c>
      <c r="F196" s="30">
        <v>0.5036892592592592</v>
      </c>
      <c r="G196" s="30">
        <v>0.5055063888888889</v>
      </c>
      <c r="H196" s="35">
        <f t="shared" si="1"/>
        <v>25.08825</v>
      </c>
      <c r="I196" s="35">
        <f t="shared" si="2"/>
        <v>2.616666667</v>
      </c>
      <c r="J196" s="39">
        <f t="shared" si="3"/>
        <v>11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customHeight="1">
      <c r="A197" s="22">
        <v>195.0</v>
      </c>
      <c r="B197" s="24">
        <v>46262.0</v>
      </c>
      <c r="C197" s="29" t="s">
        <v>4</v>
      </c>
      <c r="D197" s="30">
        <v>0.4934680208333334</v>
      </c>
      <c r="E197" s="30">
        <v>0.5148994791666667</v>
      </c>
      <c r="F197" s="30">
        <v>0.5149226273148149</v>
      </c>
      <c r="G197" s="30">
        <v>0.516508275462963</v>
      </c>
      <c r="H197" s="35">
        <f t="shared" si="1"/>
        <v>30.8613</v>
      </c>
      <c r="I197" s="35">
        <f t="shared" si="2"/>
        <v>2.283333333</v>
      </c>
      <c r="J197" s="39">
        <f t="shared" si="3"/>
        <v>11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customHeight="1">
      <c r="A198" s="22">
        <v>196.0</v>
      </c>
      <c r="B198" s="24">
        <v>46262.0</v>
      </c>
      <c r="C198" s="29" t="s">
        <v>4</v>
      </c>
      <c r="D198" s="30">
        <v>0.5040079861111111</v>
      </c>
      <c r="E198" s="30">
        <v>0.5214735532407407</v>
      </c>
      <c r="F198" s="30">
        <v>0.5215198495370371</v>
      </c>
      <c r="G198" s="30">
        <v>0.5268670717592593</v>
      </c>
      <c r="H198" s="35">
        <f t="shared" si="1"/>
        <v>25.15041667</v>
      </c>
      <c r="I198" s="35">
        <f t="shared" si="2"/>
        <v>7.7</v>
      </c>
      <c r="J198" s="39">
        <f t="shared" si="3"/>
        <v>12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customHeight="1">
      <c r="A199" s="22">
        <v>197.0</v>
      </c>
      <c r="B199" s="24">
        <v>46262.0</v>
      </c>
      <c r="C199" s="29" t="s">
        <v>4</v>
      </c>
      <c r="D199" s="30">
        <v>0.5067548263888889</v>
      </c>
      <c r="E199" s="30">
        <v>0.5227633333333334</v>
      </c>
      <c r="F199" s="30">
        <v>0.5227864814814814</v>
      </c>
      <c r="G199" s="30">
        <v>0.5247887962962963</v>
      </c>
      <c r="H199" s="35">
        <f t="shared" si="1"/>
        <v>23.05225</v>
      </c>
      <c r="I199" s="35">
        <f t="shared" si="2"/>
        <v>2.883333333</v>
      </c>
      <c r="J199" s="39">
        <f t="shared" si="3"/>
        <v>12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customHeight="1">
      <c r="A200" s="22">
        <v>198.0</v>
      </c>
      <c r="B200" s="24">
        <v>46262.0</v>
      </c>
      <c r="C200" s="29" t="s">
        <v>4</v>
      </c>
      <c r="D200" s="30">
        <v>0.5421504513888888</v>
      </c>
      <c r="E200" s="30">
        <v>0.5450897222222222</v>
      </c>
      <c r="F200" s="30">
        <v>0.5451244444444444</v>
      </c>
      <c r="G200" s="30">
        <v>0.5466869444444444</v>
      </c>
      <c r="H200" s="35">
        <f t="shared" si="1"/>
        <v>4.23255</v>
      </c>
      <c r="I200" s="35">
        <f t="shared" si="2"/>
        <v>2.25</v>
      </c>
      <c r="J200" s="39">
        <f t="shared" si="3"/>
        <v>13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customHeight="1">
      <c r="A201" s="22">
        <v>199.0</v>
      </c>
      <c r="B201" s="24">
        <v>46262.0</v>
      </c>
      <c r="C201" s="29" t="s">
        <v>4</v>
      </c>
      <c r="D201" s="30">
        <v>0.5542948726851852</v>
      </c>
      <c r="E201" s="30">
        <v>0.5575267939814815</v>
      </c>
      <c r="F201" s="30">
        <v>0.5575383680555556</v>
      </c>
      <c r="G201" s="30">
        <v>0.5579203125000001</v>
      </c>
      <c r="H201" s="35">
        <f t="shared" si="1"/>
        <v>4.653966667</v>
      </c>
      <c r="I201" s="35">
        <f t="shared" si="2"/>
        <v>0.55</v>
      </c>
      <c r="J201" s="39">
        <f t="shared" si="3"/>
        <v>13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customHeight="1">
      <c r="A202" s="22">
        <v>200.0</v>
      </c>
      <c r="B202" s="24">
        <v>46262.0</v>
      </c>
      <c r="C202" s="29" t="s">
        <v>4</v>
      </c>
      <c r="D202" s="30">
        <v>0.560816886574074</v>
      </c>
      <c r="E202" s="30">
        <v>0.562555</v>
      </c>
      <c r="F202" s="30">
        <v>0.5625781481481481</v>
      </c>
      <c r="G202" s="30">
        <v>0.5657262962962963</v>
      </c>
      <c r="H202" s="35">
        <f t="shared" si="1"/>
        <v>2.502883333</v>
      </c>
      <c r="I202" s="35">
        <f t="shared" si="2"/>
        <v>4.533333333</v>
      </c>
      <c r="J202" s="39">
        <f t="shared" si="3"/>
        <v>13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customHeight="1">
      <c r="A203" s="22">
        <v>201.0</v>
      </c>
      <c r="B203" s="24">
        <v>46262.0</v>
      </c>
      <c r="C203" s="29" t="s">
        <v>4</v>
      </c>
      <c r="D203" s="30">
        <v>0.5915561226851852</v>
      </c>
      <c r="E203" s="30">
        <v>0.5915561226851852</v>
      </c>
      <c r="F203" s="30">
        <v>0.5916024189814815</v>
      </c>
      <c r="G203" s="30">
        <v>0.593234363425926</v>
      </c>
      <c r="H203" s="35">
        <f t="shared" si="1"/>
        <v>0</v>
      </c>
      <c r="I203" s="35">
        <f t="shared" si="2"/>
        <v>2.35</v>
      </c>
      <c r="J203" s="39">
        <f t="shared" si="3"/>
        <v>14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customHeight="1">
      <c r="A204" s="22">
        <v>202.0</v>
      </c>
      <c r="B204" s="24">
        <v>46262.0</v>
      </c>
      <c r="C204" s="29" t="s">
        <v>4</v>
      </c>
      <c r="D204" s="30">
        <v>0.6090410185185186</v>
      </c>
      <c r="E204" s="30">
        <v>0.6113477893518519</v>
      </c>
      <c r="F204" s="30">
        <v>0.6113825115740741</v>
      </c>
      <c r="G204" s="30">
        <v>0.6131417708333333</v>
      </c>
      <c r="H204" s="35">
        <f t="shared" si="1"/>
        <v>3.32175</v>
      </c>
      <c r="I204" s="35">
        <f t="shared" si="2"/>
        <v>2.533333333</v>
      </c>
      <c r="J204" s="39">
        <f t="shared" si="3"/>
        <v>14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customHeight="1">
      <c r="A205" s="22">
        <v>203.0</v>
      </c>
      <c r="B205" s="24">
        <v>46262.0</v>
      </c>
      <c r="C205" s="29" t="s">
        <v>4</v>
      </c>
      <c r="D205" s="30">
        <v>0.6194508333333334</v>
      </c>
      <c r="E205" s="30">
        <v>0.6262024884259259</v>
      </c>
      <c r="F205" s="30">
        <v>0.626225636574074</v>
      </c>
      <c r="G205" s="30">
        <v>0.6276608217592592</v>
      </c>
      <c r="H205" s="35">
        <f t="shared" si="1"/>
        <v>9.722383333</v>
      </c>
      <c r="I205" s="35">
        <f t="shared" si="2"/>
        <v>2.066666667</v>
      </c>
      <c r="J205" s="39">
        <f t="shared" si="3"/>
        <v>14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customHeight="1">
      <c r="A206" s="22">
        <v>204.0</v>
      </c>
      <c r="B206" s="24">
        <v>46262.0</v>
      </c>
      <c r="C206" s="29" t="s">
        <v>4</v>
      </c>
      <c r="D206" s="30">
        <v>0.6223491435185186</v>
      </c>
      <c r="E206" s="30">
        <v>0.6275862152777778</v>
      </c>
      <c r="F206" s="30">
        <v>0.6275977893518518</v>
      </c>
      <c r="G206" s="30">
        <v>0.6309079745370371</v>
      </c>
      <c r="H206" s="35">
        <f t="shared" si="1"/>
        <v>7.541383333</v>
      </c>
      <c r="I206" s="35">
        <f t="shared" si="2"/>
        <v>4.766666667</v>
      </c>
      <c r="J206" s="39">
        <f t="shared" si="3"/>
        <v>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customHeight="1">
      <c r="A207" s="22">
        <v>205.0</v>
      </c>
      <c r="B207" s="24">
        <v>46262.0</v>
      </c>
      <c r="C207" s="29" t="s">
        <v>4</v>
      </c>
      <c r="D207" s="30">
        <v>0.6276411689814815</v>
      </c>
      <c r="E207" s="30">
        <v>0.6289914351851852</v>
      </c>
      <c r="F207" s="30">
        <v>0.6290145833333334</v>
      </c>
      <c r="G207" s="30">
        <v>0.6312136574074074</v>
      </c>
      <c r="H207" s="35">
        <f t="shared" si="1"/>
        <v>1.944383333</v>
      </c>
      <c r="I207" s="35">
        <f t="shared" si="2"/>
        <v>3.166666667</v>
      </c>
      <c r="J207" s="39">
        <f t="shared" si="3"/>
        <v>15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customHeight="1">
      <c r="A208" s="22">
        <v>206.0</v>
      </c>
      <c r="B208" s="24">
        <v>46262.0</v>
      </c>
      <c r="C208" s="29" t="s">
        <v>4</v>
      </c>
      <c r="D208" s="30">
        <v>0.6404983912037038</v>
      </c>
      <c r="E208" s="30">
        <v>0.640756099537037</v>
      </c>
      <c r="F208" s="30">
        <v>0.6408023958333333</v>
      </c>
      <c r="G208" s="30">
        <v>0.6417167476851852</v>
      </c>
      <c r="H208" s="35">
        <f t="shared" si="1"/>
        <v>0.3711</v>
      </c>
      <c r="I208" s="35">
        <f t="shared" si="2"/>
        <v>1.316666667</v>
      </c>
      <c r="J208" s="39">
        <f t="shared" si="3"/>
        <v>15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customHeight="1">
      <c r="A209" s="22">
        <v>207.0</v>
      </c>
      <c r="B209" s="24">
        <v>46262.0</v>
      </c>
      <c r="C209" s="29" t="s">
        <v>4</v>
      </c>
      <c r="D209" s="30">
        <v>0.6430747453703705</v>
      </c>
      <c r="E209" s="30">
        <v>0.6430747453703705</v>
      </c>
      <c r="F209" s="30">
        <v>0.6430863194444445</v>
      </c>
      <c r="G209" s="30">
        <v>0.645968263888889</v>
      </c>
      <c r="H209" s="35">
        <f t="shared" si="1"/>
        <v>0</v>
      </c>
      <c r="I209" s="35">
        <f t="shared" si="2"/>
        <v>4.15</v>
      </c>
      <c r="J209" s="39">
        <f t="shared" si="3"/>
        <v>15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customHeight="1">
      <c r="A210" s="22">
        <v>208.0</v>
      </c>
      <c r="B210" s="24">
        <v>46262.0</v>
      </c>
      <c r="C210" s="29" t="s">
        <v>4</v>
      </c>
      <c r="D210" s="30">
        <v>0.679623136574074</v>
      </c>
      <c r="E210" s="30">
        <v>0.679623136574074</v>
      </c>
      <c r="F210" s="30">
        <v>0.6796462847222222</v>
      </c>
      <c r="G210" s="30">
        <v>0.6804217476851852</v>
      </c>
      <c r="H210" s="35">
        <f t="shared" si="1"/>
        <v>0</v>
      </c>
      <c r="I210" s="35">
        <f t="shared" si="2"/>
        <v>1.116666667</v>
      </c>
      <c r="J210" s="39">
        <f t="shared" si="3"/>
        <v>16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customHeight="1">
      <c r="A211" s="22">
        <v>209.0</v>
      </c>
      <c r="B211" s="24">
        <v>46262.0</v>
      </c>
      <c r="C211" s="29" t="s">
        <v>4</v>
      </c>
      <c r="D211" s="30">
        <v>0.6962871412037037</v>
      </c>
      <c r="E211" s="30">
        <v>0.6971127083333334</v>
      </c>
      <c r="F211" s="30">
        <v>0.6971358564814815</v>
      </c>
      <c r="G211" s="30">
        <v>0.6989066898148149</v>
      </c>
      <c r="H211" s="35">
        <f t="shared" si="1"/>
        <v>1.188816667</v>
      </c>
      <c r="I211" s="35">
        <f t="shared" si="2"/>
        <v>2.55</v>
      </c>
      <c r="J211" s="39">
        <f t="shared" si="3"/>
        <v>16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customHeight="1">
      <c r="A212" s="22">
        <v>210.0</v>
      </c>
      <c r="B212" s="24">
        <v>46262.0</v>
      </c>
      <c r="C212" s="29" t="s">
        <v>4</v>
      </c>
      <c r="D212" s="30">
        <v>0.7078401388888889</v>
      </c>
      <c r="E212" s="30">
        <v>0.7078401388888889</v>
      </c>
      <c r="F212" s="30">
        <v>0.707863287037037</v>
      </c>
      <c r="G212" s="30">
        <v>0.70988875</v>
      </c>
      <c r="H212" s="35">
        <f t="shared" si="1"/>
        <v>0</v>
      </c>
      <c r="I212" s="35">
        <f t="shared" si="2"/>
        <v>2.916666667</v>
      </c>
      <c r="J212" s="39">
        <f t="shared" si="3"/>
        <v>16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customHeight="1">
      <c r="A213" s="22">
        <v>211.0</v>
      </c>
      <c r="B213" s="24">
        <v>46265.0</v>
      </c>
      <c r="C213" s="29" t="s">
        <v>39</v>
      </c>
      <c r="D213" s="30">
        <v>0.2924902430555555</v>
      </c>
      <c r="E213" s="30">
        <v>0.2924902430555555</v>
      </c>
      <c r="F213" s="30">
        <v>0.2925133912037037</v>
      </c>
      <c r="G213" s="30">
        <v>0.2942263541666666</v>
      </c>
      <c r="H213" s="35">
        <f t="shared" si="1"/>
        <v>0</v>
      </c>
      <c r="I213" s="35">
        <f t="shared" si="2"/>
        <v>2.466666667</v>
      </c>
      <c r="J213" s="39">
        <f t="shared" si="3"/>
        <v>7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ht="15.75" customHeight="1">
      <c r="A214" s="22">
        <v>212.0</v>
      </c>
      <c r="B214" s="24">
        <v>46265.0</v>
      </c>
      <c r="C214" s="29" t="s">
        <v>4</v>
      </c>
      <c r="D214" s="30">
        <v>0.2983751273148148</v>
      </c>
      <c r="E214" s="30">
        <v>0.2983751273148148</v>
      </c>
      <c r="F214" s="30">
        <v>0.298409849537037</v>
      </c>
      <c r="G214" s="30">
        <v>0.300597349537037</v>
      </c>
      <c r="H214" s="35">
        <f t="shared" si="1"/>
        <v>0</v>
      </c>
      <c r="I214" s="35">
        <f t="shared" si="2"/>
        <v>3.15</v>
      </c>
      <c r="J214" s="39">
        <f t="shared" si="3"/>
        <v>7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ht="15.75" customHeight="1">
      <c r="A215" s="22">
        <v>213.0</v>
      </c>
      <c r="B215" s="24">
        <v>46265.0</v>
      </c>
      <c r="C215" s="29" t="s">
        <v>4</v>
      </c>
      <c r="D215" s="30">
        <v>0.3099845023148148</v>
      </c>
      <c r="E215" s="30">
        <v>0.3150533680555556</v>
      </c>
      <c r="F215" s="30">
        <v>0.3150880902777778</v>
      </c>
      <c r="G215" s="30">
        <v>0.3189885532407408</v>
      </c>
      <c r="H215" s="35">
        <f t="shared" si="1"/>
        <v>7.299166667</v>
      </c>
      <c r="I215" s="35">
        <f t="shared" si="2"/>
        <v>5.616666667</v>
      </c>
      <c r="J215" s="39">
        <f t="shared" si="3"/>
        <v>7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ht="15.75" customHeight="1">
      <c r="A216" s="22">
        <v>214.0</v>
      </c>
      <c r="B216" s="24">
        <v>46265.0</v>
      </c>
      <c r="C216" s="29" t="s">
        <v>4</v>
      </c>
      <c r="D216" s="30">
        <v>0.3180464236111111</v>
      </c>
      <c r="E216" s="30">
        <v>0.3298704282407408</v>
      </c>
      <c r="F216" s="30">
        <v>0.3298820023148148</v>
      </c>
      <c r="G216" s="30">
        <v>0.3318495949074074</v>
      </c>
      <c r="H216" s="35">
        <f t="shared" si="1"/>
        <v>17.02656667</v>
      </c>
      <c r="I216" s="35">
        <f t="shared" si="2"/>
        <v>2.833333333</v>
      </c>
      <c r="J216" s="39">
        <f t="shared" si="3"/>
        <v>7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ht="15.75" customHeight="1">
      <c r="A217" s="22">
        <v>215.0</v>
      </c>
      <c r="B217" s="24">
        <v>46265.0</v>
      </c>
      <c r="C217" s="29" t="s">
        <v>4</v>
      </c>
      <c r="D217" s="30">
        <v>0.3190178935185185</v>
      </c>
      <c r="E217" s="30">
        <v>0.3318495949074074</v>
      </c>
      <c r="F217" s="30">
        <v>0.3318958912037037</v>
      </c>
      <c r="G217" s="30">
        <v>0.3347546875</v>
      </c>
      <c r="H217" s="35">
        <f t="shared" si="1"/>
        <v>18.47765</v>
      </c>
      <c r="I217" s="35">
        <f t="shared" si="2"/>
        <v>4.116666667</v>
      </c>
      <c r="J217" s="39">
        <f t="shared" si="3"/>
        <v>7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ht="15.75" customHeight="1">
      <c r="A218" s="22">
        <v>216.0</v>
      </c>
      <c r="B218" s="24">
        <v>46265.0</v>
      </c>
      <c r="C218" s="29" t="s">
        <v>4</v>
      </c>
      <c r="D218" s="30">
        <v>0.3251198148148148</v>
      </c>
      <c r="E218" s="30">
        <v>0.3381690393518518</v>
      </c>
      <c r="F218" s="30">
        <v>0.3381921875</v>
      </c>
      <c r="G218" s="30">
        <v>0.3437245949074074</v>
      </c>
      <c r="H218" s="35">
        <f t="shared" si="1"/>
        <v>18.79088333</v>
      </c>
      <c r="I218" s="35">
        <f t="shared" si="2"/>
        <v>7.966666667</v>
      </c>
      <c r="J218" s="39">
        <f t="shared" si="3"/>
        <v>7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ht="15.75" customHeight="1">
      <c r="A219" s="22">
        <v>217.0</v>
      </c>
      <c r="B219" s="24">
        <v>46265.0</v>
      </c>
      <c r="C219" s="29" t="s">
        <v>39</v>
      </c>
      <c r="D219" s="30">
        <v>0.3340682060185185</v>
      </c>
      <c r="E219" s="30">
        <v>0.3347546875</v>
      </c>
      <c r="F219" s="30">
        <v>0.3347778356481482</v>
      </c>
      <c r="G219" s="30">
        <v>0.3368495949074074</v>
      </c>
      <c r="H219" s="35">
        <f t="shared" si="1"/>
        <v>0.9885333333</v>
      </c>
      <c r="I219" s="35">
        <f t="shared" si="2"/>
        <v>2.983333333</v>
      </c>
      <c r="J219" s="39">
        <f t="shared" si="3"/>
        <v>8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ht="15.75" customHeight="1">
      <c r="A220" s="22">
        <v>218.0</v>
      </c>
      <c r="B220" s="24">
        <v>46265.0</v>
      </c>
      <c r="C220" s="29" t="s">
        <v>4</v>
      </c>
      <c r="D220" s="30">
        <v>0.3354033217592593</v>
      </c>
      <c r="E220" s="30">
        <v>0.3475996643518519</v>
      </c>
      <c r="F220" s="30">
        <v>0.347611238425926</v>
      </c>
      <c r="G220" s="30">
        <v>0.3491274421296297</v>
      </c>
      <c r="H220" s="35">
        <f t="shared" si="1"/>
        <v>17.56273333</v>
      </c>
      <c r="I220" s="35">
        <f t="shared" si="2"/>
        <v>2.183333333</v>
      </c>
      <c r="J220" s="39">
        <f t="shared" si="3"/>
        <v>8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ht="15.75" customHeight="1">
      <c r="A221" s="22">
        <v>219.0</v>
      </c>
      <c r="B221" s="24">
        <v>46265.0</v>
      </c>
      <c r="C221" s="29" t="s">
        <v>4</v>
      </c>
      <c r="D221" s="30">
        <v>0.3355382175925926</v>
      </c>
      <c r="E221" s="30">
        <v>0.3481733796296296</v>
      </c>
      <c r="F221" s="30">
        <v>0.348219675925926</v>
      </c>
      <c r="G221" s="30">
        <v>0.3516571759259259</v>
      </c>
      <c r="H221" s="35">
        <f t="shared" si="1"/>
        <v>18.19463333</v>
      </c>
      <c r="I221" s="35">
        <f t="shared" si="2"/>
        <v>4.95</v>
      </c>
      <c r="J221" s="39">
        <f t="shared" si="3"/>
        <v>8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ht="15.75" customHeight="1">
      <c r="A222" s="22">
        <v>220.0</v>
      </c>
      <c r="B222" s="24">
        <v>46265.0</v>
      </c>
      <c r="C222" s="29" t="s">
        <v>4</v>
      </c>
      <c r="D222" s="30">
        <v>0.3433213773148148</v>
      </c>
      <c r="E222" s="30">
        <v>0.3589954976851852</v>
      </c>
      <c r="F222" s="30">
        <v>0.3590186458333333</v>
      </c>
      <c r="G222" s="30">
        <v>0.3620394791666667</v>
      </c>
      <c r="H222" s="35">
        <f t="shared" si="1"/>
        <v>22.57073333</v>
      </c>
      <c r="I222" s="35">
        <f t="shared" si="2"/>
        <v>4.35</v>
      </c>
      <c r="J222" s="39">
        <f t="shared" si="3"/>
        <v>8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ht="15.75" customHeight="1">
      <c r="A223" s="22">
        <v>221.0</v>
      </c>
      <c r="B223" s="24">
        <v>46265.0</v>
      </c>
      <c r="C223" s="29" t="s">
        <v>4</v>
      </c>
      <c r="D223" s="30">
        <v>0.3480824189814815</v>
      </c>
      <c r="E223" s="30">
        <v>0.3670626273148148</v>
      </c>
      <c r="F223" s="30">
        <v>0.3670742013888889</v>
      </c>
      <c r="G223" s="30">
        <v>0.3690070717592592</v>
      </c>
      <c r="H223" s="35">
        <f t="shared" si="1"/>
        <v>27.3315</v>
      </c>
      <c r="I223" s="35">
        <f t="shared" si="2"/>
        <v>2.783333333</v>
      </c>
      <c r="J223" s="39">
        <f t="shared" si="3"/>
        <v>8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ht="15.75" customHeight="1">
      <c r="A224" s="22">
        <v>222.0</v>
      </c>
      <c r="B224" s="24">
        <v>46265.0</v>
      </c>
      <c r="C224" s="29" t="s">
        <v>39</v>
      </c>
      <c r="D224" s="30">
        <v>0.3532356365740741</v>
      </c>
      <c r="E224" s="30">
        <v>0.3532616319444444</v>
      </c>
      <c r="F224" s="30">
        <v>0.3532847800925926</v>
      </c>
      <c r="G224" s="30">
        <v>0.3544306134259259</v>
      </c>
      <c r="H224" s="35">
        <f t="shared" si="1"/>
        <v>0.03743333333</v>
      </c>
      <c r="I224" s="35">
        <f t="shared" si="2"/>
        <v>1.65</v>
      </c>
      <c r="J224" s="39">
        <f t="shared" si="3"/>
        <v>8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ht="15.75" customHeight="1">
      <c r="A225" s="22">
        <v>223.0</v>
      </c>
      <c r="B225" s="24">
        <v>46265.0</v>
      </c>
      <c r="C225" s="29" t="s">
        <v>4</v>
      </c>
      <c r="D225" s="30">
        <v>0.3732803819444445</v>
      </c>
      <c r="E225" s="30">
        <v>0.4003658680555555</v>
      </c>
      <c r="F225" s="30">
        <v>0.4003890162037037</v>
      </c>
      <c r="G225" s="30">
        <v>0.4011181828703703</v>
      </c>
      <c r="H225" s="35">
        <f t="shared" si="1"/>
        <v>39.0031</v>
      </c>
      <c r="I225" s="35">
        <f t="shared" si="2"/>
        <v>1.05</v>
      </c>
      <c r="J225" s="39">
        <f t="shared" si="3"/>
        <v>8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ht="15.75" customHeight="1">
      <c r="A226" s="22">
        <v>224.0</v>
      </c>
      <c r="B226" s="24">
        <v>46265.0</v>
      </c>
      <c r="C226" s="29" t="s">
        <v>4</v>
      </c>
      <c r="D226" s="30">
        <v>0.377499849537037</v>
      </c>
      <c r="E226" s="30">
        <v>0.4042084606481481</v>
      </c>
      <c r="F226" s="30">
        <v>0.4042316087962963</v>
      </c>
      <c r="G226" s="30">
        <v>0.4066042939814815</v>
      </c>
      <c r="H226" s="35">
        <f t="shared" si="1"/>
        <v>38.4604</v>
      </c>
      <c r="I226" s="35">
        <f t="shared" si="2"/>
        <v>3.416666667</v>
      </c>
      <c r="J226" s="39">
        <f t="shared" si="3"/>
        <v>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ht="15.75" customHeight="1">
      <c r="A227" s="22">
        <v>225.0</v>
      </c>
      <c r="B227" s="24">
        <v>46265.0</v>
      </c>
      <c r="C227" s="29" t="s">
        <v>4</v>
      </c>
      <c r="D227" s="30">
        <v>0.3804827430555556</v>
      </c>
      <c r="E227" s="30">
        <v>0.4074607754629629</v>
      </c>
      <c r="F227" s="30">
        <v>0.4074839236111111</v>
      </c>
      <c r="G227" s="30">
        <v>0.4083288310185185</v>
      </c>
      <c r="H227" s="35">
        <f t="shared" si="1"/>
        <v>38.84836667</v>
      </c>
      <c r="I227" s="35">
        <f t="shared" si="2"/>
        <v>1.216666667</v>
      </c>
      <c r="J227" s="39">
        <f t="shared" si="3"/>
        <v>9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ht="15.75" customHeight="1">
      <c r="A228" s="22">
        <v>226.0</v>
      </c>
      <c r="B228" s="24">
        <v>46265.0</v>
      </c>
      <c r="C228" s="29" t="s">
        <v>4</v>
      </c>
      <c r="D228" s="30">
        <v>0.3877166319444444</v>
      </c>
      <c r="E228" s="30">
        <v>0.4133817129629629</v>
      </c>
      <c r="F228" s="30">
        <v>0.4134048611111111</v>
      </c>
      <c r="G228" s="30">
        <v>0.4154071759259259</v>
      </c>
      <c r="H228" s="35">
        <f t="shared" si="1"/>
        <v>36.95771667</v>
      </c>
      <c r="I228" s="35">
        <f t="shared" si="2"/>
        <v>2.883333333</v>
      </c>
      <c r="J228" s="39">
        <f t="shared" si="3"/>
        <v>9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ht="15.75" customHeight="1">
      <c r="A229" s="22">
        <v>227.0</v>
      </c>
      <c r="B229" s="24">
        <v>46265.0</v>
      </c>
      <c r="C229" s="29" t="s">
        <v>4</v>
      </c>
      <c r="D229" s="30">
        <v>0.4015232638888889</v>
      </c>
      <c r="E229" s="30">
        <v>0.4275715277777778</v>
      </c>
      <c r="F229" s="30">
        <v>0.4276178240740741</v>
      </c>
      <c r="G229" s="30">
        <v>0.4312405092592593</v>
      </c>
      <c r="H229" s="35">
        <f t="shared" si="1"/>
        <v>37.5095</v>
      </c>
      <c r="I229" s="35">
        <f t="shared" si="2"/>
        <v>5.216666667</v>
      </c>
      <c r="J229" s="39">
        <f t="shared" si="3"/>
        <v>9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ht="15.75" customHeight="1">
      <c r="A230" s="22">
        <v>228.0</v>
      </c>
      <c r="B230" s="24">
        <v>46265.0</v>
      </c>
      <c r="C230" s="29" t="s">
        <v>4</v>
      </c>
      <c r="D230" s="30">
        <v>0.4164788194444444</v>
      </c>
      <c r="E230" s="30">
        <v>0.4382825347222222</v>
      </c>
      <c r="F230" s="30">
        <v>0.4383172569444444</v>
      </c>
      <c r="G230" s="30">
        <v>0.4402964236111111</v>
      </c>
      <c r="H230" s="35">
        <f t="shared" si="1"/>
        <v>31.39735</v>
      </c>
      <c r="I230" s="35">
        <f t="shared" si="2"/>
        <v>2.85</v>
      </c>
      <c r="J230" s="39">
        <f t="shared" si="3"/>
        <v>9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ht="15.75" customHeight="1">
      <c r="A231" s="22">
        <v>229.0</v>
      </c>
      <c r="B231" s="24">
        <v>46265.0</v>
      </c>
      <c r="C231" s="29" t="s">
        <v>4</v>
      </c>
      <c r="D231" s="30">
        <v>0.4232874884259259</v>
      </c>
      <c r="E231" s="30">
        <v>0.4448979166666667</v>
      </c>
      <c r="F231" s="30">
        <v>0.444944212962963</v>
      </c>
      <c r="G231" s="30">
        <v>0.4455113425925926</v>
      </c>
      <c r="H231" s="35">
        <f t="shared" si="1"/>
        <v>31.11901667</v>
      </c>
      <c r="I231" s="35">
        <f t="shared" si="2"/>
        <v>0.8166666667</v>
      </c>
      <c r="J231" s="39">
        <f t="shared" si="3"/>
        <v>10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ht="15.75" customHeight="1">
      <c r="A232" s="22">
        <v>230.0</v>
      </c>
      <c r="B232" s="24">
        <v>46265.0</v>
      </c>
      <c r="C232" s="29" t="s">
        <v>39</v>
      </c>
      <c r="D232" s="30">
        <v>0.4242149189814815</v>
      </c>
      <c r="E232" s="30">
        <v>0.4243542939814815</v>
      </c>
      <c r="F232" s="30">
        <v>0.4244005902777778</v>
      </c>
      <c r="G232" s="30">
        <v>0.4263913310185186</v>
      </c>
      <c r="H232" s="35">
        <f t="shared" si="1"/>
        <v>0.2007</v>
      </c>
      <c r="I232" s="35">
        <f t="shared" si="2"/>
        <v>2.866666667</v>
      </c>
      <c r="J232" s="39">
        <f t="shared" si="3"/>
        <v>10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ht="15.75" customHeight="1">
      <c r="A233" s="22">
        <v>231.0</v>
      </c>
      <c r="B233" s="24">
        <v>46265.0</v>
      </c>
      <c r="C233" s="29" t="s">
        <v>4</v>
      </c>
      <c r="D233" s="30">
        <v>0.4252996759259259</v>
      </c>
      <c r="E233" s="30">
        <v>0.4457153356481481</v>
      </c>
      <c r="F233" s="30">
        <v>0.4457500578703704</v>
      </c>
      <c r="G233" s="30">
        <v>0.4463750578703704</v>
      </c>
      <c r="H233" s="35">
        <f t="shared" si="1"/>
        <v>29.39855</v>
      </c>
      <c r="I233" s="35">
        <f t="shared" si="2"/>
        <v>0.9</v>
      </c>
      <c r="J233" s="39">
        <f t="shared" si="3"/>
        <v>10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ht="15.75" customHeight="1">
      <c r="A234" s="22">
        <v>232.0</v>
      </c>
      <c r="B234" s="24">
        <v>46265.0</v>
      </c>
      <c r="C234" s="29" t="s">
        <v>4</v>
      </c>
      <c r="D234" s="30">
        <v>0.4304833680555555</v>
      </c>
      <c r="E234" s="30">
        <v>0.4553608796296296</v>
      </c>
      <c r="F234" s="30">
        <v>0.4554071759259259</v>
      </c>
      <c r="G234" s="30">
        <v>0.4589025462962963</v>
      </c>
      <c r="H234" s="35">
        <f t="shared" si="1"/>
        <v>35.82361667</v>
      </c>
      <c r="I234" s="35">
        <f t="shared" si="2"/>
        <v>5.033333333</v>
      </c>
      <c r="J234" s="39">
        <f t="shared" si="3"/>
        <v>10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ht="15.75" customHeight="1">
      <c r="A235" s="22">
        <v>233.0</v>
      </c>
      <c r="B235" s="24">
        <v>46265.0</v>
      </c>
      <c r="C235" s="29" t="s">
        <v>4</v>
      </c>
      <c r="D235" s="30">
        <v>0.4436695138888889</v>
      </c>
      <c r="E235" s="30">
        <v>0.465835775462963</v>
      </c>
      <c r="F235" s="30">
        <v>0.4658820717592593</v>
      </c>
      <c r="G235" s="30">
        <v>0.4665765162037037</v>
      </c>
      <c r="H235" s="35">
        <f t="shared" si="1"/>
        <v>31.91941667</v>
      </c>
      <c r="I235" s="35">
        <f t="shared" si="2"/>
        <v>1</v>
      </c>
      <c r="J235" s="39">
        <f t="shared" si="3"/>
        <v>10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ht="15.75" customHeight="1">
      <c r="A236" s="22">
        <v>234.0</v>
      </c>
      <c r="B236" s="24">
        <v>46265.0</v>
      </c>
      <c r="C236" s="29" t="s">
        <v>4</v>
      </c>
      <c r="D236" s="30">
        <v>0.4616178356481482</v>
      </c>
      <c r="E236" s="30">
        <v>0.4800070717592592</v>
      </c>
      <c r="F236" s="30">
        <v>0.4800417939814814</v>
      </c>
      <c r="G236" s="30">
        <v>0.4825996643518518</v>
      </c>
      <c r="H236" s="35">
        <f t="shared" si="1"/>
        <v>26.4805</v>
      </c>
      <c r="I236" s="35">
        <f t="shared" si="2"/>
        <v>3.683333333</v>
      </c>
      <c r="J236" s="39">
        <f t="shared" si="3"/>
        <v>11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ht="15.75" customHeight="1">
      <c r="A237" s="22">
        <v>235.0</v>
      </c>
      <c r="B237" s="24">
        <v>46265.0</v>
      </c>
      <c r="C237" s="29" t="s">
        <v>4</v>
      </c>
      <c r="D237" s="30">
        <v>0.4775975347222223</v>
      </c>
      <c r="E237" s="30">
        <v>0.4909743055555555</v>
      </c>
      <c r="F237" s="30">
        <v>0.4909858796296296</v>
      </c>
      <c r="G237" s="30">
        <v>0.4943886574074074</v>
      </c>
      <c r="H237" s="35">
        <f t="shared" si="1"/>
        <v>19.26255</v>
      </c>
      <c r="I237" s="35">
        <f t="shared" si="2"/>
        <v>4.9</v>
      </c>
      <c r="J237" s="39">
        <f t="shared" si="3"/>
        <v>11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ht="15.75" customHeight="1">
      <c r="A238" s="22">
        <v>236.0</v>
      </c>
      <c r="B238" s="24">
        <v>46265.0</v>
      </c>
      <c r="C238" s="29" t="s">
        <v>4</v>
      </c>
      <c r="D238" s="30">
        <v>0.4787614004629629</v>
      </c>
      <c r="E238" s="30">
        <v>0.4923935763888889</v>
      </c>
      <c r="F238" s="30">
        <v>0.4924398726851852</v>
      </c>
      <c r="G238" s="30">
        <v>0.4949167245370371</v>
      </c>
      <c r="H238" s="35">
        <f t="shared" si="1"/>
        <v>19.63033333</v>
      </c>
      <c r="I238" s="35">
        <f t="shared" si="2"/>
        <v>3.566666667</v>
      </c>
      <c r="J238" s="39">
        <f t="shared" si="3"/>
        <v>11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ht="15.75" customHeight="1">
      <c r="A239" s="22">
        <v>237.0</v>
      </c>
      <c r="B239" s="24">
        <v>46265.0</v>
      </c>
      <c r="C239" s="29" t="s">
        <v>4</v>
      </c>
      <c r="D239" s="30">
        <v>0.486220150462963</v>
      </c>
      <c r="E239" s="30">
        <v>0.4976806828703703</v>
      </c>
      <c r="F239" s="30">
        <v>0.4977269791666666</v>
      </c>
      <c r="G239" s="30">
        <v>0.5025765162037037</v>
      </c>
      <c r="H239" s="35">
        <f t="shared" si="1"/>
        <v>16.50316667</v>
      </c>
      <c r="I239" s="35">
        <f t="shared" si="2"/>
        <v>6.983333333</v>
      </c>
      <c r="J239" s="39">
        <f t="shared" si="3"/>
        <v>11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ht="15.75" customHeight="1">
      <c r="A240" s="22">
        <v>238.0</v>
      </c>
      <c r="B240" s="24">
        <v>46265.0</v>
      </c>
      <c r="C240" s="29" t="s">
        <v>4</v>
      </c>
      <c r="D240" s="30">
        <v>0.5353978356481481</v>
      </c>
      <c r="E240" s="30">
        <v>0.5353978356481481</v>
      </c>
      <c r="F240" s="30">
        <v>0.5354325578703704</v>
      </c>
      <c r="G240" s="30">
        <v>0.5371223726851851</v>
      </c>
      <c r="H240" s="35">
        <f t="shared" si="1"/>
        <v>0</v>
      </c>
      <c r="I240" s="35">
        <f t="shared" si="2"/>
        <v>2.433333333</v>
      </c>
      <c r="J240" s="39">
        <f t="shared" si="3"/>
        <v>12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ht="15.75" customHeight="1">
      <c r="A241" s="22">
        <v>239.0</v>
      </c>
      <c r="B241" s="24">
        <v>46265.0</v>
      </c>
      <c r="C241" s="29" t="s">
        <v>4</v>
      </c>
      <c r="D241" s="30">
        <v>0.5410167708333333</v>
      </c>
      <c r="E241" s="30">
        <v>0.5410167708333333</v>
      </c>
      <c r="F241" s="30">
        <v>0.5410514930555556</v>
      </c>
      <c r="G241" s="30">
        <v>0.5438176967592593</v>
      </c>
      <c r="H241" s="35">
        <f t="shared" si="1"/>
        <v>0</v>
      </c>
      <c r="I241" s="35">
        <f t="shared" si="2"/>
        <v>3.983333333</v>
      </c>
      <c r="J241" s="39">
        <f t="shared" si="3"/>
        <v>12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ht="15.75" customHeight="1">
      <c r="A242" s="22">
        <v>240.0</v>
      </c>
      <c r="B242" s="24">
        <v>46265.0</v>
      </c>
      <c r="C242" s="29" t="s">
        <v>4</v>
      </c>
      <c r="D242" s="30">
        <v>0.550931111111111</v>
      </c>
      <c r="E242" s="30">
        <v>0.5565024421296296</v>
      </c>
      <c r="F242" s="30">
        <v>0.5565371643518519</v>
      </c>
      <c r="G242" s="30">
        <v>0.5591876273148149</v>
      </c>
      <c r="H242" s="35">
        <f t="shared" si="1"/>
        <v>8.022716667</v>
      </c>
      <c r="I242" s="35">
        <f t="shared" si="2"/>
        <v>3.816666667</v>
      </c>
      <c r="J242" s="39">
        <f t="shared" si="3"/>
        <v>13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ht="15.75" customHeight="1">
      <c r="A243" s="22">
        <v>241.0</v>
      </c>
      <c r="B243" s="24">
        <v>46265.0</v>
      </c>
      <c r="C243" s="29" t="s">
        <v>4</v>
      </c>
      <c r="D243" s="30">
        <v>0.5619765740740741</v>
      </c>
      <c r="E243" s="30">
        <v>0.565159849537037</v>
      </c>
      <c r="F243" s="30">
        <v>0.5651829976851852</v>
      </c>
      <c r="G243" s="30">
        <v>0.5701714236111112</v>
      </c>
      <c r="H243" s="35">
        <f t="shared" si="1"/>
        <v>4.583916667</v>
      </c>
      <c r="I243" s="35">
        <f t="shared" si="2"/>
        <v>7.183333333</v>
      </c>
      <c r="J243" s="39">
        <f t="shared" si="3"/>
        <v>13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ht="15.75" customHeight="1">
      <c r="A244" s="22">
        <v>242.0</v>
      </c>
      <c r="B244" s="24">
        <v>46265.0</v>
      </c>
      <c r="C244" s="29" t="s">
        <v>4</v>
      </c>
      <c r="D244" s="30">
        <v>0.5820759375</v>
      </c>
      <c r="E244" s="30">
        <v>0.5820759375</v>
      </c>
      <c r="F244" s="30">
        <v>0.582087511574074</v>
      </c>
      <c r="G244" s="30">
        <v>0.5855597337962962</v>
      </c>
      <c r="H244" s="35">
        <f t="shared" si="1"/>
        <v>0</v>
      </c>
      <c r="I244" s="35">
        <f t="shared" si="2"/>
        <v>5</v>
      </c>
      <c r="J244" s="39">
        <f t="shared" si="3"/>
        <v>13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ht="15.75" customHeight="1">
      <c r="A245" s="22">
        <v>243.0</v>
      </c>
      <c r="B245" s="24">
        <v>46265.0</v>
      </c>
      <c r="C245" s="29" t="s">
        <v>4</v>
      </c>
      <c r="D245" s="30">
        <v>0.5855635763888889</v>
      </c>
      <c r="E245" s="30">
        <v>0.5855635763888889</v>
      </c>
      <c r="F245" s="30">
        <v>0.5856098726851852</v>
      </c>
      <c r="G245" s="30">
        <v>0.5875427430555555</v>
      </c>
      <c r="H245" s="35">
        <f t="shared" si="1"/>
        <v>0</v>
      </c>
      <c r="I245" s="35">
        <f t="shared" si="2"/>
        <v>2.783333333</v>
      </c>
      <c r="J245" s="39">
        <f t="shared" si="3"/>
        <v>14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ht="15.75" customHeight="1">
      <c r="A246" s="22">
        <v>244.0</v>
      </c>
      <c r="B246" s="24">
        <v>46265.0</v>
      </c>
      <c r="C246" s="29" t="s">
        <v>39</v>
      </c>
      <c r="D246" s="30">
        <v>0.5970639699074074</v>
      </c>
      <c r="E246" s="30">
        <v>0.5977647337962962</v>
      </c>
      <c r="F246" s="30">
        <v>0.5977763078703704</v>
      </c>
      <c r="G246" s="30">
        <v>0.5995239930555556</v>
      </c>
      <c r="H246" s="35">
        <f t="shared" si="1"/>
        <v>1.0091</v>
      </c>
      <c r="I246" s="35">
        <f t="shared" si="2"/>
        <v>2.516666667</v>
      </c>
      <c r="J246" s="39">
        <f t="shared" si="3"/>
        <v>14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ht="15.75" customHeight="1">
      <c r="A247" s="22">
        <v>245.0</v>
      </c>
      <c r="B247" s="24">
        <v>46265.0</v>
      </c>
      <c r="C247" s="29" t="s">
        <v>4</v>
      </c>
      <c r="D247" s="30">
        <v>0.5979879976851852</v>
      </c>
      <c r="E247" s="30">
        <v>0.6004941435185186</v>
      </c>
      <c r="F247" s="30">
        <v>0.6005404398148149</v>
      </c>
      <c r="G247" s="30">
        <v>0.6012696064814815</v>
      </c>
      <c r="H247" s="35">
        <f t="shared" si="1"/>
        <v>3.60885</v>
      </c>
      <c r="I247" s="35">
        <f t="shared" si="2"/>
        <v>1.05</v>
      </c>
      <c r="J247" s="39">
        <f t="shared" si="3"/>
        <v>14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ht="15.75" customHeight="1">
      <c r="A248" s="22">
        <v>246.0</v>
      </c>
      <c r="B248" s="24">
        <v>46265.0</v>
      </c>
      <c r="C248" s="29" t="s">
        <v>4</v>
      </c>
      <c r="D248" s="30">
        <v>0.6236634953703704</v>
      </c>
      <c r="E248" s="30">
        <v>0.6236634953703704</v>
      </c>
      <c r="F248" s="30">
        <v>0.6237097916666666</v>
      </c>
      <c r="G248" s="30">
        <v>0.6250755324074074</v>
      </c>
      <c r="H248" s="35">
        <f t="shared" si="1"/>
        <v>0</v>
      </c>
      <c r="I248" s="35">
        <f t="shared" si="2"/>
        <v>1.966666667</v>
      </c>
      <c r="J248" s="39">
        <f t="shared" si="3"/>
        <v>14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ht="15.75" customHeight="1">
      <c r="A249" s="22">
        <v>247.0</v>
      </c>
      <c r="B249" s="24">
        <v>46265.0</v>
      </c>
      <c r="C249" s="29" t="s">
        <v>4</v>
      </c>
      <c r="D249" s="30">
        <v>0.6259309143518518</v>
      </c>
      <c r="E249" s="30">
        <v>0.6259309143518518</v>
      </c>
      <c r="F249" s="30">
        <v>0.6259540625</v>
      </c>
      <c r="G249" s="30">
        <v>0.6284077662037036</v>
      </c>
      <c r="H249" s="35">
        <f t="shared" si="1"/>
        <v>0</v>
      </c>
      <c r="I249" s="35">
        <f t="shared" si="2"/>
        <v>3.533333333</v>
      </c>
      <c r="J249" s="39">
        <f t="shared" si="3"/>
        <v>15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ht="15.75" customHeight="1">
      <c r="A250" s="22">
        <v>248.0</v>
      </c>
      <c r="B250" s="24">
        <v>46265.0</v>
      </c>
      <c r="C250" s="29" t="s">
        <v>4</v>
      </c>
      <c r="D250" s="30">
        <v>0.6264693171296296</v>
      </c>
      <c r="E250" s="30">
        <v>0.6264693171296296</v>
      </c>
      <c r="F250" s="30">
        <v>0.6265156134259259</v>
      </c>
      <c r="G250" s="30">
        <v>0.6299183912037037</v>
      </c>
      <c r="H250" s="35">
        <f t="shared" si="1"/>
        <v>0</v>
      </c>
      <c r="I250" s="35">
        <f t="shared" si="2"/>
        <v>4.9</v>
      </c>
      <c r="J250" s="39">
        <f t="shared" si="3"/>
        <v>15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ht="15.75" customHeight="1">
      <c r="A251" s="22">
        <v>249.0</v>
      </c>
      <c r="B251" s="24">
        <v>46265.0</v>
      </c>
      <c r="C251" s="29" t="s">
        <v>4</v>
      </c>
      <c r="D251" s="30">
        <v>0.6508367939814814</v>
      </c>
      <c r="E251" s="30">
        <v>0.6508367939814814</v>
      </c>
      <c r="F251" s="30">
        <v>0.6508830902777778</v>
      </c>
      <c r="G251" s="30">
        <v>0.6524224421296296</v>
      </c>
      <c r="H251" s="35">
        <f t="shared" si="1"/>
        <v>0</v>
      </c>
      <c r="I251" s="35">
        <f t="shared" si="2"/>
        <v>2.216666667</v>
      </c>
      <c r="J251" s="39">
        <f t="shared" si="3"/>
        <v>15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ht="15.75" customHeight="1">
      <c r="A252" s="22">
        <v>250.0</v>
      </c>
      <c r="B252" s="24">
        <v>46265.0</v>
      </c>
      <c r="C252" s="29" t="s">
        <v>39</v>
      </c>
      <c r="D252" s="30">
        <v>0.6576381481481481</v>
      </c>
      <c r="E252" s="30">
        <v>0.6576381481481481</v>
      </c>
      <c r="F252" s="30">
        <v>0.6576728703703704</v>
      </c>
      <c r="G252" s="30">
        <v>0.659327962962963</v>
      </c>
      <c r="H252" s="35">
        <f t="shared" si="1"/>
        <v>0</v>
      </c>
      <c r="I252" s="35">
        <f t="shared" si="2"/>
        <v>2.383333333</v>
      </c>
      <c r="J252" s="39">
        <f t="shared" si="3"/>
        <v>15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ht="15.75" customHeight="1">
      <c r="A253" s="22">
        <v>251.0</v>
      </c>
      <c r="B253" s="24">
        <v>46265.0</v>
      </c>
      <c r="C253" s="29" t="s">
        <v>4</v>
      </c>
      <c r="D253" s="30">
        <v>0.6947184490740741</v>
      </c>
      <c r="E253" s="30">
        <v>0.6947184490740741</v>
      </c>
      <c r="F253" s="30">
        <v>0.6947647453703704</v>
      </c>
      <c r="G253" s="30">
        <v>0.6995795601851852</v>
      </c>
      <c r="H253" s="35">
        <f t="shared" si="1"/>
        <v>0</v>
      </c>
      <c r="I253" s="35">
        <f t="shared" si="2"/>
        <v>6.933333333</v>
      </c>
      <c r="J253" s="39">
        <f t="shared" si="3"/>
        <v>16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ht="15.75" customHeight="1">
      <c r="A254" s="22">
        <v>252.0</v>
      </c>
      <c r="B254" s="24">
        <v>46265.0</v>
      </c>
      <c r="C254" s="29" t="s">
        <v>4</v>
      </c>
      <c r="D254" s="30">
        <v>0.7014332986111111</v>
      </c>
      <c r="E254" s="30">
        <v>0.7014332986111111</v>
      </c>
      <c r="F254" s="30">
        <v>0.7014448726851852</v>
      </c>
      <c r="G254" s="30">
        <v>0.7027643171296296</v>
      </c>
      <c r="H254" s="35">
        <f t="shared" si="1"/>
        <v>0</v>
      </c>
      <c r="I254" s="35">
        <f t="shared" si="2"/>
        <v>1.9</v>
      </c>
      <c r="J254" s="39">
        <f t="shared" si="3"/>
        <v>16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ht="15.75" customHeight="1">
      <c r="A255" s="22">
        <v>253.0</v>
      </c>
      <c r="B255" s="24">
        <v>46266.0</v>
      </c>
      <c r="C255" s="29" t="s">
        <v>4</v>
      </c>
      <c r="D255" s="30">
        <v>0.2954824884259259</v>
      </c>
      <c r="E255" s="30">
        <v>0.2979705555555556</v>
      </c>
      <c r="F255" s="30">
        <v>0.2979821296296296</v>
      </c>
      <c r="G255" s="30">
        <v>0.3015585185185185</v>
      </c>
      <c r="H255" s="35">
        <f t="shared" si="1"/>
        <v>3.582816667</v>
      </c>
      <c r="I255" s="35">
        <f t="shared" si="2"/>
        <v>5.15</v>
      </c>
      <c r="J255" s="39">
        <f t="shared" si="3"/>
        <v>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ht="15.75" customHeight="1">
      <c r="A256" s="22">
        <v>254.0</v>
      </c>
      <c r="B256" s="24">
        <v>46266.0</v>
      </c>
      <c r="C256" s="29" t="s">
        <v>4</v>
      </c>
      <c r="D256" s="30">
        <v>0.2964811689814815</v>
      </c>
      <c r="E256" s="30">
        <v>0.2987410879629629</v>
      </c>
      <c r="F256" s="30">
        <v>0.2987758101851852</v>
      </c>
      <c r="G256" s="30">
        <v>0.3000258101851852</v>
      </c>
      <c r="H256" s="35">
        <f t="shared" si="1"/>
        <v>3.254283333</v>
      </c>
      <c r="I256" s="35">
        <f t="shared" si="2"/>
        <v>1.8</v>
      </c>
      <c r="J256" s="39">
        <f t="shared" si="3"/>
        <v>7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ht="15.75" customHeight="1">
      <c r="A257" s="22">
        <v>255.0</v>
      </c>
      <c r="B257" s="24">
        <v>46266.0</v>
      </c>
      <c r="C257" s="29" t="s">
        <v>4</v>
      </c>
      <c r="D257" s="30">
        <v>0.3059567361111111</v>
      </c>
      <c r="E257" s="30">
        <v>0.3078427662037037</v>
      </c>
      <c r="F257" s="30">
        <v>0.3078890625</v>
      </c>
      <c r="G257" s="30">
        <v>0.3098103587962963</v>
      </c>
      <c r="H257" s="35">
        <f t="shared" si="1"/>
        <v>2.715883333</v>
      </c>
      <c r="I257" s="35">
        <f t="shared" si="2"/>
        <v>2.766666667</v>
      </c>
      <c r="J257" s="39">
        <f t="shared" si="3"/>
        <v>7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ht="15.75" customHeight="1">
      <c r="A258" s="22">
        <v>256.0</v>
      </c>
      <c r="B258" s="24">
        <v>46266.0</v>
      </c>
      <c r="C258" s="29" t="s">
        <v>4</v>
      </c>
      <c r="D258" s="30">
        <v>0.318745300925926</v>
      </c>
      <c r="E258" s="30">
        <v>0.3241163888888889</v>
      </c>
      <c r="F258" s="30">
        <v>0.324127962962963</v>
      </c>
      <c r="G258" s="30">
        <v>0.3264312037037037</v>
      </c>
      <c r="H258" s="35">
        <f t="shared" si="1"/>
        <v>7.734366667</v>
      </c>
      <c r="I258" s="35">
        <f t="shared" si="2"/>
        <v>3.316666667</v>
      </c>
      <c r="J258" s="39">
        <f t="shared" si="3"/>
        <v>7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ht="15.75" customHeight="1">
      <c r="A259" s="22">
        <v>257.0</v>
      </c>
      <c r="B259" s="24">
        <v>46266.0</v>
      </c>
      <c r="C259" s="29" t="s">
        <v>4</v>
      </c>
      <c r="D259" s="30">
        <v>0.3193071990740741</v>
      </c>
      <c r="E259" s="30">
        <v>0.326403125</v>
      </c>
      <c r="F259" s="30">
        <v>0.3264494212962963</v>
      </c>
      <c r="G259" s="30">
        <v>0.3299679398148148</v>
      </c>
      <c r="H259" s="35">
        <f t="shared" si="1"/>
        <v>10.21813333</v>
      </c>
      <c r="I259" s="35">
        <f t="shared" si="2"/>
        <v>5.066666667</v>
      </c>
      <c r="J259" s="39">
        <f t="shared" si="3"/>
        <v>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ht="15.75" customHeight="1">
      <c r="A260" s="22">
        <v>258.0</v>
      </c>
      <c r="B260" s="24">
        <v>46266.0</v>
      </c>
      <c r="C260" s="29" t="s">
        <v>4</v>
      </c>
      <c r="D260" s="30">
        <v>0.3305907175925926</v>
      </c>
      <c r="E260" s="30">
        <v>0.339840625</v>
      </c>
      <c r="F260" s="30">
        <v>0.339852199074074</v>
      </c>
      <c r="G260" s="30">
        <v>0.3414609953703704</v>
      </c>
      <c r="H260" s="35">
        <f t="shared" si="1"/>
        <v>13.31986667</v>
      </c>
      <c r="I260" s="35">
        <f t="shared" si="2"/>
        <v>2.316666667</v>
      </c>
      <c r="J260" s="39">
        <f t="shared" si="3"/>
        <v>7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ht="15.75" customHeight="1">
      <c r="A261" s="22">
        <v>259.0</v>
      </c>
      <c r="B261" s="24">
        <v>46266.0</v>
      </c>
      <c r="C261" s="29" t="s">
        <v>4</v>
      </c>
      <c r="D261" s="30">
        <v>0.3374043402777778</v>
      </c>
      <c r="E261" s="30">
        <v>0.3490188657407408</v>
      </c>
      <c r="F261" s="30">
        <v>0.349065162037037</v>
      </c>
      <c r="G261" s="30">
        <v>0.3503383101851852</v>
      </c>
      <c r="H261" s="35">
        <f t="shared" si="1"/>
        <v>16.72491667</v>
      </c>
      <c r="I261" s="35">
        <f t="shared" si="2"/>
        <v>1.833333333</v>
      </c>
      <c r="J261" s="39">
        <f t="shared" si="3"/>
        <v>8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ht="15.75" customHeight="1">
      <c r="A262" s="22">
        <v>260.0</v>
      </c>
      <c r="B262" s="24">
        <v>46266.0</v>
      </c>
      <c r="C262" s="29" t="s">
        <v>4</v>
      </c>
      <c r="D262" s="30">
        <v>0.3469469907407408</v>
      </c>
      <c r="E262" s="30">
        <v>0.3621603703703704</v>
      </c>
      <c r="F262" s="30">
        <v>0.3621719444444444</v>
      </c>
      <c r="G262" s="30">
        <v>0.3629358333333333</v>
      </c>
      <c r="H262" s="35">
        <f t="shared" si="1"/>
        <v>21.90726667</v>
      </c>
      <c r="I262" s="35">
        <f t="shared" si="2"/>
        <v>1.1</v>
      </c>
      <c r="J262" s="39">
        <f t="shared" si="3"/>
        <v>8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ht="15.75" customHeight="1">
      <c r="A263" s="22">
        <v>261.0</v>
      </c>
      <c r="B263" s="24">
        <v>46266.0</v>
      </c>
      <c r="C263" s="29" t="s">
        <v>4</v>
      </c>
      <c r="D263" s="30">
        <v>0.3638141319444445</v>
      </c>
      <c r="E263" s="30">
        <v>0.3813434143518519</v>
      </c>
      <c r="F263" s="30">
        <v>0.3813897106481482</v>
      </c>
      <c r="G263" s="30">
        <v>0.3833688773148148</v>
      </c>
      <c r="H263" s="35">
        <f t="shared" si="1"/>
        <v>25.24216667</v>
      </c>
      <c r="I263" s="35">
        <f t="shared" si="2"/>
        <v>2.85</v>
      </c>
      <c r="J263" s="39">
        <f t="shared" si="3"/>
        <v>8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ht="15.75" customHeight="1">
      <c r="A264" s="22">
        <v>262.0</v>
      </c>
      <c r="B264" s="24">
        <v>46266.0</v>
      </c>
      <c r="C264" s="29" t="s">
        <v>4</v>
      </c>
      <c r="D264" s="30">
        <v>0.3639209953703704</v>
      </c>
      <c r="E264" s="30">
        <v>0.3816626851851852</v>
      </c>
      <c r="F264" s="30">
        <v>0.3816974074074074</v>
      </c>
      <c r="G264" s="30">
        <v>0.3821140740740741</v>
      </c>
      <c r="H264" s="35">
        <f t="shared" si="1"/>
        <v>25.54803333</v>
      </c>
      <c r="I264" s="35">
        <f t="shared" si="2"/>
        <v>0.6</v>
      </c>
      <c r="J264" s="39">
        <f t="shared" si="3"/>
        <v>8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ht="15.75" customHeight="1">
      <c r="A265" s="22">
        <v>263.0</v>
      </c>
      <c r="B265" s="24">
        <v>46266.0</v>
      </c>
      <c r="C265" s="29" t="s">
        <v>39</v>
      </c>
      <c r="D265" s="30">
        <v>0.3663321875</v>
      </c>
      <c r="E265" s="30">
        <v>0.3664725694444445</v>
      </c>
      <c r="F265" s="30">
        <v>0.3665072916666667</v>
      </c>
      <c r="G265" s="30">
        <v>0.3682318287037037</v>
      </c>
      <c r="H265" s="35">
        <f t="shared" si="1"/>
        <v>0.20215</v>
      </c>
      <c r="I265" s="35">
        <f t="shared" si="2"/>
        <v>2.483333333</v>
      </c>
      <c r="J265" s="39">
        <f t="shared" si="3"/>
        <v>8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ht="15.75" customHeight="1">
      <c r="A266" s="22">
        <v>264.0</v>
      </c>
      <c r="B266" s="24">
        <v>46266.0</v>
      </c>
      <c r="C266" s="29" t="s">
        <v>4</v>
      </c>
      <c r="D266" s="30">
        <v>0.3718900347222222</v>
      </c>
      <c r="E266" s="30">
        <v>0.3903543402777778</v>
      </c>
      <c r="F266" s="30">
        <v>0.3903659143518518</v>
      </c>
      <c r="G266" s="30">
        <v>0.3917085069444444</v>
      </c>
      <c r="H266" s="35">
        <f t="shared" si="1"/>
        <v>26.5886</v>
      </c>
      <c r="I266" s="35">
        <f t="shared" si="2"/>
        <v>1.933333333</v>
      </c>
      <c r="J266" s="39">
        <f t="shared" si="3"/>
        <v>8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ht="15.75" customHeight="1">
      <c r="A267" s="22">
        <v>265.0</v>
      </c>
      <c r="B267" s="24">
        <v>46266.0</v>
      </c>
      <c r="C267" s="29" t="s">
        <v>4</v>
      </c>
      <c r="D267" s="30">
        <v>0.3783960416666667</v>
      </c>
      <c r="E267" s="30">
        <v>0.4011929513888889</v>
      </c>
      <c r="F267" s="30">
        <v>0.401204525462963</v>
      </c>
      <c r="G267" s="30">
        <v>0.4043989699074074</v>
      </c>
      <c r="H267" s="35">
        <f t="shared" si="1"/>
        <v>32.82755</v>
      </c>
      <c r="I267" s="35">
        <f t="shared" si="2"/>
        <v>4.6</v>
      </c>
      <c r="J267" s="39">
        <f t="shared" si="3"/>
        <v>9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ht="15.75" customHeight="1">
      <c r="A268" s="22">
        <v>266.0</v>
      </c>
      <c r="B268" s="24">
        <v>46266.0</v>
      </c>
      <c r="C268" s="29" t="s">
        <v>4</v>
      </c>
      <c r="D268" s="30">
        <v>0.3877093055555556</v>
      </c>
      <c r="E268" s="30">
        <v>0.4124265740740741</v>
      </c>
      <c r="F268" s="30">
        <v>0.4124381481481482</v>
      </c>
      <c r="G268" s="30">
        <v>0.4134798148148148</v>
      </c>
      <c r="H268" s="35">
        <f t="shared" si="1"/>
        <v>35.59286667</v>
      </c>
      <c r="I268" s="35">
        <f t="shared" si="2"/>
        <v>1.5</v>
      </c>
      <c r="J268" s="39">
        <f t="shared" si="3"/>
        <v>9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ht="15.75" customHeight="1">
      <c r="A269" s="22">
        <v>267.0</v>
      </c>
      <c r="B269" s="24">
        <v>46266.0</v>
      </c>
      <c r="C269" s="29" t="s">
        <v>4</v>
      </c>
      <c r="D269" s="30">
        <v>0.3970349768518519</v>
      </c>
      <c r="E269" s="30">
        <v>0.426488599537037</v>
      </c>
      <c r="F269" s="30">
        <v>0.4265117476851852</v>
      </c>
      <c r="G269" s="30">
        <v>0.4277617476851852</v>
      </c>
      <c r="H269" s="35">
        <f t="shared" si="1"/>
        <v>42.41321667</v>
      </c>
      <c r="I269" s="35">
        <f t="shared" si="2"/>
        <v>1.8</v>
      </c>
      <c r="J269" s="39">
        <f t="shared" si="3"/>
        <v>9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ht="15.75" customHeight="1">
      <c r="A270" s="22">
        <v>268.0</v>
      </c>
      <c r="B270" s="24">
        <v>46266.0</v>
      </c>
      <c r="C270" s="29" t="s">
        <v>4</v>
      </c>
      <c r="D270" s="30">
        <v>0.4041407291666667</v>
      </c>
      <c r="E270" s="30">
        <v>0.436315462962963</v>
      </c>
      <c r="F270" s="30">
        <v>0.4363270370370371</v>
      </c>
      <c r="G270" s="30">
        <v>0.4371256481481482</v>
      </c>
      <c r="H270" s="35">
        <f t="shared" si="1"/>
        <v>46.33161667</v>
      </c>
      <c r="I270" s="35">
        <f t="shared" si="2"/>
        <v>1.15</v>
      </c>
      <c r="J270" s="39">
        <f t="shared" si="3"/>
        <v>9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ht="15.75" customHeight="1">
      <c r="A271" s="22">
        <v>269.0</v>
      </c>
      <c r="B271" s="24">
        <v>46266.0</v>
      </c>
      <c r="C271" s="29" t="s">
        <v>4</v>
      </c>
      <c r="D271" s="30">
        <v>0.4136513078703704</v>
      </c>
      <c r="E271" s="30">
        <v>0.4477207291666667</v>
      </c>
      <c r="F271" s="30">
        <v>0.4477554513888889</v>
      </c>
      <c r="G271" s="30">
        <v>0.4500008217592593</v>
      </c>
      <c r="H271" s="35">
        <f t="shared" si="1"/>
        <v>49.05996667</v>
      </c>
      <c r="I271" s="35">
        <f t="shared" si="2"/>
        <v>3.233333333</v>
      </c>
      <c r="J271" s="39">
        <f t="shared" si="3"/>
        <v>9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ht="15.75" customHeight="1">
      <c r="A272" s="22">
        <v>270.0</v>
      </c>
      <c r="B272" s="24">
        <v>46266.0</v>
      </c>
      <c r="C272" s="29" t="s">
        <v>4</v>
      </c>
      <c r="D272" s="30">
        <v>0.4142078009259259</v>
      </c>
      <c r="E272" s="30">
        <v>0.4500008217592593</v>
      </c>
      <c r="F272" s="30">
        <v>0.4500355439814815</v>
      </c>
      <c r="G272" s="30">
        <v>0.4508341550925926</v>
      </c>
      <c r="H272" s="35">
        <f t="shared" si="1"/>
        <v>51.54195</v>
      </c>
      <c r="I272" s="35">
        <f t="shared" si="2"/>
        <v>1.15</v>
      </c>
      <c r="J272" s="39">
        <f t="shared" si="3"/>
        <v>9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ht="15.75" customHeight="1">
      <c r="A273" s="22">
        <v>271.0</v>
      </c>
      <c r="B273" s="24">
        <v>46266.0</v>
      </c>
      <c r="C273" s="29" t="s">
        <v>4</v>
      </c>
      <c r="D273" s="30">
        <v>0.4207728703703704</v>
      </c>
      <c r="E273" s="30">
        <v>0.4559446180555555</v>
      </c>
      <c r="F273" s="30">
        <v>0.4559793402777778</v>
      </c>
      <c r="G273" s="30">
        <v>0.4574723958333333</v>
      </c>
      <c r="H273" s="35">
        <f t="shared" si="1"/>
        <v>50.64731667</v>
      </c>
      <c r="I273" s="35">
        <f t="shared" si="2"/>
        <v>2.15</v>
      </c>
      <c r="J273" s="39">
        <f t="shared" si="3"/>
        <v>10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ht="15.75" customHeight="1">
      <c r="A274" s="22">
        <v>272.0</v>
      </c>
      <c r="B274" s="24">
        <v>46266.0</v>
      </c>
      <c r="C274" s="29" t="s">
        <v>39</v>
      </c>
      <c r="D274" s="30">
        <v>0.4370316435185185</v>
      </c>
      <c r="E274" s="30">
        <v>0.4371256481481482</v>
      </c>
      <c r="F274" s="30">
        <v>0.4371487962962963</v>
      </c>
      <c r="G274" s="30">
        <v>0.4398455555555556</v>
      </c>
      <c r="H274" s="35">
        <f t="shared" si="1"/>
        <v>0.1353666667</v>
      </c>
      <c r="I274" s="35">
        <f t="shared" si="2"/>
        <v>3.883333333</v>
      </c>
      <c r="J274" s="39">
        <f t="shared" si="3"/>
        <v>10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ht="15.75" customHeight="1">
      <c r="A275" s="22">
        <v>273.0</v>
      </c>
      <c r="B275" s="24">
        <v>46266.0</v>
      </c>
      <c r="C275" s="29" t="s">
        <v>4</v>
      </c>
      <c r="D275" s="30">
        <v>0.4389638888888889</v>
      </c>
      <c r="E275" s="30">
        <v>0.4754585069444444</v>
      </c>
      <c r="F275" s="30">
        <v>0.4755048032407407</v>
      </c>
      <c r="G275" s="30">
        <v>0.4775997106481481</v>
      </c>
      <c r="H275" s="35">
        <f t="shared" si="1"/>
        <v>52.55225</v>
      </c>
      <c r="I275" s="35">
        <f t="shared" si="2"/>
        <v>3.016666667</v>
      </c>
      <c r="J275" s="39">
        <f t="shared" si="3"/>
        <v>10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ht="15.75" customHeight="1">
      <c r="A276" s="22">
        <v>274.0</v>
      </c>
      <c r="B276" s="24">
        <v>46266.0</v>
      </c>
      <c r="C276" s="29" t="s">
        <v>4</v>
      </c>
      <c r="D276" s="30">
        <v>0.4546226967592593</v>
      </c>
      <c r="E276" s="30">
        <v>0.4850186921296296</v>
      </c>
      <c r="F276" s="30">
        <v>0.4850534143518518</v>
      </c>
      <c r="G276" s="30">
        <v>0.4869862847222222</v>
      </c>
      <c r="H276" s="35">
        <f t="shared" si="1"/>
        <v>43.77023333</v>
      </c>
      <c r="I276" s="35">
        <f t="shared" si="2"/>
        <v>2.783333333</v>
      </c>
      <c r="J276" s="39">
        <f t="shared" si="3"/>
        <v>10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ht="15.75" customHeight="1">
      <c r="A277" s="22">
        <v>275.0</v>
      </c>
      <c r="B277" s="24">
        <v>46266.0</v>
      </c>
      <c r="C277" s="29" t="s">
        <v>4</v>
      </c>
      <c r="D277" s="30">
        <v>0.458387511574074</v>
      </c>
      <c r="E277" s="30">
        <v>0.4891559143518519</v>
      </c>
      <c r="F277" s="30">
        <v>0.4892022106481482</v>
      </c>
      <c r="G277" s="30">
        <v>0.4914128587962963</v>
      </c>
      <c r="H277" s="35">
        <f t="shared" si="1"/>
        <v>44.3065</v>
      </c>
      <c r="I277" s="35">
        <f t="shared" si="2"/>
        <v>3.183333333</v>
      </c>
      <c r="J277" s="39">
        <f t="shared" si="3"/>
        <v>11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ht="15.75" customHeight="1">
      <c r="A278" s="22">
        <v>276.0</v>
      </c>
      <c r="B278" s="24">
        <v>46266.0</v>
      </c>
      <c r="C278" s="29" t="s">
        <v>4</v>
      </c>
      <c r="D278" s="30">
        <v>0.4726381828703703</v>
      </c>
      <c r="E278" s="30">
        <v>0.4967552777777778</v>
      </c>
      <c r="F278" s="30">
        <v>0.4967668518518519</v>
      </c>
      <c r="G278" s="30">
        <v>0.5005515740740741</v>
      </c>
      <c r="H278" s="35">
        <f t="shared" si="1"/>
        <v>34.72861667</v>
      </c>
      <c r="I278" s="35">
        <f t="shared" si="2"/>
        <v>5.45</v>
      </c>
      <c r="J278" s="39">
        <f t="shared" si="3"/>
        <v>11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ht="15.75" customHeight="1">
      <c r="A279" s="22">
        <v>277.0</v>
      </c>
      <c r="B279" s="24">
        <v>46266.0</v>
      </c>
      <c r="C279" s="29" t="s">
        <v>4</v>
      </c>
      <c r="D279" s="30">
        <v>0.4858320486111111</v>
      </c>
      <c r="E279" s="30">
        <v>0.5040932407407408</v>
      </c>
      <c r="F279" s="30">
        <v>0.5041163888888889</v>
      </c>
      <c r="G279" s="30">
        <v>0.5050307407407407</v>
      </c>
      <c r="H279" s="35">
        <f t="shared" si="1"/>
        <v>26.29611667</v>
      </c>
      <c r="I279" s="35">
        <f t="shared" si="2"/>
        <v>1.316666667</v>
      </c>
      <c r="J279" s="39">
        <f t="shared" si="3"/>
        <v>11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ht="15.75" customHeight="1">
      <c r="A280" s="22">
        <v>278.0</v>
      </c>
      <c r="B280" s="24">
        <v>46266.0</v>
      </c>
      <c r="C280" s="29" t="s">
        <v>4</v>
      </c>
      <c r="D280" s="30">
        <v>0.5052776041666667</v>
      </c>
      <c r="E280" s="30">
        <v>0.5290304398148149</v>
      </c>
      <c r="F280" s="30">
        <v>0.5290420138888889</v>
      </c>
      <c r="G280" s="30">
        <v>0.5309633101851853</v>
      </c>
      <c r="H280" s="35">
        <f t="shared" si="1"/>
        <v>34.20408333</v>
      </c>
      <c r="I280" s="35">
        <f t="shared" si="2"/>
        <v>2.766666667</v>
      </c>
      <c r="J280" s="39">
        <f t="shared" si="3"/>
        <v>12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ht="15.75" customHeight="1">
      <c r="A281" s="22">
        <v>279.0</v>
      </c>
      <c r="B281" s="24">
        <v>46266.0</v>
      </c>
      <c r="C281" s="29" t="s">
        <v>4</v>
      </c>
      <c r="D281" s="30">
        <v>0.5204134606481481</v>
      </c>
      <c r="E281" s="30">
        <v>0.5388034143518519</v>
      </c>
      <c r="F281" s="30">
        <v>0.5388149884259259</v>
      </c>
      <c r="G281" s="30">
        <v>0.5402848958333333</v>
      </c>
      <c r="H281" s="35">
        <f t="shared" si="1"/>
        <v>26.48153333</v>
      </c>
      <c r="I281" s="35">
        <f t="shared" si="2"/>
        <v>2.116666667</v>
      </c>
      <c r="J281" s="39">
        <f t="shared" si="3"/>
        <v>12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ht="15.75" customHeight="1">
      <c r="A282" s="22">
        <v>280.0</v>
      </c>
      <c r="B282" s="24">
        <v>46266.0</v>
      </c>
      <c r="C282" s="29" t="s">
        <v>4</v>
      </c>
      <c r="D282" s="30">
        <v>0.525886574074074</v>
      </c>
      <c r="E282" s="30">
        <v>0.5409864583333334</v>
      </c>
      <c r="F282" s="30">
        <v>0.5409980324074074</v>
      </c>
      <c r="G282" s="30">
        <v>0.5442503472222222</v>
      </c>
      <c r="H282" s="35">
        <f t="shared" si="1"/>
        <v>21.74383333</v>
      </c>
      <c r="I282" s="35">
        <f t="shared" si="2"/>
        <v>4.683333333</v>
      </c>
      <c r="J282" s="39">
        <f t="shared" si="3"/>
        <v>12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ht="15.75" customHeight="1">
      <c r="A283" s="22">
        <v>281.0</v>
      </c>
      <c r="B283" s="24">
        <v>46266.0</v>
      </c>
      <c r="C283" s="29" t="s">
        <v>4</v>
      </c>
      <c r="D283" s="30">
        <v>0.5483960879629629</v>
      </c>
      <c r="E283" s="30">
        <v>0.5562873842592593</v>
      </c>
      <c r="F283" s="30">
        <v>0.5563105324074075</v>
      </c>
      <c r="G283" s="30">
        <v>0.5579771990740741</v>
      </c>
      <c r="H283" s="35">
        <f t="shared" si="1"/>
        <v>11.36346667</v>
      </c>
      <c r="I283" s="35">
        <f t="shared" si="2"/>
        <v>2.4</v>
      </c>
      <c r="J283" s="39">
        <f t="shared" si="3"/>
        <v>13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ht="15.75" customHeight="1">
      <c r="A284" s="22">
        <v>282.0</v>
      </c>
      <c r="B284" s="24">
        <v>46266.0</v>
      </c>
      <c r="C284" s="29" t="s">
        <v>4</v>
      </c>
      <c r="D284" s="30">
        <v>0.5584406944444444</v>
      </c>
      <c r="E284" s="30">
        <v>0.5627804398148148</v>
      </c>
      <c r="F284" s="30">
        <v>0.5628151620370371</v>
      </c>
      <c r="G284" s="30">
        <v>0.5631971064814815</v>
      </c>
      <c r="H284" s="35">
        <f t="shared" si="1"/>
        <v>6.249233333</v>
      </c>
      <c r="I284" s="35">
        <f t="shared" si="2"/>
        <v>0.55</v>
      </c>
      <c r="J284" s="39">
        <f t="shared" si="3"/>
        <v>13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ht="15.75" customHeight="1">
      <c r="A285" s="22">
        <v>283.0</v>
      </c>
      <c r="B285" s="24">
        <v>46266.0</v>
      </c>
      <c r="C285" s="29" t="s">
        <v>4</v>
      </c>
      <c r="D285" s="30">
        <v>0.5739437037037036</v>
      </c>
      <c r="E285" s="30">
        <v>0.5758288773148148</v>
      </c>
      <c r="F285" s="30">
        <v>0.575863599537037</v>
      </c>
      <c r="G285" s="30">
        <v>0.578051099537037</v>
      </c>
      <c r="H285" s="35">
        <f t="shared" si="1"/>
        <v>2.71465</v>
      </c>
      <c r="I285" s="35">
        <f t="shared" si="2"/>
        <v>3.15</v>
      </c>
      <c r="J285" s="39">
        <f t="shared" si="3"/>
        <v>13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ht="15.75" customHeight="1">
      <c r="A286" s="22">
        <v>284.0</v>
      </c>
      <c r="B286" s="24">
        <v>46266.0</v>
      </c>
      <c r="C286" s="29" t="s">
        <v>39</v>
      </c>
      <c r="D286" s="30">
        <v>0.5913932523148148</v>
      </c>
      <c r="E286" s="30">
        <v>0.5916218634259259</v>
      </c>
      <c r="F286" s="30">
        <v>0.5916681597222222</v>
      </c>
      <c r="G286" s="30">
        <v>0.5933116782407407</v>
      </c>
      <c r="H286" s="35">
        <f t="shared" si="1"/>
        <v>0.3292</v>
      </c>
      <c r="I286" s="35">
        <f t="shared" si="2"/>
        <v>2.366666667</v>
      </c>
      <c r="J286" s="39">
        <f t="shared" si="3"/>
        <v>14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ht="15.75" customHeight="1">
      <c r="A287" s="22">
        <v>285.0</v>
      </c>
      <c r="B287" s="24">
        <v>46266.0</v>
      </c>
      <c r="C287" s="29" t="s">
        <v>4</v>
      </c>
      <c r="D287" s="30">
        <v>0.6048878009259259</v>
      </c>
      <c r="E287" s="30">
        <v>0.6048878009259259</v>
      </c>
      <c r="F287" s="30">
        <v>0.6049340972222221</v>
      </c>
      <c r="G287" s="30">
        <v>0.6059526157407407</v>
      </c>
      <c r="H287" s="35">
        <f t="shared" si="1"/>
        <v>0</v>
      </c>
      <c r="I287" s="35">
        <f t="shared" si="2"/>
        <v>1.466666667</v>
      </c>
      <c r="J287" s="39">
        <f t="shared" si="3"/>
        <v>14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ht="15.75" customHeight="1">
      <c r="A288" s="22">
        <v>286.0</v>
      </c>
      <c r="B288" s="24">
        <v>46266.0</v>
      </c>
      <c r="C288" s="29" t="s">
        <v>39</v>
      </c>
      <c r="D288" s="30">
        <v>0.6086526851851851</v>
      </c>
      <c r="E288" s="30">
        <v>0.6086526851851851</v>
      </c>
      <c r="F288" s="30">
        <v>0.6086642592592593</v>
      </c>
      <c r="G288" s="30">
        <v>0.6099721296296295</v>
      </c>
      <c r="H288" s="35">
        <f t="shared" si="1"/>
        <v>0</v>
      </c>
      <c r="I288" s="35">
        <f t="shared" si="2"/>
        <v>1.883333333</v>
      </c>
      <c r="J288" s="39">
        <f t="shared" si="3"/>
        <v>14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ht="15.75" customHeight="1">
      <c r="A289" s="22">
        <v>287.0</v>
      </c>
      <c r="B289" s="24">
        <v>46266.0</v>
      </c>
      <c r="C289" s="29" t="s">
        <v>4</v>
      </c>
      <c r="D289" s="30">
        <v>0.6216666319444445</v>
      </c>
      <c r="E289" s="30">
        <v>0.6216677314814815</v>
      </c>
      <c r="F289" s="30">
        <v>0.6216908796296295</v>
      </c>
      <c r="G289" s="30">
        <v>0.622848287037037</v>
      </c>
      <c r="H289" s="35">
        <f t="shared" si="1"/>
        <v>0.001583333333</v>
      </c>
      <c r="I289" s="35">
        <f t="shared" si="2"/>
        <v>1.666666667</v>
      </c>
      <c r="J289" s="39">
        <f t="shared" si="3"/>
        <v>14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ht="15.75" customHeight="1">
      <c r="A290" s="22">
        <v>288.0</v>
      </c>
      <c r="B290" s="24">
        <v>46266.0</v>
      </c>
      <c r="C290" s="29" t="s">
        <v>4</v>
      </c>
      <c r="D290" s="30">
        <v>0.6228476851851852</v>
      </c>
      <c r="E290" s="30">
        <v>0.625169537037037</v>
      </c>
      <c r="F290" s="30">
        <v>0.6252158333333333</v>
      </c>
      <c r="G290" s="30">
        <v>0.6261996296296296</v>
      </c>
      <c r="H290" s="35">
        <f t="shared" si="1"/>
        <v>3.343466667</v>
      </c>
      <c r="I290" s="35">
        <f t="shared" si="2"/>
        <v>1.416666667</v>
      </c>
      <c r="J290" s="39">
        <f t="shared" si="3"/>
        <v>14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ht="15.75" customHeight="1">
      <c r="A291" s="22">
        <v>289.0</v>
      </c>
      <c r="B291" s="24">
        <v>46266.0</v>
      </c>
      <c r="C291" s="29" t="s">
        <v>4</v>
      </c>
      <c r="D291" s="30">
        <v>0.630727349537037</v>
      </c>
      <c r="E291" s="30">
        <v>0.6334564351851851</v>
      </c>
      <c r="F291" s="30">
        <v>0.6335027314814815</v>
      </c>
      <c r="G291" s="30">
        <v>0.6363615277777778</v>
      </c>
      <c r="H291" s="35">
        <f t="shared" si="1"/>
        <v>3.929883333</v>
      </c>
      <c r="I291" s="35">
        <f t="shared" si="2"/>
        <v>4.116666667</v>
      </c>
      <c r="J291" s="39">
        <f t="shared" si="3"/>
        <v>15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ht="15.75" customHeight="1">
      <c r="A292" s="22">
        <v>290.0</v>
      </c>
      <c r="B292" s="24">
        <v>46266.0</v>
      </c>
      <c r="C292" s="29" t="s">
        <v>39</v>
      </c>
      <c r="D292" s="30">
        <v>0.6343646412037037</v>
      </c>
      <c r="E292" s="30">
        <v>0.6344802314814815</v>
      </c>
      <c r="F292" s="30">
        <v>0.6345033796296295</v>
      </c>
      <c r="G292" s="30">
        <v>0.6357996759259259</v>
      </c>
      <c r="H292" s="35">
        <f t="shared" si="1"/>
        <v>0.16645</v>
      </c>
      <c r="I292" s="35">
        <f t="shared" si="2"/>
        <v>1.866666667</v>
      </c>
      <c r="J292" s="39">
        <f t="shared" si="3"/>
        <v>15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ht="15.75" customHeight="1">
      <c r="A293" s="22">
        <v>291.0</v>
      </c>
      <c r="B293" s="24">
        <v>46266.0</v>
      </c>
      <c r="C293" s="29" t="s">
        <v>4</v>
      </c>
      <c r="D293" s="30">
        <v>0.6464532060185185</v>
      </c>
      <c r="E293" s="30">
        <v>0.6464532060185185</v>
      </c>
      <c r="F293" s="30">
        <v>0.6464763541666667</v>
      </c>
      <c r="G293" s="30">
        <v>0.6473444097222222</v>
      </c>
      <c r="H293" s="35">
        <f t="shared" si="1"/>
        <v>0</v>
      </c>
      <c r="I293" s="35">
        <f t="shared" si="2"/>
        <v>1.25</v>
      </c>
      <c r="J293" s="39">
        <f t="shared" si="3"/>
        <v>15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ht="15.75" customHeight="1">
      <c r="A294" s="22">
        <v>292.0</v>
      </c>
      <c r="B294" s="24">
        <v>46266.0</v>
      </c>
      <c r="C294" s="29" t="s">
        <v>4</v>
      </c>
      <c r="D294" s="30">
        <v>0.6647599652777778</v>
      </c>
      <c r="E294" s="30">
        <v>0.6678549768518518</v>
      </c>
      <c r="F294" s="30">
        <v>0.667889699074074</v>
      </c>
      <c r="G294" s="30">
        <v>0.6683063657407408</v>
      </c>
      <c r="H294" s="35">
        <f t="shared" si="1"/>
        <v>4.456816667</v>
      </c>
      <c r="I294" s="35">
        <f t="shared" si="2"/>
        <v>0.6</v>
      </c>
      <c r="J294" s="39">
        <f t="shared" si="3"/>
        <v>15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ht="15.75" customHeight="1">
      <c r="A295" s="22">
        <v>293.0</v>
      </c>
      <c r="B295" s="24">
        <v>46266.0</v>
      </c>
      <c r="C295" s="29" t="s">
        <v>39</v>
      </c>
      <c r="D295" s="30">
        <v>0.6832045833333333</v>
      </c>
      <c r="E295" s="30">
        <v>0.6832045833333333</v>
      </c>
      <c r="F295" s="30">
        <v>0.6832277314814814</v>
      </c>
      <c r="G295" s="30">
        <v>0.6852068981481481</v>
      </c>
      <c r="H295" s="35">
        <f t="shared" si="1"/>
        <v>0</v>
      </c>
      <c r="I295" s="35">
        <f t="shared" si="2"/>
        <v>2.85</v>
      </c>
      <c r="J295" s="39">
        <f t="shared" si="3"/>
        <v>16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ht="15.75" customHeight="1">
      <c r="A296" s="22">
        <v>294.0</v>
      </c>
      <c r="B296" s="24">
        <v>46266.0</v>
      </c>
      <c r="C296" s="29" t="s">
        <v>4</v>
      </c>
      <c r="D296" s="30">
        <v>0.7046769212962963</v>
      </c>
      <c r="E296" s="30">
        <v>0.7046769212962963</v>
      </c>
      <c r="F296" s="30">
        <v>0.7047116435185186</v>
      </c>
      <c r="G296" s="30">
        <v>0.7055796990740741</v>
      </c>
      <c r="H296" s="35">
        <f t="shared" si="1"/>
        <v>0</v>
      </c>
      <c r="I296" s="35">
        <f t="shared" si="2"/>
        <v>1.25</v>
      </c>
      <c r="J296" s="39">
        <f t="shared" si="3"/>
        <v>16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ht="15.75" customHeight="1">
      <c r="A297" s="22">
        <v>295.0</v>
      </c>
      <c r="B297" s="24">
        <v>46267.0</v>
      </c>
      <c r="C297" s="29" t="s">
        <v>4</v>
      </c>
      <c r="D297" s="30">
        <v>0.3016849537037037</v>
      </c>
      <c r="E297" s="30">
        <v>0.3053422685185185</v>
      </c>
      <c r="F297" s="30">
        <v>0.3053885648148148</v>
      </c>
      <c r="G297" s="30">
        <v>0.3064533796296297</v>
      </c>
      <c r="H297" s="35">
        <f t="shared" si="1"/>
        <v>5.266533333</v>
      </c>
      <c r="I297" s="35">
        <f t="shared" si="2"/>
        <v>1.533333333</v>
      </c>
      <c r="J297" s="39">
        <f t="shared" si="3"/>
        <v>7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ht="15.75" customHeight="1">
      <c r="A298" s="22">
        <v>296.0</v>
      </c>
      <c r="B298" s="24">
        <v>46267.0</v>
      </c>
      <c r="C298" s="29" t="s">
        <v>39</v>
      </c>
      <c r="D298" s="30">
        <v>0.3149989583333334</v>
      </c>
      <c r="E298" s="30">
        <v>0.3151829398148148</v>
      </c>
      <c r="F298" s="30">
        <v>0.3151945138888889</v>
      </c>
      <c r="G298" s="30">
        <v>0.3179722916666667</v>
      </c>
      <c r="H298" s="35">
        <f t="shared" si="1"/>
        <v>0.2649333333</v>
      </c>
      <c r="I298" s="35">
        <f t="shared" si="2"/>
        <v>4</v>
      </c>
      <c r="J298" s="39">
        <f t="shared" si="3"/>
        <v>7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ht="15.75" customHeight="1">
      <c r="A299" s="22">
        <v>297.0</v>
      </c>
      <c r="B299" s="24">
        <v>46267.0</v>
      </c>
      <c r="C299" s="29" t="s">
        <v>4</v>
      </c>
      <c r="D299" s="30">
        <v>0.3223247685185185</v>
      </c>
      <c r="E299" s="30">
        <v>0.3249256018518519</v>
      </c>
      <c r="F299" s="30">
        <v>0.3249603240740741</v>
      </c>
      <c r="G299" s="30">
        <v>0.3270089351851852</v>
      </c>
      <c r="H299" s="35">
        <f t="shared" si="1"/>
        <v>3.7452</v>
      </c>
      <c r="I299" s="35">
        <f t="shared" si="2"/>
        <v>2.95</v>
      </c>
      <c r="J299" s="39">
        <f t="shared" si="3"/>
        <v>7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ht="15.75" customHeight="1">
      <c r="A300" s="22">
        <v>298.0</v>
      </c>
      <c r="B300" s="24">
        <v>46267.0</v>
      </c>
      <c r="C300" s="29" t="s">
        <v>4</v>
      </c>
      <c r="D300" s="30">
        <v>0.3247302777777778</v>
      </c>
      <c r="E300" s="30">
        <v>0.3292107175925926</v>
      </c>
      <c r="F300" s="30">
        <v>0.3292338657407408</v>
      </c>
      <c r="G300" s="30">
        <v>0.3320116435185185</v>
      </c>
      <c r="H300" s="35">
        <f t="shared" si="1"/>
        <v>6.451833333</v>
      </c>
      <c r="I300" s="35">
        <f t="shared" si="2"/>
        <v>4</v>
      </c>
      <c r="J300" s="39">
        <f t="shared" si="3"/>
        <v>7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ht="15.75" customHeight="1">
      <c r="A301" s="22">
        <v>299.0</v>
      </c>
      <c r="B301" s="24">
        <v>46267.0</v>
      </c>
      <c r="C301" s="29" t="s">
        <v>4</v>
      </c>
      <c r="D301" s="30">
        <v>0.3315011226851852</v>
      </c>
      <c r="E301" s="30">
        <v>0.3347778472222222</v>
      </c>
      <c r="F301" s="30">
        <v>0.3347894212962963</v>
      </c>
      <c r="G301" s="30">
        <v>0.3366875694444444</v>
      </c>
      <c r="H301" s="35">
        <f t="shared" si="1"/>
        <v>4.718483333</v>
      </c>
      <c r="I301" s="35">
        <f t="shared" si="2"/>
        <v>2.733333333</v>
      </c>
      <c r="J301" s="39">
        <f t="shared" si="3"/>
        <v>7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ht="15.75" customHeight="1">
      <c r="A302" s="22">
        <v>300.0</v>
      </c>
      <c r="B302" s="24">
        <v>46267.0</v>
      </c>
      <c r="C302" s="29" t="s">
        <v>4</v>
      </c>
      <c r="D302" s="30">
        <v>0.3328241087962963</v>
      </c>
      <c r="E302" s="30">
        <v>0.3363260648148148</v>
      </c>
      <c r="F302" s="30">
        <v>0.3363723611111111</v>
      </c>
      <c r="G302" s="30">
        <v>0.3386293055555555</v>
      </c>
      <c r="H302" s="35">
        <f t="shared" si="1"/>
        <v>5.042816667</v>
      </c>
      <c r="I302" s="35">
        <f t="shared" si="2"/>
        <v>3.25</v>
      </c>
      <c r="J302" s="39">
        <f t="shared" si="3"/>
        <v>7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ht="15.75" customHeight="1">
      <c r="A303" s="22">
        <v>301.0</v>
      </c>
      <c r="B303" s="24">
        <v>46267.0</v>
      </c>
      <c r="C303" s="29" t="s">
        <v>39</v>
      </c>
      <c r="D303" s="30">
        <v>0.3373356828703704</v>
      </c>
      <c r="E303" s="30">
        <v>0.3378355439814815</v>
      </c>
      <c r="F303" s="30">
        <v>0.3378471180555556</v>
      </c>
      <c r="G303" s="30">
        <v>0.3406480439814815</v>
      </c>
      <c r="H303" s="35">
        <f t="shared" si="1"/>
        <v>0.7198</v>
      </c>
      <c r="I303" s="35">
        <f t="shared" si="2"/>
        <v>4.033333333</v>
      </c>
      <c r="J303" s="39">
        <f t="shared" si="3"/>
        <v>8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ht="15.75" customHeight="1">
      <c r="A304" s="22">
        <v>302.0</v>
      </c>
      <c r="B304" s="24">
        <v>46267.0</v>
      </c>
      <c r="C304" s="29" t="s">
        <v>4</v>
      </c>
      <c r="D304" s="30">
        <v>0.3414207523148148</v>
      </c>
      <c r="E304" s="30">
        <v>0.3462334722222222</v>
      </c>
      <c r="F304" s="30">
        <v>0.3462797685185185</v>
      </c>
      <c r="G304" s="30">
        <v>0.3479580092592592</v>
      </c>
      <c r="H304" s="35">
        <f t="shared" si="1"/>
        <v>6.930316667</v>
      </c>
      <c r="I304" s="35">
        <f t="shared" si="2"/>
        <v>2.416666667</v>
      </c>
      <c r="J304" s="39">
        <f t="shared" si="3"/>
        <v>8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ht="15.75" customHeight="1">
      <c r="A305" s="22">
        <v>303.0</v>
      </c>
      <c r="B305" s="24">
        <v>46267.0</v>
      </c>
      <c r="C305" s="29" t="s">
        <v>4</v>
      </c>
      <c r="D305" s="30">
        <v>0.348093900462963</v>
      </c>
      <c r="E305" s="30">
        <v>0.3543748958333334</v>
      </c>
      <c r="F305" s="30">
        <v>0.3544096180555556</v>
      </c>
      <c r="G305" s="30">
        <v>0.3553239699074074</v>
      </c>
      <c r="H305" s="35">
        <f t="shared" si="1"/>
        <v>9.044633333</v>
      </c>
      <c r="I305" s="35">
        <f t="shared" si="2"/>
        <v>1.316666667</v>
      </c>
      <c r="J305" s="39">
        <f t="shared" si="3"/>
        <v>8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ht="15.75" customHeight="1">
      <c r="A306" s="22">
        <v>304.0</v>
      </c>
      <c r="B306" s="24">
        <v>46267.0</v>
      </c>
      <c r="C306" s="29" t="s">
        <v>4</v>
      </c>
      <c r="D306" s="30">
        <v>0.3532700347222222</v>
      </c>
      <c r="E306" s="30">
        <v>0.3598262847222222</v>
      </c>
      <c r="F306" s="30">
        <v>0.3598494328703704</v>
      </c>
      <c r="G306" s="30">
        <v>0.3617938773148148</v>
      </c>
      <c r="H306" s="35">
        <f t="shared" si="1"/>
        <v>9.441</v>
      </c>
      <c r="I306" s="35">
        <f t="shared" si="2"/>
        <v>2.8</v>
      </c>
      <c r="J306" s="39">
        <f t="shared" si="3"/>
        <v>8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ht="15.75" customHeight="1">
      <c r="A307" s="22">
        <v>305.0</v>
      </c>
      <c r="B307" s="24">
        <v>46267.0</v>
      </c>
      <c r="C307" s="29" t="s">
        <v>4</v>
      </c>
      <c r="D307" s="30">
        <v>0.3554882060185185</v>
      </c>
      <c r="E307" s="30">
        <v>0.3628239699074075</v>
      </c>
      <c r="F307" s="30">
        <v>0.3628702662037037</v>
      </c>
      <c r="G307" s="30">
        <v>0.3647915625</v>
      </c>
      <c r="H307" s="35">
        <f t="shared" si="1"/>
        <v>10.5635</v>
      </c>
      <c r="I307" s="35">
        <f t="shared" si="2"/>
        <v>2.766666667</v>
      </c>
      <c r="J307" s="39">
        <f t="shared" si="3"/>
        <v>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ht="15.75" customHeight="1">
      <c r="A308" s="22">
        <v>306.0</v>
      </c>
      <c r="B308" s="24">
        <v>46267.0</v>
      </c>
      <c r="C308" s="29" t="s">
        <v>39</v>
      </c>
      <c r="D308" s="30">
        <v>0.3632418518518519</v>
      </c>
      <c r="E308" s="30">
        <v>0.3638857407407407</v>
      </c>
      <c r="F308" s="30">
        <v>0.3638973148148148</v>
      </c>
      <c r="G308" s="30">
        <v>0.3666866666666667</v>
      </c>
      <c r="H308" s="35">
        <f t="shared" si="1"/>
        <v>0.9272</v>
      </c>
      <c r="I308" s="35">
        <f t="shared" si="2"/>
        <v>4.016666667</v>
      </c>
      <c r="J308" s="39">
        <f t="shared" si="3"/>
        <v>8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ht="15.75" customHeight="1">
      <c r="A309" s="22">
        <v>307.0</v>
      </c>
      <c r="B309" s="24">
        <v>46267.0</v>
      </c>
      <c r="C309" s="29" t="s">
        <v>4</v>
      </c>
      <c r="D309" s="30">
        <v>0.3780887152777778</v>
      </c>
      <c r="E309" s="30">
        <v>0.3936871759259259</v>
      </c>
      <c r="F309" s="30">
        <v>0.3937334722222222</v>
      </c>
      <c r="G309" s="30">
        <v>0.3956431944444445</v>
      </c>
      <c r="H309" s="35">
        <f t="shared" si="1"/>
        <v>22.46178333</v>
      </c>
      <c r="I309" s="35">
        <f t="shared" si="2"/>
        <v>2.75</v>
      </c>
      <c r="J309" s="39">
        <f t="shared" si="3"/>
        <v>9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ht="15.75" customHeight="1">
      <c r="A310" s="22">
        <v>308.0</v>
      </c>
      <c r="B310" s="24">
        <v>46267.0</v>
      </c>
      <c r="C310" s="29" t="s">
        <v>4</v>
      </c>
      <c r="D310" s="30">
        <v>0.4093821180555555</v>
      </c>
      <c r="E310" s="30">
        <v>0.4248610069444445</v>
      </c>
      <c r="F310" s="30">
        <v>0.4249073032407408</v>
      </c>
      <c r="G310" s="30">
        <v>0.426192025462963</v>
      </c>
      <c r="H310" s="35">
        <f t="shared" si="1"/>
        <v>22.2896</v>
      </c>
      <c r="I310" s="35">
        <f t="shared" si="2"/>
        <v>1.85</v>
      </c>
      <c r="J310" s="39">
        <f t="shared" si="3"/>
        <v>9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ht="15.75" customHeight="1">
      <c r="A311" s="22">
        <v>309.0</v>
      </c>
      <c r="B311" s="24">
        <v>46267.0</v>
      </c>
      <c r="C311" s="29" t="s">
        <v>39</v>
      </c>
      <c r="D311" s="30">
        <v>0.4144645601851852</v>
      </c>
      <c r="E311" s="30">
        <v>0.4146968287037037</v>
      </c>
      <c r="F311" s="30">
        <v>0.4147199768518518</v>
      </c>
      <c r="G311" s="30">
        <v>0.4170579398148148</v>
      </c>
      <c r="H311" s="35">
        <f t="shared" si="1"/>
        <v>0.3344666667</v>
      </c>
      <c r="I311" s="35">
        <f t="shared" si="2"/>
        <v>3.366666667</v>
      </c>
      <c r="J311" s="39">
        <f t="shared" si="3"/>
        <v>9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ht="15.75" customHeight="1">
      <c r="A312" s="22">
        <v>310.0</v>
      </c>
      <c r="B312" s="24">
        <v>46267.0</v>
      </c>
      <c r="C312" s="29" t="s">
        <v>4</v>
      </c>
      <c r="D312" s="30">
        <v>0.4145000694444444</v>
      </c>
      <c r="E312" s="30">
        <v>0.4279860069444444</v>
      </c>
      <c r="F312" s="30">
        <v>0.4280207291666667</v>
      </c>
      <c r="G312" s="30">
        <v>0.4305323032407408</v>
      </c>
      <c r="H312" s="35">
        <f t="shared" si="1"/>
        <v>19.41975</v>
      </c>
      <c r="I312" s="35">
        <f t="shared" si="2"/>
        <v>3.616666667</v>
      </c>
      <c r="J312" s="39">
        <f t="shared" si="3"/>
        <v>9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ht="15.75" customHeight="1">
      <c r="A313" s="22">
        <v>311.0</v>
      </c>
      <c r="B313" s="24">
        <v>46267.0</v>
      </c>
      <c r="C313" s="29" t="s">
        <v>4</v>
      </c>
      <c r="D313" s="30">
        <v>0.4147697569444445</v>
      </c>
      <c r="E313" s="30">
        <v>0.4284325462962963</v>
      </c>
      <c r="F313" s="30">
        <v>0.4284441203703704</v>
      </c>
      <c r="G313" s="30">
        <v>0.4304811574074074</v>
      </c>
      <c r="H313" s="35">
        <f t="shared" si="1"/>
        <v>19.67441667</v>
      </c>
      <c r="I313" s="35">
        <f t="shared" si="2"/>
        <v>2.933333333</v>
      </c>
      <c r="J313" s="39">
        <f t="shared" si="3"/>
        <v>9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ht="15.75" customHeight="1">
      <c r="A314" s="22">
        <v>312.0</v>
      </c>
      <c r="B314" s="24">
        <v>46267.0</v>
      </c>
      <c r="C314" s="29" t="s">
        <v>4</v>
      </c>
      <c r="D314" s="30">
        <v>0.4160098611111111</v>
      </c>
      <c r="E314" s="30">
        <v>0.4318285995370371</v>
      </c>
      <c r="F314" s="30">
        <v>0.4318401736111112</v>
      </c>
      <c r="G314" s="30">
        <v>0.4327082291666667</v>
      </c>
      <c r="H314" s="35">
        <f t="shared" si="1"/>
        <v>22.77898333</v>
      </c>
      <c r="I314" s="35">
        <f t="shared" si="2"/>
        <v>1.25</v>
      </c>
      <c r="J314" s="39">
        <f t="shared" si="3"/>
        <v>9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ht="15.75" customHeight="1">
      <c r="A315" s="22">
        <v>313.0</v>
      </c>
      <c r="B315" s="24">
        <v>46267.0</v>
      </c>
      <c r="C315" s="29" t="s">
        <v>4</v>
      </c>
      <c r="D315" s="30">
        <v>0.4250431944444445</v>
      </c>
      <c r="E315" s="30">
        <v>0.4387361805555555</v>
      </c>
      <c r="F315" s="30">
        <v>0.4387593287037037</v>
      </c>
      <c r="G315" s="30">
        <v>0.4398009953703703</v>
      </c>
      <c r="H315" s="35">
        <f t="shared" si="1"/>
        <v>19.7179</v>
      </c>
      <c r="I315" s="35">
        <f t="shared" si="2"/>
        <v>1.5</v>
      </c>
      <c r="J315" s="39">
        <f t="shared" si="3"/>
        <v>10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ht="15.75" customHeight="1">
      <c r="A316" s="22">
        <v>314.0</v>
      </c>
      <c r="B316" s="24">
        <v>46267.0</v>
      </c>
      <c r="C316" s="29" t="s">
        <v>4</v>
      </c>
      <c r="D316" s="30">
        <v>0.4310435069444444</v>
      </c>
      <c r="E316" s="30">
        <v>0.445578599537037</v>
      </c>
      <c r="F316" s="30">
        <v>0.4456017476851852</v>
      </c>
      <c r="G316" s="30">
        <v>0.4505785995370371</v>
      </c>
      <c r="H316" s="35">
        <f t="shared" si="1"/>
        <v>20.93053333</v>
      </c>
      <c r="I316" s="35">
        <f t="shared" si="2"/>
        <v>7.166666667</v>
      </c>
      <c r="J316" s="39">
        <f t="shared" si="3"/>
        <v>10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ht="15.75" customHeight="1">
      <c r="A317" s="22">
        <v>315.0</v>
      </c>
      <c r="B317" s="24">
        <v>46267.0</v>
      </c>
      <c r="C317" s="29" t="s">
        <v>4</v>
      </c>
      <c r="D317" s="30">
        <v>0.4504614467592593</v>
      </c>
      <c r="E317" s="30">
        <v>0.4631334259259259</v>
      </c>
      <c r="F317" s="30">
        <v>0.463145</v>
      </c>
      <c r="G317" s="30">
        <v>0.4671380555555556</v>
      </c>
      <c r="H317" s="35">
        <f t="shared" si="1"/>
        <v>18.24765</v>
      </c>
      <c r="I317" s="35">
        <f t="shared" si="2"/>
        <v>5.75</v>
      </c>
      <c r="J317" s="39">
        <f t="shared" si="3"/>
        <v>10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ht="15.75" customHeight="1">
      <c r="A318" s="22">
        <v>316.0</v>
      </c>
      <c r="B318" s="24">
        <v>46267.0</v>
      </c>
      <c r="C318" s="29" t="s">
        <v>4</v>
      </c>
      <c r="D318" s="30">
        <v>0.4557634953703704</v>
      </c>
      <c r="E318" s="30">
        <v>0.4674398842592592</v>
      </c>
      <c r="F318" s="30">
        <v>0.4674514583333333</v>
      </c>
      <c r="G318" s="30">
        <v>0.4707732175925926</v>
      </c>
      <c r="H318" s="35">
        <f t="shared" si="1"/>
        <v>16.814</v>
      </c>
      <c r="I318" s="35">
        <f t="shared" si="2"/>
        <v>4.783333333</v>
      </c>
      <c r="J318" s="39">
        <f t="shared" si="3"/>
        <v>10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ht="15.75" customHeight="1">
      <c r="A319" s="22">
        <v>317.0</v>
      </c>
      <c r="B319" s="24">
        <v>46267.0</v>
      </c>
      <c r="C319" s="29" t="s">
        <v>4</v>
      </c>
      <c r="D319" s="30">
        <v>0.4612306134259259</v>
      </c>
      <c r="E319" s="30">
        <v>0.4729695833333333</v>
      </c>
      <c r="F319" s="30">
        <v>0.4729811574074074</v>
      </c>
      <c r="G319" s="30">
        <v>0.4753075462962963</v>
      </c>
      <c r="H319" s="35">
        <f t="shared" si="1"/>
        <v>16.90411667</v>
      </c>
      <c r="I319" s="35">
        <f t="shared" si="2"/>
        <v>3.35</v>
      </c>
      <c r="J319" s="39">
        <f t="shared" si="3"/>
        <v>11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ht="15.75" customHeight="1">
      <c r="A320" s="22">
        <v>318.0</v>
      </c>
      <c r="B320" s="24">
        <v>46267.0</v>
      </c>
      <c r="C320" s="29" t="s">
        <v>4</v>
      </c>
      <c r="D320" s="30">
        <v>0.4797528356481481</v>
      </c>
      <c r="E320" s="30">
        <v>0.4815371064814815</v>
      </c>
      <c r="F320" s="30">
        <v>0.4815602546296296</v>
      </c>
      <c r="G320" s="30">
        <v>0.4836204398148148</v>
      </c>
      <c r="H320" s="35">
        <f t="shared" si="1"/>
        <v>2.56935</v>
      </c>
      <c r="I320" s="35">
        <f t="shared" si="2"/>
        <v>2.966666667</v>
      </c>
      <c r="J320" s="39">
        <f t="shared" si="3"/>
        <v>11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ht="15.75" customHeight="1">
      <c r="A321" s="22">
        <v>319.0</v>
      </c>
      <c r="B321" s="24">
        <v>46267.0</v>
      </c>
      <c r="C321" s="29" t="s">
        <v>4</v>
      </c>
      <c r="D321" s="30">
        <v>0.497795787037037</v>
      </c>
      <c r="E321" s="30">
        <v>0.497795787037037</v>
      </c>
      <c r="F321" s="30">
        <v>0.4978073611111111</v>
      </c>
      <c r="G321" s="30">
        <v>0.4997981018518518</v>
      </c>
      <c r="H321" s="35">
        <f t="shared" si="1"/>
        <v>0</v>
      </c>
      <c r="I321" s="35">
        <f t="shared" si="2"/>
        <v>2.866666667</v>
      </c>
      <c r="J321" s="39">
        <f t="shared" si="3"/>
        <v>11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ht="15.75" customHeight="1">
      <c r="A322" s="22">
        <v>320.0</v>
      </c>
      <c r="B322" s="24">
        <v>46267.0</v>
      </c>
      <c r="C322" s="29" t="s">
        <v>4</v>
      </c>
      <c r="D322" s="30">
        <v>0.5011426273148148</v>
      </c>
      <c r="E322" s="30">
        <v>0.5011426273148148</v>
      </c>
      <c r="F322" s="30">
        <v>0.5011542013888889</v>
      </c>
      <c r="G322" s="30">
        <v>0.5029829050925926</v>
      </c>
      <c r="H322" s="35">
        <f t="shared" si="1"/>
        <v>0</v>
      </c>
      <c r="I322" s="35">
        <f t="shared" si="2"/>
        <v>2.633333333</v>
      </c>
      <c r="J322" s="39">
        <f t="shared" si="3"/>
        <v>12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ht="15.75" customHeight="1">
      <c r="A323" s="22">
        <v>321.0</v>
      </c>
      <c r="B323" s="24">
        <v>46267.0</v>
      </c>
      <c r="C323" s="29" t="s">
        <v>4</v>
      </c>
      <c r="D323" s="30">
        <v>0.5266516782407408</v>
      </c>
      <c r="E323" s="30">
        <v>0.5268594212962964</v>
      </c>
      <c r="F323" s="30">
        <v>0.5269057175925926</v>
      </c>
      <c r="G323" s="30">
        <v>0.5292436805555556</v>
      </c>
      <c r="H323" s="35">
        <f t="shared" si="1"/>
        <v>0.29915</v>
      </c>
      <c r="I323" s="35">
        <f t="shared" si="2"/>
        <v>3.366666667</v>
      </c>
      <c r="J323" s="39">
        <f t="shared" si="3"/>
        <v>12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ht="15.75" customHeight="1">
      <c r="A324" s="22">
        <v>322.0</v>
      </c>
      <c r="B324" s="24">
        <v>46267.0</v>
      </c>
      <c r="C324" s="29" t="s">
        <v>4</v>
      </c>
      <c r="D324" s="30">
        <v>0.5372374305555555</v>
      </c>
      <c r="E324" s="30">
        <v>0.5372374305555555</v>
      </c>
      <c r="F324" s="30">
        <v>0.5372490046296297</v>
      </c>
      <c r="G324" s="30">
        <v>0.5406286342592592</v>
      </c>
      <c r="H324" s="35">
        <f t="shared" si="1"/>
        <v>0</v>
      </c>
      <c r="I324" s="35">
        <f t="shared" si="2"/>
        <v>4.866666667</v>
      </c>
      <c r="J324" s="39">
        <f t="shared" si="3"/>
        <v>12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ht="15.75" customHeight="1">
      <c r="A325" s="22">
        <v>323.0</v>
      </c>
      <c r="B325" s="24">
        <v>46267.0</v>
      </c>
      <c r="C325" s="29" t="s">
        <v>4</v>
      </c>
      <c r="D325" s="30">
        <v>0.5545918981481481</v>
      </c>
      <c r="E325" s="30">
        <v>0.5545918981481481</v>
      </c>
      <c r="F325" s="30">
        <v>0.5546266203703704</v>
      </c>
      <c r="G325" s="30">
        <v>0.5582608796296296</v>
      </c>
      <c r="H325" s="35">
        <f t="shared" si="1"/>
        <v>0</v>
      </c>
      <c r="I325" s="35">
        <f t="shared" si="2"/>
        <v>5.233333333</v>
      </c>
      <c r="J325" s="39">
        <f t="shared" si="3"/>
        <v>13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ht="15.75" customHeight="1">
      <c r="A326" s="22">
        <v>324.0</v>
      </c>
      <c r="B326" s="24">
        <v>46267.0</v>
      </c>
      <c r="C326" s="29" t="s">
        <v>4</v>
      </c>
      <c r="D326" s="30">
        <v>0.5596997685185184</v>
      </c>
      <c r="E326" s="30">
        <v>0.5596997685185184</v>
      </c>
      <c r="F326" s="30">
        <v>0.5597460648148148</v>
      </c>
      <c r="G326" s="30">
        <v>0.5615284722222222</v>
      </c>
      <c r="H326" s="35">
        <f t="shared" si="1"/>
        <v>0</v>
      </c>
      <c r="I326" s="35">
        <f t="shared" si="2"/>
        <v>2.566666667</v>
      </c>
      <c r="J326" s="39">
        <f t="shared" si="3"/>
        <v>13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ht="15.75" customHeight="1">
      <c r="A327" s="22">
        <v>325.0</v>
      </c>
      <c r="B327" s="24">
        <v>46267.0</v>
      </c>
      <c r="C327" s="29" t="s">
        <v>4</v>
      </c>
      <c r="D327" s="30">
        <v>0.5624119907407408</v>
      </c>
      <c r="E327" s="30">
        <v>0.5624119907407408</v>
      </c>
      <c r="F327" s="30">
        <v>0.5624351388888889</v>
      </c>
      <c r="G327" s="30">
        <v>0.5646920833333333</v>
      </c>
      <c r="H327" s="35">
        <f t="shared" si="1"/>
        <v>0</v>
      </c>
      <c r="I327" s="35">
        <f t="shared" si="2"/>
        <v>3.25</v>
      </c>
      <c r="J327" s="39">
        <f t="shared" si="3"/>
        <v>13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ht="15.75" customHeight="1">
      <c r="A328" s="22">
        <v>326.0</v>
      </c>
      <c r="B328" s="24">
        <v>46267.0</v>
      </c>
      <c r="C328" s="29" t="s">
        <v>39</v>
      </c>
      <c r="D328" s="30">
        <v>0.5912795601851851</v>
      </c>
      <c r="E328" s="30">
        <v>0.5912795601851851</v>
      </c>
      <c r="F328" s="30">
        <v>0.5913142824074074</v>
      </c>
      <c r="G328" s="30">
        <v>0.5959902083333333</v>
      </c>
      <c r="H328" s="35">
        <f t="shared" si="1"/>
        <v>0</v>
      </c>
      <c r="I328" s="35">
        <f t="shared" si="2"/>
        <v>6.733333333</v>
      </c>
      <c r="J328" s="39">
        <f t="shared" si="3"/>
        <v>14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ht="15.75" customHeight="1">
      <c r="A329" s="22">
        <v>327.0</v>
      </c>
      <c r="B329" s="24">
        <v>46267.0</v>
      </c>
      <c r="C329" s="29" t="s">
        <v>4</v>
      </c>
      <c r="D329" s="30">
        <v>0.5947498726851852</v>
      </c>
      <c r="E329" s="30">
        <v>0.5955451388888888</v>
      </c>
      <c r="F329" s="30">
        <v>0.595568287037037</v>
      </c>
      <c r="G329" s="30">
        <v>0.596667824074074</v>
      </c>
      <c r="H329" s="35">
        <f t="shared" si="1"/>
        <v>1.145183333</v>
      </c>
      <c r="I329" s="35">
        <f t="shared" si="2"/>
        <v>1.583333333</v>
      </c>
      <c r="J329" s="39">
        <f t="shared" si="3"/>
        <v>14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ht="15.75" customHeight="1">
      <c r="A330" s="22">
        <v>328.0</v>
      </c>
      <c r="B330" s="24">
        <v>46267.0</v>
      </c>
      <c r="C330" s="29" t="s">
        <v>4</v>
      </c>
      <c r="D330" s="30">
        <v>0.6150500810185184</v>
      </c>
      <c r="E330" s="30">
        <v>0.6167230671296297</v>
      </c>
      <c r="F330" s="30">
        <v>0.6167462152777777</v>
      </c>
      <c r="G330" s="30">
        <v>0.6194892708333334</v>
      </c>
      <c r="H330" s="35">
        <f t="shared" si="1"/>
        <v>2.4091</v>
      </c>
      <c r="I330" s="35">
        <f t="shared" si="2"/>
        <v>3.95</v>
      </c>
      <c r="J330" s="39">
        <f t="shared" si="3"/>
        <v>14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ht="15.75" customHeight="1">
      <c r="A331" s="22">
        <v>329.0</v>
      </c>
      <c r="B331" s="24">
        <v>46267.0</v>
      </c>
      <c r="C331" s="29" t="s">
        <v>4</v>
      </c>
      <c r="D331" s="30">
        <v>0.6183799537037037</v>
      </c>
      <c r="E331" s="30">
        <v>0.6183799537037037</v>
      </c>
      <c r="F331" s="30">
        <v>0.6184146759259259</v>
      </c>
      <c r="G331" s="30">
        <v>0.6190049537037037</v>
      </c>
      <c r="H331" s="35">
        <f t="shared" si="1"/>
        <v>0</v>
      </c>
      <c r="I331" s="35">
        <f t="shared" si="2"/>
        <v>0.85</v>
      </c>
      <c r="J331" s="39">
        <f t="shared" si="3"/>
        <v>14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ht="15.75" customHeight="1">
      <c r="A332" s="22">
        <v>330.0</v>
      </c>
      <c r="B332" s="24">
        <v>46267.0</v>
      </c>
      <c r="C332" s="29" t="s">
        <v>4</v>
      </c>
      <c r="D332" s="30">
        <v>0.6213306018518518</v>
      </c>
      <c r="E332" s="30">
        <v>0.6227989120370371</v>
      </c>
      <c r="F332" s="30">
        <v>0.6228336342592593</v>
      </c>
      <c r="G332" s="30">
        <v>0.625136875</v>
      </c>
      <c r="H332" s="35">
        <f t="shared" si="1"/>
        <v>2.114366667</v>
      </c>
      <c r="I332" s="35">
        <f t="shared" si="2"/>
        <v>3.316666667</v>
      </c>
      <c r="J332" s="39">
        <f t="shared" si="3"/>
        <v>14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ht="15.75" customHeight="1">
      <c r="A333" s="22">
        <v>331.0</v>
      </c>
      <c r="B333" s="24">
        <v>46267.0</v>
      </c>
      <c r="C333" s="29" t="s">
        <v>4</v>
      </c>
      <c r="D333" s="30">
        <v>0.6410182986111111</v>
      </c>
      <c r="E333" s="30">
        <v>0.6410182986111111</v>
      </c>
      <c r="F333" s="30">
        <v>0.6410414467592592</v>
      </c>
      <c r="G333" s="30">
        <v>0.6425345023148148</v>
      </c>
      <c r="H333" s="35">
        <f t="shared" si="1"/>
        <v>0</v>
      </c>
      <c r="I333" s="35">
        <f t="shared" si="2"/>
        <v>2.15</v>
      </c>
      <c r="J333" s="39">
        <f t="shared" si="3"/>
        <v>15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ht="15.75" customHeight="1">
      <c r="A334" s="22">
        <v>332.0</v>
      </c>
      <c r="B334" s="24">
        <v>46267.0</v>
      </c>
      <c r="C334" s="29" t="s">
        <v>4</v>
      </c>
      <c r="D334" s="30">
        <v>0.6418888425925926</v>
      </c>
      <c r="E334" s="30">
        <v>0.6423355092592593</v>
      </c>
      <c r="F334" s="30">
        <v>0.6423586574074074</v>
      </c>
      <c r="G334" s="30">
        <v>0.6439906018518519</v>
      </c>
      <c r="H334" s="35">
        <f t="shared" si="1"/>
        <v>0.6432</v>
      </c>
      <c r="I334" s="35">
        <f t="shared" si="2"/>
        <v>2.35</v>
      </c>
      <c r="J334" s="39">
        <f t="shared" si="3"/>
        <v>15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ht="15.75" customHeight="1">
      <c r="A335" s="22">
        <v>333.0</v>
      </c>
      <c r="B335" s="24">
        <v>46267.0</v>
      </c>
      <c r="C335" s="29" t="s">
        <v>4</v>
      </c>
      <c r="D335" s="30">
        <v>0.6597831481481482</v>
      </c>
      <c r="E335" s="30">
        <v>0.6597831481481482</v>
      </c>
      <c r="F335" s="30">
        <v>0.6598294444444445</v>
      </c>
      <c r="G335" s="30">
        <v>0.6638456481481482</v>
      </c>
      <c r="H335" s="35">
        <f t="shared" si="1"/>
        <v>0</v>
      </c>
      <c r="I335" s="35">
        <f t="shared" si="2"/>
        <v>5.783333333</v>
      </c>
      <c r="J335" s="39">
        <f t="shared" si="3"/>
        <v>15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ht="15.75" customHeight="1">
      <c r="A336" s="22">
        <v>334.0</v>
      </c>
      <c r="B336" s="24">
        <v>46267.0</v>
      </c>
      <c r="C336" s="29" t="s">
        <v>4</v>
      </c>
      <c r="D336" s="30">
        <v>0.6659040856481481</v>
      </c>
      <c r="E336" s="30">
        <v>0.6669796412037037</v>
      </c>
      <c r="F336" s="30">
        <v>0.6669912152777777</v>
      </c>
      <c r="G336" s="30">
        <v>0.6714819560185185</v>
      </c>
      <c r="H336" s="35">
        <f t="shared" si="1"/>
        <v>1.5488</v>
      </c>
      <c r="I336" s="35">
        <f t="shared" si="2"/>
        <v>6.466666667</v>
      </c>
      <c r="J336" s="39">
        <f t="shared" si="3"/>
        <v>15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ht="15.75" customHeight="1">
      <c r="A337" s="22">
        <v>335.0</v>
      </c>
      <c r="B337" s="24">
        <v>46267.0</v>
      </c>
      <c r="C337" s="29" t="s">
        <v>4</v>
      </c>
      <c r="D337" s="30">
        <v>0.6740757986111111</v>
      </c>
      <c r="E337" s="30">
        <v>0.6740757986111111</v>
      </c>
      <c r="F337" s="30">
        <v>0.6740989467592592</v>
      </c>
      <c r="G337" s="30">
        <v>0.6755688541666667</v>
      </c>
      <c r="H337" s="35">
        <f t="shared" si="1"/>
        <v>0</v>
      </c>
      <c r="I337" s="35">
        <f t="shared" si="2"/>
        <v>2.116666667</v>
      </c>
      <c r="J337" s="39">
        <f t="shared" si="3"/>
        <v>16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ht="15.75" customHeight="1">
      <c r="A338" s="22">
        <v>336.0</v>
      </c>
      <c r="B338" s="24">
        <v>46267.0</v>
      </c>
      <c r="C338" s="29" t="s">
        <v>4</v>
      </c>
      <c r="D338" s="30">
        <v>0.7010016319444444</v>
      </c>
      <c r="E338" s="30">
        <v>0.7010016319444444</v>
      </c>
      <c r="F338" s="30">
        <v>0.7010132060185185</v>
      </c>
      <c r="G338" s="30">
        <v>0.7035479282407407</v>
      </c>
      <c r="H338" s="35">
        <f t="shared" si="1"/>
        <v>0</v>
      </c>
      <c r="I338" s="35">
        <f t="shared" si="2"/>
        <v>3.65</v>
      </c>
      <c r="J338" s="39">
        <f t="shared" si="3"/>
        <v>16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ht="15.75" customHeight="1">
      <c r="A339" s="22">
        <v>337.0</v>
      </c>
      <c r="B339" s="24">
        <v>46268.0</v>
      </c>
      <c r="C339" s="29" t="s">
        <v>4</v>
      </c>
      <c r="D339" s="30">
        <v>0.3010602777777778</v>
      </c>
      <c r="E339" s="30">
        <v>0.3026850810185185</v>
      </c>
      <c r="F339" s="30">
        <v>0.3027082291666667</v>
      </c>
      <c r="G339" s="30">
        <v>0.3054744328703704</v>
      </c>
      <c r="H339" s="35">
        <f t="shared" si="1"/>
        <v>2.339716667</v>
      </c>
      <c r="I339" s="35">
        <f t="shared" si="2"/>
        <v>3.983333333</v>
      </c>
      <c r="J339" s="39">
        <f t="shared" si="3"/>
        <v>7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ht="15.75" customHeight="1">
      <c r="A340" s="22">
        <v>338.0</v>
      </c>
      <c r="B340" s="24">
        <v>46268.0</v>
      </c>
      <c r="C340" s="29" t="s">
        <v>4</v>
      </c>
      <c r="D340" s="30">
        <v>0.3104651157407408</v>
      </c>
      <c r="E340" s="30">
        <v>0.3140971180555556</v>
      </c>
      <c r="F340" s="30">
        <v>0.3141434143518519</v>
      </c>
      <c r="G340" s="30">
        <v>0.3175577662037037</v>
      </c>
      <c r="H340" s="35">
        <f t="shared" si="1"/>
        <v>5.230083333</v>
      </c>
      <c r="I340" s="35">
        <f t="shared" si="2"/>
        <v>4.916666667</v>
      </c>
      <c r="J340" s="39">
        <f t="shared" si="3"/>
        <v>7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ht="15.75" customHeight="1">
      <c r="A341" s="22">
        <v>339.0</v>
      </c>
      <c r="B341" s="24">
        <v>46268.0</v>
      </c>
      <c r="C341" s="29" t="s">
        <v>39</v>
      </c>
      <c r="D341" s="30">
        <v>0.3154713541666667</v>
      </c>
      <c r="E341" s="30">
        <v>0.3171182986111111</v>
      </c>
      <c r="F341" s="30">
        <v>0.3171298726851852</v>
      </c>
      <c r="G341" s="30">
        <v>0.3192247800925926</v>
      </c>
      <c r="H341" s="35">
        <f t="shared" si="1"/>
        <v>2.3716</v>
      </c>
      <c r="I341" s="35">
        <f t="shared" si="2"/>
        <v>3.016666667</v>
      </c>
      <c r="J341" s="39">
        <f t="shared" si="3"/>
        <v>7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ht="15.75" customHeight="1">
      <c r="A342" s="22">
        <v>340.0</v>
      </c>
      <c r="B342" s="24">
        <v>46268.0</v>
      </c>
      <c r="C342" s="29" t="s">
        <v>4</v>
      </c>
      <c r="D342" s="30">
        <v>0.3203279050925926</v>
      </c>
      <c r="E342" s="30">
        <v>0.3257757060185185</v>
      </c>
      <c r="F342" s="30">
        <v>0.3258104282407407</v>
      </c>
      <c r="G342" s="30">
        <v>0.3269909837962963</v>
      </c>
      <c r="H342" s="35">
        <f t="shared" si="1"/>
        <v>7.844833333</v>
      </c>
      <c r="I342" s="35">
        <f t="shared" si="2"/>
        <v>1.7</v>
      </c>
      <c r="J342" s="39">
        <f t="shared" si="3"/>
        <v>7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ht="15.75" customHeight="1">
      <c r="A343" s="22">
        <v>341.0</v>
      </c>
      <c r="B343" s="24">
        <v>46268.0</v>
      </c>
      <c r="C343" s="29" t="s">
        <v>4</v>
      </c>
      <c r="D343" s="30">
        <v>0.3244021643518519</v>
      </c>
      <c r="E343" s="30">
        <v>0.3321877777777778</v>
      </c>
      <c r="F343" s="30">
        <v>0.3322340740740741</v>
      </c>
      <c r="G343" s="30">
        <v>0.3332178703703704</v>
      </c>
      <c r="H343" s="35">
        <f t="shared" si="1"/>
        <v>11.21128333</v>
      </c>
      <c r="I343" s="35">
        <f t="shared" si="2"/>
        <v>1.416666667</v>
      </c>
      <c r="J343" s="39">
        <f t="shared" si="3"/>
        <v>7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ht="15.75" customHeight="1">
      <c r="A344" s="22">
        <v>342.0</v>
      </c>
      <c r="B344" s="24">
        <v>46268.0</v>
      </c>
      <c r="C344" s="29" t="s">
        <v>4</v>
      </c>
      <c r="D344" s="30">
        <v>0.3278239467592593</v>
      </c>
      <c r="E344" s="30">
        <v>0.3364856481481481</v>
      </c>
      <c r="F344" s="30">
        <v>0.3365203703703704</v>
      </c>
      <c r="G344" s="30">
        <v>0.3386847222222222</v>
      </c>
      <c r="H344" s="35">
        <f t="shared" si="1"/>
        <v>12.47285</v>
      </c>
      <c r="I344" s="35">
        <f t="shared" si="2"/>
        <v>3.116666667</v>
      </c>
      <c r="J344" s="39">
        <f t="shared" si="3"/>
        <v>7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ht="15.75" customHeight="1">
      <c r="A345" s="22">
        <v>343.0</v>
      </c>
      <c r="B345" s="24">
        <v>46268.0</v>
      </c>
      <c r="C345" s="29" t="s">
        <v>4</v>
      </c>
      <c r="D345" s="30">
        <v>0.3338682060185185</v>
      </c>
      <c r="E345" s="30">
        <v>0.3455365740740741</v>
      </c>
      <c r="F345" s="30">
        <v>0.3455481481481482</v>
      </c>
      <c r="G345" s="30">
        <v>0.3474578703703704</v>
      </c>
      <c r="H345" s="35">
        <f t="shared" si="1"/>
        <v>16.80245</v>
      </c>
      <c r="I345" s="35">
        <f t="shared" si="2"/>
        <v>2.75</v>
      </c>
      <c r="J345" s="39">
        <f t="shared" si="3"/>
        <v>8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ht="15.75" customHeight="1">
      <c r="A346" s="22">
        <v>344.0</v>
      </c>
      <c r="B346" s="24">
        <v>46268.0</v>
      </c>
      <c r="C346" s="29" t="s">
        <v>39</v>
      </c>
      <c r="D346" s="30">
        <v>0.3340121759259259</v>
      </c>
      <c r="E346" s="30">
        <v>0.3349188773148148</v>
      </c>
      <c r="F346" s="30">
        <v>0.334942025462963</v>
      </c>
      <c r="G346" s="30">
        <v>0.3380323032407407</v>
      </c>
      <c r="H346" s="35">
        <f t="shared" si="1"/>
        <v>1.30565</v>
      </c>
      <c r="I346" s="35">
        <f t="shared" si="2"/>
        <v>4.45</v>
      </c>
      <c r="J346" s="39">
        <f t="shared" si="3"/>
        <v>8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ht="15.75" customHeight="1">
      <c r="A347" s="22">
        <v>345.0</v>
      </c>
      <c r="B347" s="24">
        <v>46268.0</v>
      </c>
      <c r="C347" s="29" t="s">
        <v>4</v>
      </c>
      <c r="D347" s="30">
        <v>0.3425640972222223</v>
      </c>
      <c r="E347" s="30">
        <v>0.3550851851851852</v>
      </c>
      <c r="F347" s="30">
        <v>0.3551083333333334</v>
      </c>
      <c r="G347" s="30">
        <v>0.35865</v>
      </c>
      <c r="H347" s="35">
        <f t="shared" si="1"/>
        <v>18.03036667</v>
      </c>
      <c r="I347" s="35">
        <f t="shared" si="2"/>
        <v>5.1</v>
      </c>
      <c r="J347" s="39">
        <f t="shared" si="3"/>
        <v>8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ht="15.75" customHeight="1">
      <c r="A348" s="22">
        <v>346.0</v>
      </c>
      <c r="B348" s="24">
        <v>46268.0</v>
      </c>
      <c r="C348" s="29" t="s">
        <v>4</v>
      </c>
      <c r="D348" s="30">
        <v>0.3580771875</v>
      </c>
      <c r="E348" s="30">
        <v>0.3772340393518518</v>
      </c>
      <c r="F348" s="30">
        <v>0.3772687615740741</v>
      </c>
      <c r="G348" s="30">
        <v>0.3793520949074074</v>
      </c>
      <c r="H348" s="35">
        <f t="shared" si="1"/>
        <v>27.58586667</v>
      </c>
      <c r="I348" s="35">
        <f t="shared" si="2"/>
        <v>3</v>
      </c>
      <c r="J348" s="39">
        <f t="shared" si="3"/>
        <v>8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ht="15.75" customHeight="1">
      <c r="A349" s="22">
        <v>347.0</v>
      </c>
      <c r="B349" s="24">
        <v>46268.0</v>
      </c>
      <c r="C349" s="29" t="s">
        <v>4</v>
      </c>
      <c r="D349" s="30">
        <v>0.3623409953703703</v>
      </c>
      <c r="E349" s="30">
        <v>0.3839817245370371</v>
      </c>
      <c r="F349" s="30">
        <v>0.3839932986111111</v>
      </c>
      <c r="G349" s="30">
        <v>0.3868520949074074</v>
      </c>
      <c r="H349" s="35">
        <f t="shared" si="1"/>
        <v>31.16265</v>
      </c>
      <c r="I349" s="35">
        <f t="shared" si="2"/>
        <v>4.116666667</v>
      </c>
      <c r="J349" s="39">
        <f t="shared" si="3"/>
        <v>8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ht="15.75" customHeight="1">
      <c r="A350" s="22">
        <v>348.0</v>
      </c>
      <c r="B350" s="24">
        <v>46268.0</v>
      </c>
      <c r="C350" s="29" t="s">
        <v>4</v>
      </c>
      <c r="D350" s="30">
        <v>0.3626386342592592</v>
      </c>
      <c r="E350" s="30">
        <v>0.3871989699074074</v>
      </c>
      <c r="F350" s="30">
        <v>0.3872336921296297</v>
      </c>
      <c r="G350" s="30">
        <v>0.3882522106481482</v>
      </c>
      <c r="H350" s="35">
        <f t="shared" si="1"/>
        <v>35.36688333</v>
      </c>
      <c r="I350" s="35">
        <f t="shared" si="2"/>
        <v>1.466666667</v>
      </c>
      <c r="J350" s="39">
        <f t="shared" si="3"/>
        <v>8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ht="15.75" customHeight="1">
      <c r="A351" s="22">
        <v>349.0</v>
      </c>
      <c r="B351" s="24">
        <v>46268.0</v>
      </c>
      <c r="C351" s="29" t="s">
        <v>4</v>
      </c>
      <c r="D351" s="30">
        <v>0.3805269444444444</v>
      </c>
      <c r="E351" s="30">
        <v>0.4075388888888889</v>
      </c>
      <c r="F351" s="30">
        <v>0.4075851851851852</v>
      </c>
      <c r="G351" s="30">
        <v>0.4093675925925926</v>
      </c>
      <c r="H351" s="35">
        <f t="shared" si="1"/>
        <v>38.8972</v>
      </c>
      <c r="I351" s="35">
        <f t="shared" si="2"/>
        <v>2.566666667</v>
      </c>
      <c r="J351" s="39">
        <f t="shared" si="3"/>
        <v>9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ht="15.75" customHeight="1">
      <c r="A352" s="22">
        <v>350.0</v>
      </c>
      <c r="B352" s="24">
        <v>46268.0</v>
      </c>
      <c r="C352" s="29" t="s">
        <v>4</v>
      </c>
      <c r="D352" s="30">
        <v>0.3937500462962963</v>
      </c>
      <c r="E352" s="30">
        <v>0.4287961921296297</v>
      </c>
      <c r="F352" s="30">
        <v>0.4288309143518519</v>
      </c>
      <c r="G352" s="30">
        <v>0.4326387847222222</v>
      </c>
      <c r="H352" s="35">
        <f t="shared" si="1"/>
        <v>50.46645</v>
      </c>
      <c r="I352" s="35">
        <f t="shared" si="2"/>
        <v>5.483333333</v>
      </c>
      <c r="J352" s="39">
        <f t="shared" si="3"/>
        <v>9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ht="15.75" customHeight="1">
      <c r="A353" s="22">
        <v>351.0</v>
      </c>
      <c r="B353" s="24">
        <v>46268.0</v>
      </c>
      <c r="C353" s="29" t="s">
        <v>4</v>
      </c>
      <c r="D353" s="30">
        <v>0.3962692245370371</v>
      </c>
      <c r="E353" s="30">
        <v>0.4331252430555556</v>
      </c>
      <c r="F353" s="30">
        <v>0.4331715393518519</v>
      </c>
      <c r="G353" s="30">
        <v>0.4348150578703704</v>
      </c>
      <c r="H353" s="35">
        <f t="shared" si="1"/>
        <v>53.07266667</v>
      </c>
      <c r="I353" s="35">
        <f t="shared" si="2"/>
        <v>2.366666667</v>
      </c>
      <c r="J353" s="39">
        <f t="shared" si="3"/>
        <v>9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ht="15.75" customHeight="1">
      <c r="A354" s="22">
        <v>352.0</v>
      </c>
      <c r="B354" s="24">
        <v>46268.0</v>
      </c>
      <c r="C354" s="29" t="s">
        <v>4</v>
      </c>
      <c r="D354" s="30">
        <v>0.4031367476851852</v>
      </c>
      <c r="E354" s="30">
        <v>0.4385882060185185</v>
      </c>
      <c r="F354" s="30">
        <v>0.4386345023148148</v>
      </c>
      <c r="G354" s="30">
        <v>0.4410882060185185</v>
      </c>
      <c r="H354" s="35">
        <f t="shared" si="1"/>
        <v>51.0501</v>
      </c>
      <c r="I354" s="35">
        <f t="shared" si="2"/>
        <v>3.533333333</v>
      </c>
      <c r="J354" s="39">
        <f t="shared" si="3"/>
        <v>9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ht="15.75" customHeight="1">
      <c r="A355" s="22">
        <v>353.0</v>
      </c>
      <c r="B355" s="24">
        <v>46268.0</v>
      </c>
      <c r="C355" s="29" t="s">
        <v>39</v>
      </c>
      <c r="D355" s="30">
        <v>0.4053243865740741</v>
      </c>
      <c r="E355" s="30">
        <v>0.4053861111111111</v>
      </c>
      <c r="F355" s="30">
        <v>0.4054324074074074</v>
      </c>
      <c r="G355" s="30">
        <v>0.4058837962962963</v>
      </c>
      <c r="H355" s="35">
        <f t="shared" si="1"/>
        <v>0.08888333333</v>
      </c>
      <c r="I355" s="35">
        <f t="shared" si="2"/>
        <v>0.65</v>
      </c>
      <c r="J355" s="39">
        <f t="shared" si="3"/>
        <v>9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ht="15.75" customHeight="1">
      <c r="A356" s="22">
        <v>354.0</v>
      </c>
      <c r="B356" s="24">
        <v>46268.0</v>
      </c>
      <c r="C356" s="29" t="s">
        <v>4</v>
      </c>
      <c r="D356" s="30">
        <v>0.4079966550925926</v>
      </c>
      <c r="E356" s="30">
        <v>0.4437310185185185</v>
      </c>
      <c r="F356" s="30">
        <v>0.4437425925925926</v>
      </c>
      <c r="G356" s="30">
        <v>0.4471569444444444</v>
      </c>
      <c r="H356" s="35">
        <f t="shared" si="1"/>
        <v>51.45748333</v>
      </c>
      <c r="I356" s="35">
        <f t="shared" si="2"/>
        <v>4.916666667</v>
      </c>
      <c r="J356" s="39">
        <f t="shared" si="3"/>
        <v>9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ht="15.75" customHeight="1">
      <c r="A357" s="22">
        <v>355.0</v>
      </c>
      <c r="B357" s="24">
        <v>46268.0</v>
      </c>
      <c r="C357" s="29" t="s">
        <v>39</v>
      </c>
      <c r="D357" s="30">
        <v>0.4246089699074074</v>
      </c>
      <c r="E357" s="30">
        <v>0.4248305555555555</v>
      </c>
      <c r="F357" s="30">
        <v>0.4248537037037037</v>
      </c>
      <c r="G357" s="30">
        <v>0.4268907407407407</v>
      </c>
      <c r="H357" s="35">
        <f t="shared" si="1"/>
        <v>0.3190833333</v>
      </c>
      <c r="I357" s="35">
        <f t="shared" si="2"/>
        <v>2.933333333</v>
      </c>
      <c r="J357" s="39">
        <f t="shared" si="3"/>
        <v>10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ht="15.75" customHeight="1">
      <c r="A358" s="22">
        <v>356.0</v>
      </c>
      <c r="B358" s="24">
        <v>46268.0</v>
      </c>
      <c r="C358" s="29" t="s">
        <v>4</v>
      </c>
      <c r="D358" s="30">
        <v>0.4248615046296296</v>
      </c>
      <c r="E358" s="30">
        <v>0.4631017476851852</v>
      </c>
      <c r="F358" s="30">
        <v>0.4631480439814815</v>
      </c>
      <c r="G358" s="30">
        <v>0.4664466550925926</v>
      </c>
      <c r="H358" s="35">
        <f t="shared" si="1"/>
        <v>55.06595</v>
      </c>
      <c r="I358" s="35">
        <f t="shared" si="2"/>
        <v>4.75</v>
      </c>
      <c r="J358" s="39">
        <f t="shared" si="3"/>
        <v>10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ht="15.75" customHeight="1">
      <c r="A359" s="22">
        <v>357.0</v>
      </c>
      <c r="B359" s="24">
        <v>46268.0</v>
      </c>
      <c r="C359" s="29" t="s">
        <v>4</v>
      </c>
      <c r="D359" s="30">
        <v>0.428800787037037</v>
      </c>
      <c r="E359" s="30">
        <v>0.4664466550925926</v>
      </c>
      <c r="F359" s="30">
        <v>0.4664698032407408</v>
      </c>
      <c r="G359" s="30">
        <v>0.4680438773148148</v>
      </c>
      <c r="H359" s="35">
        <f t="shared" si="1"/>
        <v>54.21005</v>
      </c>
      <c r="I359" s="35">
        <f t="shared" si="2"/>
        <v>2.266666667</v>
      </c>
      <c r="J359" s="39">
        <f t="shared" si="3"/>
        <v>10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ht="15.75" customHeight="1">
      <c r="A360" s="22">
        <v>358.0</v>
      </c>
      <c r="B360" s="24">
        <v>46268.0</v>
      </c>
      <c r="C360" s="29" t="s">
        <v>4</v>
      </c>
      <c r="D360" s="30">
        <v>0.4581540046296296</v>
      </c>
      <c r="E360" s="30">
        <v>0.4867710763888889</v>
      </c>
      <c r="F360" s="30">
        <v>0.486794224537037</v>
      </c>
      <c r="G360" s="30">
        <v>0.4883798726851852</v>
      </c>
      <c r="H360" s="35">
        <f t="shared" si="1"/>
        <v>41.20858333</v>
      </c>
      <c r="I360" s="35">
        <f t="shared" si="2"/>
        <v>2.283333333</v>
      </c>
      <c r="J360" s="39">
        <f t="shared" si="3"/>
        <v>10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ht="15.75" customHeight="1">
      <c r="A361" s="22">
        <v>359.0</v>
      </c>
      <c r="B361" s="24">
        <v>46268.0</v>
      </c>
      <c r="C361" s="29" t="s">
        <v>4</v>
      </c>
      <c r="D361" s="30">
        <v>0.4762975694444445</v>
      </c>
      <c r="E361" s="30">
        <v>0.5090435185185185</v>
      </c>
      <c r="F361" s="30">
        <v>0.5090898148148149</v>
      </c>
      <c r="G361" s="30">
        <v>0.5141708333333334</v>
      </c>
      <c r="H361" s="35">
        <f t="shared" si="1"/>
        <v>47.15416667</v>
      </c>
      <c r="I361" s="35">
        <f t="shared" si="2"/>
        <v>7.316666667</v>
      </c>
      <c r="J361" s="39">
        <f t="shared" si="3"/>
        <v>11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ht="15.75" customHeight="1">
      <c r="A362" s="22">
        <v>360.0</v>
      </c>
      <c r="B362" s="24">
        <v>46268.0</v>
      </c>
      <c r="C362" s="29" t="s">
        <v>4</v>
      </c>
      <c r="D362" s="30">
        <v>0.4917221990740741</v>
      </c>
      <c r="E362" s="30">
        <v>0.5235111111111111</v>
      </c>
      <c r="F362" s="30">
        <v>0.5235574074074074</v>
      </c>
      <c r="G362" s="30">
        <v>0.5245990740740741</v>
      </c>
      <c r="H362" s="35">
        <f t="shared" si="1"/>
        <v>45.77603333</v>
      </c>
      <c r="I362" s="35">
        <f t="shared" si="2"/>
        <v>1.5</v>
      </c>
      <c r="J362" s="39">
        <f t="shared" si="3"/>
        <v>11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ht="15.75" customHeight="1">
      <c r="A363" s="22">
        <v>361.0</v>
      </c>
      <c r="B363" s="24">
        <v>46268.0</v>
      </c>
      <c r="C363" s="29" t="s">
        <v>4</v>
      </c>
      <c r="D363" s="30">
        <v>0.4988123495370371</v>
      </c>
      <c r="E363" s="30">
        <v>0.5314350810185186</v>
      </c>
      <c r="F363" s="30">
        <v>0.5314466550925926</v>
      </c>
      <c r="G363" s="30">
        <v>0.5337267476851852</v>
      </c>
      <c r="H363" s="35">
        <f t="shared" si="1"/>
        <v>46.97673333</v>
      </c>
      <c r="I363" s="35">
        <f t="shared" si="2"/>
        <v>3.283333333</v>
      </c>
      <c r="J363" s="39">
        <f t="shared" si="3"/>
        <v>11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ht="15.75" customHeight="1">
      <c r="A364" s="22">
        <v>362.0</v>
      </c>
      <c r="B364" s="24">
        <v>46268.0</v>
      </c>
      <c r="C364" s="29" t="s">
        <v>4</v>
      </c>
      <c r="D364" s="30">
        <v>0.4988712152777778</v>
      </c>
      <c r="E364" s="30">
        <v>0.5337267476851852</v>
      </c>
      <c r="F364" s="30">
        <v>0.5337498958333333</v>
      </c>
      <c r="G364" s="30">
        <v>0.537117951388889</v>
      </c>
      <c r="H364" s="35">
        <f t="shared" si="1"/>
        <v>50.19196667</v>
      </c>
      <c r="I364" s="35">
        <f t="shared" si="2"/>
        <v>4.85</v>
      </c>
      <c r="J364" s="39">
        <f t="shared" si="3"/>
        <v>11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ht="15.75" customHeight="1">
      <c r="A365" s="22">
        <v>363.0</v>
      </c>
      <c r="B365" s="24">
        <v>46268.0</v>
      </c>
      <c r="C365" s="29" t="s">
        <v>4</v>
      </c>
      <c r="D365" s="30">
        <v>0.5081312615740741</v>
      </c>
      <c r="E365" s="30">
        <v>0.5454748148148147</v>
      </c>
      <c r="F365" s="30">
        <v>0.5454979629629629</v>
      </c>
      <c r="G365" s="30">
        <v>0.5478127777777777</v>
      </c>
      <c r="H365" s="35">
        <f t="shared" si="1"/>
        <v>53.77471667</v>
      </c>
      <c r="I365" s="35">
        <f t="shared" si="2"/>
        <v>3.333333333</v>
      </c>
      <c r="J365" s="39">
        <f t="shared" si="3"/>
        <v>12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ht="15.75" customHeight="1">
      <c r="A366" s="22">
        <v>364.0</v>
      </c>
      <c r="B366" s="24">
        <v>46268.0</v>
      </c>
      <c r="C366" s="29" t="s">
        <v>4</v>
      </c>
      <c r="D366" s="30">
        <v>0.5169246064814815</v>
      </c>
      <c r="E366" s="30">
        <v>0.5479397106481482</v>
      </c>
      <c r="F366" s="30">
        <v>0.5479628587962964</v>
      </c>
      <c r="G366" s="30">
        <v>0.5486688773148148</v>
      </c>
      <c r="H366" s="35">
        <f t="shared" si="1"/>
        <v>44.66175</v>
      </c>
      <c r="I366" s="35">
        <f t="shared" si="2"/>
        <v>1.016666667</v>
      </c>
      <c r="J366" s="39">
        <f t="shared" si="3"/>
        <v>12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ht="15.75" customHeight="1">
      <c r="A367" s="22">
        <v>365.0</v>
      </c>
      <c r="B367" s="24">
        <v>46268.0</v>
      </c>
      <c r="C367" s="29" t="s">
        <v>4</v>
      </c>
      <c r="D367" s="30">
        <v>0.5205555787037037</v>
      </c>
      <c r="E367" s="30">
        <v>0.5534373958333334</v>
      </c>
      <c r="F367" s="30">
        <v>0.5534489699074074</v>
      </c>
      <c r="G367" s="30">
        <v>0.5550577662037037</v>
      </c>
      <c r="H367" s="35">
        <f t="shared" si="1"/>
        <v>47.34981667</v>
      </c>
      <c r="I367" s="35">
        <f t="shared" si="2"/>
        <v>2.316666667</v>
      </c>
      <c r="J367" s="39">
        <f t="shared" si="3"/>
        <v>12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ht="15.75" customHeight="1">
      <c r="A368" s="22">
        <v>366.0</v>
      </c>
      <c r="B368" s="24">
        <v>46268.0</v>
      </c>
      <c r="C368" s="29" t="s">
        <v>4</v>
      </c>
      <c r="D368" s="30">
        <v>0.551560474537037</v>
      </c>
      <c r="E368" s="30">
        <v>0.5820527777777778</v>
      </c>
      <c r="F368" s="30">
        <v>0.5820759259259259</v>
      </c>
      <c r="G368" s="30">
        <v>0.5828745370370371</v>
      </c>
      <c r="H368" s="35">
        <f t="shared" si="1"/>
        <v>43.90891667</v>
      </c>
      <c r="I368" s="35">
        <f t="shared" si="2"/>
        <v>1.15</v>
      </c>
      <c r="J368" s="39">
        <f t="shared" si="3"/>
        <v>13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ht="15.75" customHeight="1">
      <c r="A369" s="22">
        <v>367.0</v>
      </c>
      <c r="B369" s="24">
        <v>46268.0</v>
      </c>
      <c r="C369" s="29" t="s">
        <v>4</v>
      </c>
      <c r="D369" s="30">
        <v>0.5581855324074074</v>
      </c>
      <c r="E369" s="30">
        <v>0.5846337962962963</v>
      </c>
      <c r="F369" s="30">
        <v>0.5846685185185185</v>
      </c>
      <c r="G369" s="30">
        <v>0.5881291666666667</v>
      </c>
      <c r="H369" s="35">
        <f t="shared" si="1"/>
        <v>38.0855</v>
      </c>
      <c r="I369" s="35">
        <f t="shared" si="2"/>
        <v>4.983333333</v>
      </c>
      <c r="J369" s="39">
        <f t="shared" si="3"/>
        <v>13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ht="15.75" customHeight="1">
      <c r="A370" s="22">
        <v>368.0</v>
      </c>
      <c r="B370" s="24">
        <v>46268.0</v>
      </c>
      <c r="C370" s="29" t="s">
        <v>4</v>
      </c>
      <c r="D370" s="30">
        <v>0.5737164814814815</v>
      </c>
      <c r="E370" s="30">
        <v>0.5955091550925926</v>
      </c>
      <c r="F370" s="30">
        <v>0.5955323032407408</v>
      </c>
      <c r="G370" s="30">
        <v>0.5966665625</v>
      </c>
      <c r="H370" s="35">
        <f t="shared" si="1"/>
        <v>31.38145</v>
      </c>
      <c r="I370" s="35">
        <f t="shared" si="2"/>
        <v>1.633333333</v>
      </c>
      <c r="J370" s="39">
        <f t="shared" si="3"/>
        <v>13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ht="15.75" customHeight="1">
      <c r="A371" s="22">
        <v>369.0</v>
      </c>
      <c r="B371" s="24">
        <v>46268.0</v>
      </c>
      <c r="C371" s="29" t="s">
        <v>4</v>
      </c>
      <c r="D371" s="30">
        <v>0.5938189699074075</v>
      </c>
      <c r="E371" s="30">
        <v>0.6061847222222222</v>
      </c>
      <c r="F371" s="30">
        <v>0.6061962962962963</v>
      </c>
      <c r="G371" s="30">
        <v>0.606775</v>
      </c>
      <c r="H371" s="35">
        <f t="shared" si="1"/>
        <v>17.80668333</v>
      </c>
      <c r="I371" s="35">
        <f t="shared" si="2"/>
        <v>0.8333333333</v>
      </c>
      <c r="J371" s="39">
        <f t="shared" si="3"/>
        <v>14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ht="15.75" customHeight="1">
      <c r="A372" s="22">
        <v>370.0</v>
      </c>
      <c r="B372" s="24">
        <v>46268.0</v>
      </c>
      <c r="C372" s="29" t="s">
        <v>4</v>
      </c>
      <c r="D372" s="30">
        <v>0.6019204976851852</v>
      </c>
      <c r="E372" s="30">
        <v>0.6126388888888888</v>
      </c>
      <c r="F372" s="30">
        <v>0.612662037037037</v>
      </c>
      <c r="G372" s="30">
        <v>0.6138194444444445</v>
      </c>
      <c r="H372" s="35">
        <f t="shared" si="1"/>
        <v>15.43448333</v>
      </c>
      <c r="I372" s="35">
        <f t="shared" si="2"/>
        <v>1.666666667</v>
      </c>
      <c r="J372" s="39">
        <f t="shared" si="3"/>
        <v>14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ht="15.75" customHeight="1">
      <c r="A373" s="22">
        <v>371.0</v>
      </c>
      <c r="B373" s="24">
        <v>46268.0</v>
      </c>
      <c r="C373" s="29" t="s">
        <v>4</v>
      </c>
      <c r="D373" s="30">
        <v>0.6026123958333334</v>
      </c>
      <c r="E373" s="30">
        <v>0.614884537037037</v>
      </c>
      <c r="F373" s="30">
        <v>0.6149076851851851</v>
      </c>
      <c r="G373" s="30">
        <v>0.6205905555555555</v>
      </c>
      <c r="H373" s="35">
        <f t="shared" si="1"/>
        <v>17.67188333</v>
      </c>
      <c r="I373" s="35">
        <f t="shared" si="2"/>
        <v>8.183333333</v>
      </c>
      <c r="J373" s="39">
        <f t="shared" si="3"/>
        <v>14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ht="15.75" customHeight="1">
      <c r="A374" s="22">
        <v>372.0</v>
      </c>
      <c r="B374" s="24">
        <v>46268.0</v>
      </c>
      <c r="C374" s="29" t="s">
        <v>4</v>
      </c>
      <c r="D374" s="30">
        <v>0.6129882175925926</v>
      </c>
      <c r="E374" s="30">
        <v>0.6239046296296297</v>
      </c>
      <c r="F374" s="30">
        <v>0.6239162037037037</v>
      </c>
      <c r="G374" s="30">
        <v>0.6265666666666667</v>
      </c>
      <c r="H374" s="35">
        <f t="shared" si="1"/>
        <v>15.71963333</v>
      </c>
      <c r="I374" s="35">
        <f t="shared" si="2"/>
        <v>3.816666667</v>
      </c>
      <c r="J374" s="39">
        <f t="shared" si="3"/>
        <v>14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ht="15.75" customHeight="1">
      <c r="A375" s="22">
        <v>373.0</v>
      </c>
      <c r="B375" s="24">
        <v>46268.0</v>
      </c>
      <c r="C375" s="29" t="s">
        <v>4</v>
      </c>
      <c r="D375" s="30">
        <v>0.6351457986111111</v>
      </c>
      <c r="E375" s="30">
        <v>0.6397453703703704</v>
      </c>
      <c r="F375" s="30">
        <v>0.6397916666666666</v>
      </c>
      <c r="G375" s="30">
        <v>0.644537037037037</v>
      </c>
      <c r="H375" s="35">
        <f t="shared" si="1"/>
        <v>6.623383333</v>
      </c>
      <c r="I375" s="35">
        <f t="shared" si="2"/>
        <v>6.833333333</v>
      </c>
      <c r="J375" s="39">
        <f t="shared" si="3"/>
        <v>15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ht="15.75" customHeight="1">
      <c r="A376" s="22">
        <v>374.0</v>
      </c>
      <c r="B376" s="24">
        <v>46268.0</v>
      </c>
      <c r="C376" s="29" t="s">
        <v>4</v>
      </c>
      <c r="D376" s="30">
        <v>0.6520817476851851</v>
      </c>
      <c r="E376" s="30">
        <v>0.6547222222222222</v>
      </c>
      <c r="F376" s="30">
        <v>0.6547337962962962</v>
      </c>
      <c r="G376" s="30">
        <v>0.6584722222222222</v>
      </c>
      <c r="H376" s="35">
        <f t="shared" si="1"/>
        <v>3.802283333</v>
      </c>
      <c r="I376" s="35">
        <f t="shared" si="2"/>
        <v>5.383333333</v>
      </c>
      <c r="J376" s="39">
        <f t="shared" si="3"/>
        <v>15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ht="15.75" customHeight="1">
      <c r="A377" s="22">
        <v>375.0</v>
      </c>
      <c r="B377" s="24">
        <v>46268.0</v>
      </c>
      <c r="C377" s="29" t="s">
        <v>4</v>
      </c>
      <c r="D377" s="30">
        <v>0.658962638888889</v>
      </c>
      <c r="E377" s="30">
        <v>0.6594444444444445</v>
      </c>
      <c r="F377" s="30">
        <v>0.6594560185185185</v>
      </c>
      <c r="G377" s="30">
        <v>0.6610532407407408</v>
      </c>
      <c r="H377" s="35">
        <f t="shared" si="1"/>
        <v>0.6938</v>
      </c>
      <c r="I377" s="35">
        <f t="shared" si="2"/>
        <v>2.3</v>
      </c>
      <c r="J377" s="39">
        <f t="shared" si="3"/>
        <v>15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ht="15.75" customHeight="1">
      <c r="A378" s="22">
        <v>376.0</v>
      </c>
      <c r="B378" s="24">
        <v>46268.0</v>
      </c>
      <c r="C378" s="29" t="s">
        <v>4</v>
      </c>
      <c r="D378" s="30">
        <v>0.6635688657407407</v>
      </c>
      <c r="E378" s="30">
        <v>0.6660325</v>
      </c>
      <c r="F378" s="30">
        <v>0.6660787962962963</v>
      </c>
      <c r="G378" s="30">
        <v>0.6686482407407407</v>
      </c>
      <c r="H378" s="35">
        <f t="shared" si="1"/>
        <v>3.547633333</v>
      </c>
      <c r="I378" s="35">
        <f t="shared" si="2"/>
        <v>3.7</v>
      </c>
      <c r="J378" s="39">
        <f t="shared" si="3"/>
        <v>15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ht="15.75" customHeight="1">
      <c r="A379" s="22">
        <v>377.0</v>
      </c>
      <c r="B379" s="24">
        <v>46268.0</v>
      </c>
      <c r="C379" s="29" t="s">
        <v>4</v>
      </c>
      <c r="D379" s="30">
        <v>0.6667062962962963</v>
      </c>
      <c r="E379" s="30">
        <v>0.6676546296296296</v>
      </c>
      <c r="F379" s="30">
        <v>0.6676662037037037</v>
      </c>
      <c r="G379" s="30">
        <v>0.6691939814814815</v>
      </c>
      <c r="H379" s="35">
        <f t="shared" si="1"/>
        <v>1.3656</v>
      </c>
      <c r="I379" s="35">
        <f t="shared" si="2"/>
        <v>2.2</v>
      </c>
      <c r="J379" s="39">
        <f t="shared" si="3"/>
        <v>16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ht="15.75" customHeight="1">
      <c r="A380" s="22">
        <v>378.0</v>
      </c>
      <c r="B380" s="24">
        <v>46268.0</v>
      </c>
      <c r="C380" s="29" t="s">
        <v>4</v>
      </c>
      <c r="D380" s="30">
        <v>0.6890849768518519</v>
      </c>
      <c r="E380" s="30">
        <v>0.6890849768518519</v>
      </c>
      <c r="F380" s="30">
        <v>0.6891081250000001</v>
      </c>
      <c r="G380" s="30">
        <v>0.6922099768518519</v>
      </c>
      <c r="H380" s="35">
        <f t="shared" si="1"/>
        <v>0</v>
      </c>
      <c r="I380" s="35">
        <f t="shared" si="2"/>
        <v>4.466666667</v>
      </c>
      <c r="J380" s="39">
        <f t="shared" si="3"/>
        <v>16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ht="15.75" customHeight="1">
      <c r="A381" s="22">
        <v>379.0</v>
      </c>
      <c r="B381" s="24">
        <v>46269.0</v>
      </c>
      <c r="C381" s="29" t="s">
        <v>4</v>
      </c>
      <c r="D381" s="30">
        <v>0.2964455555555556</v>
      </c>
      <c r="E381" s="30">
        <v>0.2980671412037037</v>
      </c>
      <c r="F381" s="30">
        <v>0.2980902893518518</v>
      </c>
      <c r="G381" s="30">
        <v>0.2994791782407407</v>
      </c>
      <c r="H381" s="35">
        <f t="shared" si="1"/>
        <v>2.335083333</v>
      </c>
      <c r="I381" s="35">
        <f t="shared" si="2"/>
        <v>2</v>
      </c>
      <c r="J381" s="39">
        <f t="shared" si="3"/>
        <v>7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ht="15.75" customHeight="1">
      <c r="A382" s="22">
        <v>380.0</v>
      </c>
      <c r="B382" s="24">
        <v>46269.0</v>
      </c>
      <c r="C382" s="29" t="s">
        <v>4</v>
      </c>
      <c r="D382" s="30">
        <v>0.3067149189814815</v>
      </c>
      <c r="E382" s="30">
        <v>0.308450150462963</v>
      </c>
      <c r="F382" s="30">
        <v>0.3084732986111111</v>
      </c>
      <c r="G382" s="30">
        <v>0.3122348726851852</v>
      </c>
      <c r="H382" s="35">
        <f t="shared" si="1"/>
        <v>2.498733333</v>
      </c>
      <c r="I382" s="35">
        <f t="shared" si="2"/>
        <v>5.416666667</v>
      </c>
      <c r="J382" s="39">
        <f t="shared" si="3"/>
        <v>7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ht="15.75" customHeight="1">
      <c r="A383" s="22">
        <v>381.0</v>
      </c>
      <c r="B383" s="24">
        <v>46269.0</v>
      </c>
      <c r="C383" s="29" t="s">
        <v>4</v>
      </c>
      <c r="D383" s="30">
        <v>0.3120873726851852</v>
      </c>
      <c r="E383" s="30">
        <v>0.3122348726851852</v>
      </c>
      <c r="F383" s="30">
        <v>0.3122580208333333</v>
      </c>
      <c r="G383" s="30">
        <v>0.3144918171296296</v>
      </c>
      <c r="H383" s="35">
        <f t="shared" si="1"/>
        <v>0.2124</v>
      </c>
      <c r="I383" s="35">
        <f t="shared" si="2"/>
        <v>3.216666667</v>
      </c>
      <c r="J383" s="39">
        <f t="shared" si="3"/>
        <v>7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5.75" customHeight="1">
      <c r="A384" s="22">
        <v>382.0</v>
      </c>
      <c r="B384" s="24">
        <v>46269.0</v>
      </c>
      <c r="C384" s="29" t="s">
        <v>4</v>
      </c>
      <c r="D384" s="30">
        <v>0.3288745601851852</v>
      </c>
      <c r="E384" s="30">
        <v>0.3333082407407407</v>
      </c>
      <c r="F384" s="30">
        <v>0.3333198148148148</v>
      </c>
      <c r="G384" s="30">
        <v>0.3340026851851852</v>
      </c>
      <c r="H384" s="35">
        <f t="shared" si="1"/>
        <v>6.3845</v>
      </c>
      <c r="I384" s="35">
        <f t="shared" si="2"/>
        <v>0.9833333333</v>
      </c>
      <c r="J384" s="39">
        <f t="shared" si="3"/>
        <v>7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ht="15.75" customHeight="1">
      <c r="A385" s="22">
        <v>383.0</v>
      </c>
      <c r="B385" s="24">
        <v>46269.0</v>
      </c>
      <c r="C385" s="29" t="s">
        <v>4</v>
      </c>
      <c r="D385" s="30">
        <v>0.3324707523148148</v>
      </c>
      <c r="E385" s="30">
        <v>0.3368312731481481</v>
      </c>
      <c r="F385" s="30">
        <v>0.3368659953703704</v>
      </c>
      <c r="G385" s="30">
        <v>0.3382317361111111</v>
      </c>
      <c r="H385" s="35">
        <f t="shared" si="1"/>
        <v>6.27915</v>
      </c>
      <c r="I385" s="35">
        <f t="shared" si="2"/>
        <v>1.966666667</v>
      </c>
      <c r="J385" s="39">
        <f t="shared" si="3"/>
        <v>7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ht="15.75" customHeight="1">
      <c r="A386" s="22">
        <v>384.0</v>
      </c>
      <c r="B386" s="24">
        <v>46269.0</v>
      </c>
      <c r="C386" s="29" t="s">
        <v>4</v>
      </c>
      <c r="D386" s="30">
        <v>0.3422810763888889</v>
      </c>
      <c r="E386" s="30">
        <v>0.3463668171296296</v>
      </c>
      <c r="F386" s="30">
        <v>0.3464015393518519</v>
      </c>
      <c r="G386" s="30">
        <v>0.3482418171296296</v>
      </c>
      <c r="H386" s="35">
        <f t="shared" si="1"/>
        <v>5.883466667</v>
      </c>
      <c r="I386" s="35">
        <f t="shared" si="2"/>
        <v>2.65</v>
      </c>
      <c r="J386" s="39">
        <f t="shared" si="3"/>
        <v>8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ht="15.75" customHeight="1">
      <c r="A387" s="22">
        <v>385.0</v>
      </c>
      <c r="B387" s="24">
        <v>46269.0</v>
      </c>
      <c r="C387" s="29" t="s">
        <v>4</v>
      </c>
      <c r="D387" s="30">
        <v>0.3495445949074074</v>
      </c>
      <c r="E387" s="30">
        <v>0.3527759606481481</v>
      </c>
      <c r="F387" s="30">
        <v>0.3528222569444445</v>
      </c>
      <c r="G387" s="30">
        <v>0.3541301273148148</v>
      </c>
      <c r="H387" s="35">
        <f t="shared" si="1"/>
        <v>4.653166667</v>
      </c>
      <c r="I387" s="35">
        <f t="shared" si="2"/>
        <v>1.883333333</v>
      </c>
      <c r="J387" s="39">
        <f t="shared" si="3"/>
        <v>8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ht="15.75" customHeight="1">
      <c r="A388" s="22">
        <v>386.0</v>
      </c>
      <c r="B388" s="24">
        <v>46269.0</v>
      </c>
      <c r="C388" s="29" t="s">
        <v>4</v>
      </c>
      <c r="D388" s="30">
        <v>0.3518430208333334</v>
      </c>
      <c r="E388" s="30">
        <v>0.3571784953703704</v>
      </c>
      <c r="F388" s="30">
        <v>0.3571900694444445</v>
      </c>
      <c r="G388" s="30">
        <v>0.3612062731481482</v>
      </c>
      <c r="H388" s="35">
        <f t="shared" si="1"/>
        <v>7.683083333</v>
      </c>
      <c r="I388" s="35">
        <f t="shared" si="2"/>
        <v>5.783333333</v>
      </c>
      <c r="J388" s="39">
        <f t="shared" si="3"/>
        <v>8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ht="15.75" customHeight="1">
      <c r="A389" s="22">
        <v>387.0</v>
      </c>
      <c r="B389" s="24">
        <v>46269.0</v>
      </c>
      <c r="C389" s="29" t="s">
        <v>4</v>
      </c>
      <c r="D389" s="30">
        <v>0.3547123032407408</v>
      </c>
      <c r="E389" s="30">
        <v>0.3615837037037037</v>
      </c>
      <c r="F389" s="30">
        <v>0.36163</v>
      </c>
      <c r="G389" s="30">
        <v>0.3630188888888889</v>
      </c>
      <c r="H389" s="35">
        <f t="shared" si="1"/>
        <v>9.894816667</v>
      </c>
      <c r="I389" s="35">
        <f t="shared" si="2"/>
        <v>2</v>
      </c>
      <c r="J389" s="39">
        <f t="shared" si="3"/>
        <v>8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ht="15.75" customHeight="1">
      <c r="A390" s="22">
        <v>388.0</v>
      </c>
      <c r="B390" s="24">
        <v>46269.0</v>
      </c>
      <c r="C390" s="29" t="s">
        <v>4</v>
      </c>
      <c r="D390" s="30">
        <v>0.3547352777777778</v>
      </c>
      <c r="E390" s="30">
        <v>0.361965775462963</v>
      </c>
      <c r="F390" s="30">
        <v>0.361977349537037</v>
      </c>
      <c r="G390" s="30">
        <v>0.3623592939814815</v>
      </c>
      <c r="H390" s="35">
        <f t="shared" si="1"/>
        <v>10.41191667</v>
      </c>
      <c r="I390" s="35">
        <f t="shared" si="2"/>
        <v>0.55</v>
      </c>
      <c r="J390" s="39">
        <f t="shared" si="3"/>
        <v>8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ht="15.75" customHeight="1">
      <c r="A391" s="22">
        <v>389.0</v>
      </c>
      <c r="B391" s="24">
        <v>46269.0</v>
      </c>
      <c r="C391" s="29" t="s">
        <v>39</v>
      </c>
      <c r="D391" s="30">
        <v>0.3605959143518518</v>
      </c>
      <c r="E391" s="30">
        <v>0.3612062731481482</v>
      </c>
      <c r="F391" s="30">
        <v>0.3612178472222222</v>
      </c>
      <c r="G391" s="30">
        <v>0.3644238657407408</v>
      </c>
      <c r="H391" s="35">
        <f t="shared" si="1"/>
        <v>0.8789166667</v>
      </c>
      <c r="I391" s="35">
        <f t="shared" si="2"/>
        <v>4.616666667</v>
      </c>
      <c r="J391" s="39">
        <f t="shared" si="3"/>
        <v>8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ht="15.75" customHeight="1">
      <c r="A392" s="22">
        <v>390.0</v>
      </c>
      <c r="B392" s="24">
        <v>46269.0</v>
      </c>
      <c r="C392" s="29" t="s">
        <v>4</v>
      </c>
      <c r="D392" s="30">
        <v>0.3617665162037037</v>
      </c>
      <c r="E392" s="30">
        <v>0.3712294212962963</v>
      </c>
      <c r="F392" s="30">
        <v>0.3712525694444445</v>
      </c>
      <c r="G392" s="30">
        <v>0.3751993287037037</v>
      </c>
      <c r="H392" s="35">
        <f t="shared" si="1"/>
        <v>13.62658333</v>
      </c>
      <c r="I392" s="35">
        <f t="shared" si="2"/>
        <v>5.683333333</v>
      </c>
      <c r="J392" s="39">
        <f t="shared" si="3"/>
        <v>8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ht="15.75" customHeight="1">
      <c r="A393" s="22">
        <v>391.0</v>
      </c>
      <c r="B393" s="24">
        <v>46269.0</v>
      </c>
      <c r="C393" s="29" t="s">
        <v>4</v>
      </c>
      <c r="D393" s="30">
        <v>0.3790490162037037</v>
      </c>
      <c r="E393" s="30">
        <v>0.3990404282407408</v>
      </c>
      <c r="F393" s="30">
        <v>0.399086724537037</v>
      </c>
      <c r="G393" s="30">
        <v>0.4020033912037037</v>
      </c>
      <c r="H393" s="35">
        <f t="shared" si="1"/>
        <v>28.78763333</v>
      </c>
      <c r="I393" s="35">
        <f t="shared" si="2"/>
        <v>4.2</v>
      </c>
      <c r="J393" s="39">
        <f t="shared" si="3"/>
        <v>9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ht="15.75" customHeight="1">
      <c r="A394" s="22">
        <v>392.0</v>
      </c>
      <c r="B394" s="24">
        <v>46269.0</v>
      </c>
      <c r="C394" s="29" t="s">
        <v>4</v>
      </c>
      <c r="D394" s="30">
        <v>0.3833009375</v>
      </c>
      <c r="E394" s="30">
        <v>0.4074316319444444</v>
      </c>
      <c r="F394" s="30">
        <v>0.4074779282407407</v>
      </c>
      <c r="G394" s="30">
        <v>0.411274224537037</v>
      </c>
      <c r="H394" s="35">
        <f t="shared" si="1"/>
        <v>34.7482</v>
      </c>
      <c r="I394" s="35">
        <f t="shared" si="2"/>
        <v>5.466666667</v>
      </c>
      <c r="J394" s="39">
        <f t="shared" si="3"/>
        <v>9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ht="15.75" customHeight="1">
      <c r="A395" s="22">
        <v>393.0</v>
      </c>
      <c r="B395" s="24">
        <v>46269.0</v>
      </c>
      <c r="C395" s="29" t="s">
        <v>4</v>
      </c>
      <c r="D395" s="30">
        <v>0.3989228124999999</v>
      </c>
      <c r="E395" s="30">
        <v>0.4244077777777778</v>
      </c>
      <c r="F395" s="30">
        <v>0.4244540740740741</v>
      </c>
      <c r="G395" s="30">
        <v>0.4259702777777778</v>
      </c>
      <c r="H395" s="35">
        <f t="shared" si="1"/>
        <v>36.69835</v>
      </c>
      <c r="I395" s="35">
        <f t="shared" si="2"/>
        <v>2.183333333</v>
      </c>
      <c r="J395" s="39">
        <f t="shared" si="3"/>
        <v>9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ht="15.75" customHeight="1">
      <c r="A396" s="22">
        <v>394.0</v>
      </c>
      <c r="B396" s="24">
        <v>46269.0</v>
      </c>
      <c r="C396" s="29" t="s">
        <v>4</v>
      </c>
      <c r="D396" s="30">
        <v>0.4076624074074074</v>
      </c>
      <c r="E396" s="30">
        <v>0.4304725925925926</v>
      </c>
      <c r="F396" s="30">
        <v>0.4304841666666667</v>
      </c>
      <c r="G396" s="30">
        <v>0.4334702777777778</v>
      </c>
      <c r="H396" s="35">
        <f t="shared" si="1"/>
        <v>32.84666667</v>
      </c>
      <c r="I396" s="35">
        <f t="shared" si="2"/>
        <v>4.3</v>
      </c>
      <c r="J396" s="39">
        <f t="shared" si="3"/>
        <v>9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ht="15.75" customHeight="1">
      <c r="A397" s="22">
        <v>395.0</v>
      </c>
      <c r="B397" s="24">
        <v>46269.0</v>
      </c>
      <c r="C397" s="29" t="s">
        <v>4</v>
      </c>
      <c r="D397" s="30">
        <v>0.4118350231481482</v>
      </c>
      <c r="E397" s="30">
        <v>0.4356694791666667</v>
      </c>
      <c r="F397" s="30">
        <v>0.4356810532407407</v>
      </c>
      <c r="G397" s="30">
        <v>0.4377643865740741</v>
      </c>
      <c r="H397" s="35">
        <f t="shared" si="1"/>
        <v>34.32161667</v>
      </c>
      <c r="I397" s="35">
        <f t="shared" si="2"/>
        <v>3</v>
      </c>
      <c r="J397" s="39">
        <f t="shared" si="3"/>
        <v>9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ht="15.75" customHeight="1">
      <c r="A398" s="22">
        <v>396.0</v>
      </c>
      <c r="B398" s="24">
        <v>46269.0</v>
      </c>
      <c r="C398" s="29" t="s">
        <v>4</v>
      </c>
      <c r="D398" s="30">
        <v>0.4257697106481481</v>
      </c>
      <c r="E398" s="30">
        <v>0.4497363657407408</v>
      </c>
      <c r="F398" s="30">
        <v>0.449782662037037</v>
      </c>
      <c r="G398" s="30">
        <v>0.4517849768518519</v>
      </c>
      <c r="H398" s="35">
        <f t="shared" si="1"/>
        <v>34.51198333</v>
      </c>
      <c r="I398" s="35">
        <f t="shared" si="2"/>
        <v>2.883333333</v>
      </c>
      <c r="J398" s="39">
        <f t="shared" si="3"/>
        <v>10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ht="15.75" customHeight="1">
      <c r="A399" s="22">
        <v>397.0</v>
      </c>
      <c r="B399" s="24">
        <v>46269.0</v>
      </c>
      <c r="C399" s="29" t="s">
        <v>4</v>
      </c>
      <c r="D399" s="30">
        <v>0.4374290856481481</v>
      </c>
      <c r="E399" s="30">
        <v>0.4613522222222223</v>
      </c>
      <c r="F399" s="30">
        <v>0.4613869444444444</v>
      </c>
      <c r="G399" s="30">
        <v>0.4619425</v>
      </c>
      <c r="H399" s="35">
        <f t="shared" si="1"/>
        <v>34.44931667</v>
      </c>
      <c r="I399" s="35">
        <f t="shared" si="2"/>
        <v>0.8</v>
      </c>
      <c r="J399" s="39">
        <f t="shared" si="3"/>
        <v>10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ht="15.75" customHeight="1">
      <c r="A400" s="22">
        <v>398.0</v>
      </c>
      <c r="B400" s="24">
        <v>46269.0</v>
      </c>
      <c r="C400" s="29" t="s">
        <v>4</v>
      </c>
      <c r="D400" s="30">
        <v>0.4376907175925926</v>
      </c>
      <c r="E400" s="30">
        <v>0.4619425</v>
      </c>
      <c r="F400" s="30">
        <v>0.4619656481481482</v>
      </c>
      <c r="G400" s="30">
        <v>0.4633313888888889</v>
      </c>
      <c r="H400" s="35">
        <f t="shared" si="1"/>
        <v>34.92256667</v>
      </c>
      <c r="I400" s="35">
        <f t="shared" si="2"/>
        <v>1.966666667</v>
      </c>
      <c r="J400" s="39">
        <f t="shared" si="3"/>
        <v>10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ht="15.75" customHeight="1">
      <c r="A401" s="22">
        <v>399.0</v>
      </c>
      <c r="B401" s="24">
        <v>46269.0</v>
      </c>
      <c r="C401" s="29" t="s">
        <v>4</v>
      </c>
      <c r="D401" s="30">
        <v>0.4466095138888889</v>
      </c>
      <c r="E401" s="30">
        <v>0.4689449421296296</v>
      </c>
      <c r="F401" s="30">
        <v>0.4689912384259259</v>
      </c>
      <c r="G401" s="30">
        <v>0.4707736458333334</v>
      </c>
      <c r="H401" s="35">
        <f t="shared" si="1"/>
        <v>32.16301667</v>
      </c>
      <c r="I401" s="35">
        <f t="shared" si="2"/>
        <v>2.566666667</v>
      </c>
      <c r="J401" s="39">
        <f t="shared" si="3"/>
        <v>10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ht="15.75" customHeight="1">
      <c r="A402" s="22">
        <v>400.0</v>
      </c>
      <c r="B402" s="24">
        <v>46269.0</v>
      </c>
      <c r="C402" s="29" t="s">
        <v>4</v>
      </c>
      <c r="D402" s="30">
        <v>0.4492935069444445</v>
      </c>
      <c r="E402" s="30">
        <v>0.4701978356481482</v>
      </c>
      <c r="F402" s="30">
        <v>0.4702441319444445</v>
      </c>
      <c r="G402" s="30">
        <v>0.4716908912037037</v>
      </c>
      <c r="H402" s="35">
        <f t="shared" si="1"/>
        <v>30.10223333</v>
      </c>
      <c r="I402" s="35">
        <f t="shared" si="2"/>
        <v>2.083333333</v>
      </c>
      <c r="J402" s="39">
        <f t="shared" si="3"/>
        <v>10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ht="15.75" customHeight="1">
      <c r="A403" s="22">
        <v>401.0</v>
      </c>
      <c r="B403" s="24">
        <v>46269.0</v>
      </c>
      <c r="C403" s="29" t="s">
        <v>4</v>
      </c>
      <c r="D403" s="30">
        <v>0.4628883101851852</v>
      </c>
      <c r="E403" s="30">
        <v>0.4796509606481482</v>
      </c>
      <c r="F403" s="30">
        <v>0.4796741087962963</v>
      </c>
      <c r="G403" s="30">
        <v>0.4810745717592593</v>
      </c>
      <c r="H403" s="35">
        <f t="shared" si="1"/>
        <v>24.13821667</v>
      </c>
      <c r="I403" s="35">
        <f t="shared" si="2"/>
        <v>2.016666667</v>
      </c>
      <c r="J403" s="39">
        <f t="shared" si="3"/>
        <v>11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ht="15.75" customHeight="1">
      <c r="A404" s="22">
        <v>402.0</v>
      </c>
      <c r="B404" s="24">
        <v>46269.0</v>
      </c>
      <c r="C404" s="29" t="s">
        <v>4</v>
      </c>
      <c r="D404" s="30">
        <v>0.4854148726851852</v>
      </c>
      <c r="E404" s="30">
        <v>0.4928135763888889</v>
      </c>
      <c r="F404" s="30">
        <v>0.4928598726851852</v>
      </c>
      <c r="G404" s="30">
        <v>0.4940867245370371</v>
      </c>
      <c r="H404" s="35">
        <f t="shared" si="1"/>
        <v>10.65413333</v>
      </c>
      <c r="I404" s="35">
        <f t="shared" si="2"/>
        <v>1.766666667</v>
      </c>
      <c r="J404" s="39">
        <f t="shared" si="3"/>
        <v>11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ht="15.75" customHeight="1">
      <c r="A405" s="22">
        <v>403.0</v>
      </c>
      <c r="B405" s="24">
        <v>46269.0</v>
      </c>
      <c r="C405" s="29" t="s">
        <v>4</v>
      </c>
      <c r="D405" s="30">
        <v>0.4992003935185185</v>
      </c>
      <c r="E405" s="30">
        <v>0.5010051273148148</v>
      </c>
      <c r="F405" s="30">
        <v>0.5010514236111111</v>
      </c>
      <c r="G405" s="30">
        <v>0.5025329050925926</v>
      </c>
      <c r="H405" s="35">
        <f t="shared" si="1"/>
        <v>2.598816667</v>
      </c>
      <c r="I405" s="35">
        <f t="shared" si="2"/>
        <v>2.133333333</v>
      </c>
      <c r="J405" s="39">
        <f t="shared" si="3"/>
        <v>11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ht="15.75" customHeight="1">
      <c r="A406" s="22">
        <v>404.0</v>
      </c>
      <c r="B406" s="24">
        <v>46269.0</v>
      </c>
      <c r="C406" s="29" t="s">
        <v>4</v>
      </c>
      <c r="D406" s="30">
        <v>0.5122033912037037</v>
      </c>
      <c r="E406" s="30">
        <v>0.5151877546296296</v>
      </c>
      <c r="F406" s="30">
        <v>0.5152340509259259</v>
      </c>
      <c r="G406" s="30">
        <v>0.5191229398148148</v>
      </c>
      <c r="H406" s="35">
        <f t="shared" si="1"/>
        <v>4.297483333</v>
      </c>
      <c r="I406" s="35">
        <f t="shared" si="2"/>
        <v>5.6</v>
      </c>
      <c r="J406" s="39">
        <f t="shared" si="3"/>
        <v>12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ht="15.75" customHeight="1">
      <c r="A407" s="22">
        <v>405.0</v>
      </c>
      <c r="B407" s="24">
        <v>46269.0</v>
      </c>
      <c r="C407" s="29" t="s">
        <v>4</v>
      </c>
      <c r="D407" s="30">
        <v>0.5194297222222223</v>
      </c>
      <c r="E407" s="30">
        <v>0.5195120717592593</v>
      </c>
      <c r="F407" s="30">
        <v>0.5195352199074074</v>
      </c>
      <c r="G407" s="30">
        <v>0.5206694791666667</v>
      </c>
      <c r="H407" s="35">
        <f t="shared" si="1"/>
        <v>0.1185833333</v>
      </c>
      <c r="I407" s="35">
        <f t="shared" si="2"/>
        <v>1.633333333</v>
      </c>
      <c r="J407" s="39">
        <f t="shared" si="3"/>
        <v>12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ht="15.75" customHeight="1">
      <c r="A408" s="22">
        <v>406.0</v>
      </c>
      <c r="B408" s="24">
        <v>46269.0</v>
      </c>
      <c r="C408" s="29" t="s">
        <v>4</v>
      </c>
      <c r="D408" s="30">
        <v>0.5275500578703703</v>
      </c>
      <c r="E408" s="30">
        <v>0.5275500578703703</v>
      </c>
      <c r="F408" s="30">
        <v>0.5275732060185185</v>
      </c>
      <c r="G408" s="30">
        <v>0.5293324652777778</v>
      </c>
      <c r="H408" s="35">
        <f t="shared" si="1"/>
        <v>0</v>
      </c>
      <c r="I408" s="35">
        <f t="shared" si="2"/>
        <v>2.533333333</v>
      </c>
      <c r="J408" s="39">
        <f t="shared" si="3"/>
        <v>12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ht="15.75" customHeight="1">
      <c r="A409" s="22">
        <v>407.0</v>
      </c>
      <c r="B409" s="24">
        <v>46269.0</v>
      </c>
      <c r="C409" s="29" t="s">
        <v>4</v>
      </c>
      <c r="D409" s="30">
        <v>0.5450053240740741</v>
      </c>
      <c r="E409" s="30">
        <v>0.5457337731481482</v>
      </c>
      <c r="F409" s="30">
        <v>0.5457453472222222</v>
      </c>
      <c r="G409" s="30">
        <v>0.5475277546296297</v>
      </c>
      <c r="H409" s="35">
        <f t="shared" si="1"/>
        <v>1.048966667</v>
      </c>
      <c r="I409" s="35">
        <f t="shared" si="2"/>
        <v>2.566666667</v>
      </c>
      <c r="J409" s="39">
        <f t="shared" si="3"/>
        <v>13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ht="15.75" customHeight="1">
      <c r="A410" s="22">
        <v>408.0</v>
      </c>
      <c r="B410" s="24">
        <v>46269.0</v>
      </c>
      <c r="C410" s="29" t="s">
        <v>39</v>
      </c>
      <c r="D410" s="30">
        <v>0.5504151851851852</v>
      </c>
      <c r="E410" s="30">
        <v>0.5504151851851852</v>
      </c>
      <c r="F410" s="30">
        <v>0.5504499074074074</v>
      </c>
      <c r="G410" s="30">
        <v>0.5521860185185186</v>
      </c>
      <c r="H410" s="35">
        <f t="shared" si="1"/>
        <v>0</v>
      </c>
      <c r="I410" s="35">
        <f t="shared" si="2"/>
        <v>2.5</v>
      </c>
      <c r="J410" s="39">
        <f t="shared" si="3"/>
        <v>13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ht="15.75" customHeight="1">
      <c r="A411" s="22">
        <v>409.0</v>
      </c>
      <c r="B411" s="24">
        <v>46269.0</v>
      </c>
      <c r="C411" s="29" t="s">
        <v>4</v>
      </c>
      <c r="D411" s="30">
        <v>0.5526678125000001</v>
      </c>
      <c r="E411" s="30">
        <v>0.5526678125000001</v>
      </c>
      <c r="F411" s="30">
        <v>0.5527025347222223</v>
      </c>
      <c r="G411" s="30">
        <v>0.5545775347222223</v>
      </c>
      <c r="H411" s="35">
        <f t="shared" si="1"/>
        <v>0</v>
      </c>
      <c r="I411" s="35">
        <f t="shared" si="2"/>
        <v>2.7</v>
      </c>
      <c r="J411" s="39">
        <f t="shared" si="3"/>
        <v>13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ht="15.75" customHeight="1">
      <c r="A412" s="22">
        <v>410.0</v>
      </c>
      <c r="B412" s="24">
        <v>46269.0</v>
      </c>
      <c r="C412" s="29" t="s">
        <v>4</v>
      </c>
      <c r="D412" s="30">
        <v>0.5846870023148149</v>
      </c>
      <c r="E412" s="30">
        <v>0.5847832523148149</v>
      </c>
      <c r="F412" s="30">
        <v>0.5847948263888889</v>
      </c>
      <c r="G412" s="30">
        <v>0.5862994560185185</v>
      </c>
      <c r="H412" s="35">
        <f t="shared" si="1"/>
        <v>0.1386</v>
      </c>
      <c r="I412" s="35">
        <f t="shared" si="2"/>
        <v>2.166666667</v>
      </c>
      <c r="J412" s="39">
        <f t="shared" si="3"/>
        <v>14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ht="15.75" customHeight="1">
      <c r="A413" s="22">
        <v>411.0</v>
      </c>
      <c r="B413" s="24">
        <v>46269.0</v>
      </c>
      <c r="C413" s="29" t="s">
        <v>4</v>
      </c>
      <c r="D413" s="30">
        <v>0.5856336458333333</v>
      </c>
      <c r="E413" s="30">
        <v>0.5858563773148149</v>
      </c>
      <c r="F413" s="30">
        <v>0.585879525462963</v>
      </c>
      <c r="G413" s="30">
        <v>0.5864235069444445</v>
      </c>
      <c r="H413" s="35">
        <f t="shared" si="1"/>
        <v>0.3207333333</v>
      </c>
      <c r="I413" s="35">
        <f t="shared" si="2"/>
        <v>0.7833333333</v>
      </c>
      <c r="J413" s="39">
        <f t="shared" si="3"/>
        <v>14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ht="15.75" customHeight="1">
      <c r="A414" s="22">
        <v>412.0</v>
      </c>
      <c r="B414" s="24">
        <v>46269.0</v>
      </c>
      <c r="C414" s="29" t="s">
        <v>4</v>
      </c>
      <c r="D414" s="30">
        <v>0.5874552199074075</v>
      </c>
      <c r="E414" s="30">
        <v>0.5887215740740741</v>
      </c>
      <c r="F414" s="30">
        <v>0.5887447222222223</v>
      </c>
      <c r="G414" s="30">
        <v>0.5936984259259259</v>
      </c>
      <c r="H414" s="35">
        <f t="shared" si="1"/>
        <v>1.82355</v>
      </c>
      <c r="I414" s="35">
        <f t="shared" si="2"/>
        <v>7.133333333</v>
      </c>
      <c r="J414" s="39">
        <f t="shared" si="3"/>
        <v>14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ht="15.75" customHeight="1">
      <c r="A415" s="22">
        <v>413.0</v>
      </c>
      <c r="B415" s="24">
        <v>46269.0</v>
      </c>
      <c r="C415" s="29" t="s">
        <v>4</v>
      </c>
      <c r="D415" s="30">
        <v>0.6171759722222222</v>
      </c>
      <c r="E415" s="30">
        <v>0.6171759722222222</v>
      </c>
      <c r="F415" s="30">
        <v>0.6171875462962964</v>
      </c>
      <c r="G415" s="30">
        <v>0.622604212962963</v>
      </c>
      <c r="H415" s="35">
        <f t="shared" si="1"/>
        <v>0</v>
      </c>
      <c r="I415" s="35">
        <f t="shared" si="2"/>
        <v>7.8</v>
      </c>
      <c r="J415" s="39">
        <f t="shared" si="3"/>
        <v>14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ht="15.75" customHeight="1">
      <c r="A416" s="22">
        <v>414.0</v>
      </c>
      <c r="B416" s="24">
        <v>46269.0</v>
      </c>
      <c r="C416" s="29" t="s">
        <v>4</v>
      </c>
      <c r="D416" s="30">
        <v>0.625043275462963</v>
      </c>
      <c r="E416" s="30">
        <v>0.625043275462963</v>
      </c>
      <c r="F416" s="30">
        <v>0.6250664236111111</v>
      </c>
      <c r="G416" s="30">
        <v>0.6264668865740741</v>
      </c>
      <c r="H416" s="35">
        <f t="shared" si="1"/>
        <v>0</v>
      </c>
      <c r="I416" s="35">
        <f t="shared" si="2"/>
        <v>2.016666667</v>
      </c>
      <c r="J416" s="39">
        <f t="shared" si="3"/>
        <v>15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ht="15.75" customHeight="1">
      <c r="A417" s="22">
        <v>415.0</v>
      </c>
      <c r="B417" s="24">
        <v>46269.0</v>
      </c>
      <c r="C417" s="29" t="s">
        <v>4</v>
      </c>
      <c r="D417" s="30">
        <v>0.6375578819444444</v>
      </c>
      <c r="E417" s="30">
        <v>0.6393256828703704</v>
      </c>
      <c r="F417" s="30">
        <v>0.6393488310185186</v>
      </c>
      <c r="G417" s="30">
        <v>0.6439090162037037</v>
      </c>
      <c r="H417" s="35">
        <f t="shared" si="1"/>
        <v>2.545633333</v>
      </c>
      <c r="I417" s="35">
        <f t="shared" si="2"/>
        <v>6.566666667</v>
      </c>
      <c r="J417" s="39">
        <f t="shared" si="3"/>
        <v>15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ht="15.75" customHeight="1">
      <c r="A418" s="22">
        <v>416.0</v>
      </c>
      <c r="B418" s="24">
        <v>46269.0</v>
      </c>
      <c r="C418" s="29" t="s">
        <v>39</v>
      </c>
      <c r="D418" s="30">
        <v>0.6615411458333333</v>
      </c>
      <c r="E418" s="30">
        <v>0.6615411458333333</v>
      </c>
      <c r="F418" s="30">
        <v>0.6615642939814814</v>
      </c>
      <c r="G418" s="30">
        <v>0.6653605902777777</v>
      </c>
      <c r="H418" s="35">
        <f t="shared" si="1"/>
        <v>0</v>
      </c>
      <c r="I418" s="35">
        <f t="shared" si="2"/>
        <v>5.466666667</v>
      </c>
      <c r="J418" s="39">
        <f t="shared" si="3"/>
        <v>15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ht="15.75" customHeight="1">
      <c r="A419" s="22">
        <v>417.0</v>
      </c>
      <c r="B419" s="24">
        <v>46269.0</v>
      </c>
      <c r="C419" s="29" t="s">
        <v>4</v>
      </c>
      <c r="D419" s="30">
        <v>0.6637729745370371</v>
      </c>
      <c r="E419" s="30">
        <v>0.6643297800925926</v>
      </c>
      <c r="F419" s="30">
        <v>0.6643645023148148</v>
      </c>
      <c r="G419" s="30">
        <v>0.6657418171296297</v>
      </c>
      <c r="H419" s="35">
        <f t="shared" si="1"/>
        <v>0.8018</v>
      </c>
      <c r="I419" s="35">
        <f t="shared" si="2"/>
        <v>1.983333333</v>
      </c>
      <c r="J419" s="39">
        <f t="shared" si="3"/>
        <v>15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ht="15.75" customHeight="1">
      <c r="A420" s="22">
        <v>418.0</v>
      </c>
      <c r="B420" s="24">
        <v>46269.0</v>
      </c>
      <c r="C420" s="29" t="s">
        <v>4</v>
      </c>
      <c r="D420" s="30">
        <v>0.670403287037037</v>
      </c>
      <c r="E420" s="30">
        <v>0.6723860532407407</v>
      </c>
      <c r="F420" s="30">
        <v>0.6723976273148148</v>
      </c>
      <c r="G420" s="30">
        <v>0.6737749421296296</v>
      </c>
      <c r="H420" s="35">
        <f t="shared" si="1"/>
        <v>2.855183333</v>
      </c>
      <c r="I420" s="35">
        <f t="shared" si="2"/>
        <v>1.983333333</v>
      </c>
      <c r="J420" s="39">
        <f t="shared" si="3"/>
        <v>16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ht="15.75" customHeight="1">
      <c r="A421" s="22">
        <v>419.0</v>
      </c>
      <c r="B421" s="24">
        <v>46269.0</v>
      </c>
      <c r="C421" s="29" t="s">
        <v>4</v>
      </c>
      <c r="D421" s="30">
        <v>0.6858691435185185</v>
      </c>
      <c r="E421" s="30">
        <v>0.6858691435185185</v>
      </c>
      <c r="F421" s="30">
        <v>0.6858807175925926</v>
      </c>
      <c r="G421" s="30">
        <v>0.6864709953703704</v>
      </c>
      <c r="H421" s="35">
        <f t="shared" si="1"/>
        <v>0</v>
      </c>
      <c r="I421" s="35">
        <f t="shared" si="2"/>
        <v>0.85</v>
      </c>
      <c r="J421" s="39">
        <f t="shared" si="3"/>
        <v>16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ht="15.75" customHeight="1">
      <c r="A422" s="22">
        <v>420.0</v>
      </c>
      <c r="B422" s="24">
        <v>46269.0</v>
      </c>
      <c r="C422" s="29" t="s">
        <v>4</v>
      </c>
      <c r="D422" s="30">
        <v>0.6926188425925925</v>
      </c>
      <c r="E422" s="30">
        <v>0.6926188425925925</v>
      </c>
      <c r="F422" s="30">
        <v>0.6926304166666666</v>
      </c>
      <c r="G422" s="30">
        <v>0.6933711574074074</v>
      </c>
      <c r="H422" s="35">
        <f t="shared" si="1"/>
        <v>0</v>
      </c>
      <c r="I422" s="35">
        <f t="shared" si="2"/>
        <v>1.066666667</v>
      </c>
      <c r="J422" s="39">
        <f t="shared" si="3"/>
        <v>16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ht="15.75" customHeight="1">
      <c r="A423" s="64"/>
      <c r="B423" s="66"/>
      <c r="C423" s="67"/>
      <c r="D423" s="68"/>
      <c r="E423" s="68"/>
      <c r="F423" s="68"/>
      <c r="G423" s="68"/>
      <c r="H423" s="69"/>
      <c r="I423" s="69"/>
      <c r="J423" s="70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ht="15.75" customHeight="1">
      <c r="A424" s="64"/>
      <c r="B424" s="66"/>
      <c r="C424" s="67"/>
      <c r="D424" s="68"/>
      <c r="E424" s="68"/>
      <c r="F424" s="68"/>
      <c r="G424" s="68"/>
      <c r="H424" s="69"/>
      <c r="I424" s="69"/>
      <c r="J424" s="70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ht="15.75" customHeight="1">
      <c r="A425" s="64"/>
      <c r="B425" s="66"/>
      <c r="C425" s="67"/>
      <c r="D425" s="68"/>
      <c r="E425" s="68"/>
      <c r="F425" s="68"/>
      <c r="G425" s="68"/>
      <c r="H425" s="69"/>
      <c r="I425" s="69"/>
      <c r="J425" s="70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ht="15.75" customHeight="1">
      <c r="A426" s="64"/>
      <c r="B426" s="66"/>
      <c r="C426" s="67"/>
      <c r="D426" s="68"/>
      <c r="E426" s="68"/>
      <c r="F426" s="68"/>
      <c r="G426" s="68"/>
      <c r="H426" s="69"/>
      <c r="I426" s="69"/>
      <c r="J426" s="70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ht="15.75" customHeight="1">
      <c r="A427" s="64"/>
      <c r="B427" s="66"/>
      <c r="C427" s="67"/>
      <c r="D427" s="68"/>
      <c r="E427" s="68"/>
      <c r="F427" s="68"/>
      <c r="G427" s="68"/>
      <c r="H427" s="69"/>
      <c r="I427" s="69"/>
      <c r="J427" s="70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ht="15.75" customHeight="1">
      <c r="A428" s="64"/>
      <c r="B428" s="66"/>
      <c r="C428" s="67"/>
      <c r="D428" s="68"/>
      <c r="E428" s="68"/>
      <c r="F428" s="68"/>
      <c r="G428" s="68"/>
      <c r="H428" s="69"/>
      <c r="I428" s="69"/>
      <c r="J428" s="70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ht="15.75" customHeight="1">
      <c r="A429" s="64"/>
      <c r="B429" s="66"/>
      <c r="C429" s="67"/>
      <c r="D429" s="68"/>
      <c r="E429" s="68"/>
      <c r="F429" s="68"/>
      <c r="G429" s="68"/>
      <c r="H429" s="69"/>
      <c r="I429" s="69"/>
      <c r="J429" s="70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ht="15.75" customHeight="1">
      <c r="A430" s="64"/>
      <c r="B430" s="66"/>
      <c r="C430" s="67"/>
      <c r="D430" s="68"/>
      <c r="E430" s="68"/>
      <c r="F430" s="68"/>
      <c r="G430" s="68"/>
      <c r="H430" s="69"/>
      <c r="I430" s="69"/>
      <c r="J430" s="70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ht="15.75" customHeight="1">
      <c r="A431" s="64"/>
      <c r="B431" s="66"/>
      <c r="C431" s="67"/>
      <c r="D431" s="68"/>
      <c r="E431" s="68"/>
      <c r="F431" s="68"/>
      <c r="G431" s="68"/>
      <c r="H431" s="69"/>
      <c r="I431" s="69"/>
      <c r="J431" s="70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ht="15.75" customHeight="1">
      <c r="A432" s="64"/>
      <c r="B432" s="66"/>
      <c r="C432" s="67"/>
      <c r="D432" s="68"/>
      <c r="E432" s="68"/>
      <c r="F432" s="68"/>
      <c r="G432" s="68"/>
      <c r="H432" s="69"/>
      <c r="I432" s="69"/>
      <c r="J432" s="70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ht="15.75" customHeight="1">
      <c r="A433" s="64"/>
      <c r="B433" s="66"/>
      <c r="C433" s="67"/>
      <c r="D433" s="68"/>
      <c r="E433" s="68"/>
      <c r="F433" s="68"/>
      <c r="G433" s="68"/>
      <c r="H433" s="69"/>
      <c r="I433" s="69"/>
      <c r="J433" s="70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ht="15.75" customHeight="1">
      <c r="A434" s="64"/>
      <c r="B434" s="66"/>
      <c r="C434" s="67"/>
      <c r="D434" s="68"/>
      <c r="E434" s="68"/>
      <c r="F434" s="68"/>
      <c r="G434" s="68"/>
      <c r="H434" s="69"/>
      <c r="I434" s="69"/>
      <c r="J434" s="70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ht="15.75" customHeight="1">
      <c r="A435" s="64"/>
      <c r="B435" s="66"/>
      <c r="C435" s="67"/>
      <c r="D435" s="68"/>
      <c r="E435" s="68"/>
      <c r="F435" s="68"/>
      <c r="G435" s="68"/>
      <c r="H435" s="69"/>
      <c r="I435" s="69"/>
      <c r="J435" s="70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ht="15.75" customHeight="1">
      <c r="A436" s="64"/>
      <c r="B436" s="66"/>
      <c r="C436" s="67"/>
      <c r="D436" s="68"/>
      <c r="E436" s="68"/>
      <c r="F436" s="68"/>
      <c r="G436" s="68"/>
      <c r="H436" s="69"/>
      <c r="I436" s="69"/>
      <c r="J436" s="70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ht="15.75" customHeight="1">
      <c r="A437" s="64"/>
      <c r="B437" s="66"/>
      <c r="C437" s="67"/>
      <c r="D437" s="68"/>
      <c r="E437" s="68"/>
      <c r="F437" s="68"/>
      <c r="G437" s="68"/>
      <c r="H437" s="69"/>
      <c r="I437" s="69"/>
      <c r="J437" s="70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ht="15.75" customHeight="1">
      <c r="A438" s="64"/>
      <c r="B438" s="66"/>
      <c r="C438" s="67"/>
      <c r="D438" s="68"/>
      <c r="E438" s="68"/>
      <c r="F438" s="68"/>
      <c r="G438" s="68"/>
      <c r="H438" s="69"/>
      <c r="I438" s="69"/>
      <c r="J438" s="70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ht="15.75" customHeight="1">
      <c r="A439" s="64"/>
      <c r="B439" s="66"/>
      <c r="C439" s="67"/>
      <c r="D439" s="68"/>
      <c r="E439" s="68"/>
      <c r="F439" s="68"/>
      <c r="G439" s="68"/>
      <c r="H439" s="69"/>
      <c r="I439" s="69"/>
      <c r="J439" s="70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ht="15.75" customHeight="1">
      <c r="A440" s="64"/>
      <c r="B440" s="66"/>
      <c r="C440" s="67"/>
      <c r="D440" s="68"/>
      <c r="E440" s="68"/>
      <c r="F440" s="68"/>
      <c r="G440" s="68"/>
      <c r="H440" s="69"/>
      <c r="I440" s="69"/>
      <c r="J440" s="70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ht="15.75" customHeight="1">
      <c r="A441" s="64"/>
      <c r="B441" s="66"/>
      <c r="C441" s="67"/>
      <c r="D441" s="68"/>
      <c r="E441" s="68"/>
      <c r="F441" s="68"/>
      <c r="G441" s="68"/>
      <c r="H441" s="69"/>
      <c r="I441" s="69"/>
      <c r="J441" s="70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ht="15.75" customHeight="1">
      <c r="A442" s="64"/>
      <c r="B442" s="66"/>
      <c r="C442" s="67"/>
      <c r="D442" s="68"/>
      <c r="E442" s="68"/>
      <c r="F442" s="68"/>
      <c r="G442" s="68"/>
      <c r="H442" s="69"/>
      <c r="I442" s="69"/>
      <c r="J442" s="70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ht="15.75" customHeight="1">
      <c r="A443" s="64"/>
      <c r="B443" s="66"/>
      <c r="C443" s="67"/>
      <c r="D443" s="68"/>
      <c r="E443" s="68"/>
      <c r="F443" s="68"/>
      <c r="G443" s="68"/>
      <c r="H443" s="69"/>
      <c r="I443" s="69"/>
      <c r="J443" s="70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ht="15.75" customHeight="1">
      <c r="A444" s="64"/>
      <c r="B444" s="66"/>
      <c r="C444" s="67"/>
      <c r="D444" s="68"/>
      <c r="E444" s="68"/>
      <c r="F444" s="68"/>
      <c r="G444" s="68"/>
      <c r="H444" s="69"/>
      <c r="I444" s="69"/>
      <c r="J444" s="70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ht="15.75" customHeight="1">
      <c r="A445" s="64"/>
      <c r="B445" s="66"/>
      <c r="C445" s="67"/>
      <c r="D445" s="68"/>
      <c r="E445" s="68"/>
      <c r="F445" s="68"/>
      <c r="G445" s="68"/>
      <c r="H445" s="69"/>
      <c r="I445" s="69"/>
      <c r="J445" s="70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ht="15.75" customHeight="1">
      <c r="A446" s="64"/>
      <c r="B446" s="66"/>
      <c r="C446" s="67"/>
      <c r="D446" s="68"/>
      <c r="E446" s="68"/>
      <c r="F446" s="68"/>
      <c r="G446" s="68"/>
      <c r="H446" s="69"/>
      <c r="I446" s="69"/>
      <c r="J446" s="70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ht="15.75" customHeight="1">
      <c r="A447" s="64"/>
      <c r="B447" s="66"/>
      <c r="C447" s="67"/>
      <c r="D447" s="68"/>
      <c r="E447" s="68"/>
      <c r="F447" s="68"/>
      <c r="G447" s="68"/>
      <c r="H447" s="69"/>
      <c r="I447" s="69"/>
      <c r="J447" s="70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</sheetData>
  <mergeCells count="7">
    <mergeCell ref="L9:L10"/>
    <mergeCell ref="M9:M10"/>
    <mergeCell ref="L12:L13"/>
    <mergeCell ref="M12:M13"/>
    <mergeCell ref="L15:L16"/>
    <mergeCell ref="M15:M16"/>
    <mergeCell ref="A1:J1"/>
  </mergeCells>
  <dataValidations>
    <dataValidation type="list" allowBlank="1" sqref="C3:C447">
      <formula1>"S,N"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3.0" ySplit="2.0" topLeftCell="N3" activePane="bottomRight" state="frozen"/>
      <selection activeCell="N1" sqref="N1" pane="topRight"/>
      <selection activeCell="A3" sqref="A3" pane="bottomLeft"/>
      <selection activeCell="N3" sqref="N3" pane="bottomRight"/>
    </sheetView>
  </sheetViews>
  <sheetFormatPr customHeight="1" defaultColWidth="14.43" defaultRowHeight="15.0"/>
  <cols>
    <col customWidth="1" min="1" max="1" width="30.0"/>
    <col customWidth="1" min="2" max="12" width="12.0"/>
  </cols>
  <sheetData>
    <row r="1" ht="29.25" customHeight="1">
      <c r="A1" s="10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5" t="s">
        <v>20</v>
      </c>
      <c r="B2" s="25" t="s">
        <v>21</v>
      </c>
      <c r="C2" s="25" t="s">
        <v>22</v>
      </c>
      <c r="D2" s="25" t="s">
        <v>23</v>
      </c>
      <c r="E2" s="25" t="s">
        <v>24</v>
      </c>
      <c r="F2" s="25" t="s">
        <v>25</v>
      </c>
      <c r="G2" s="25" t="s">
        <v>26</v>
      </c>
      <c r="H2" s="25" t="s">
        <v>27</v>
      </c>
      <c r="I2" s="25" t="s">
        <v>28</v>
      </c>
      <c r="J2" s="25" t="s">
        <v>29</v>
      </c>
      <c r="K2" s="25" t="s">
        <v>30</v>
      </c>
      <c r="L2" s="25" t="s">
        <v>31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1" t="s">
        <v>32</v>
      </c>
      <c r="B3" s="32">
        <v>95.0</v>
      </c>
      <c r="C3" s="32">
        <v>106.0</v>
      </c>
      <c r="D3" s="32">
        <v>83.0</v>
      </c>
      <c r="E3" s="32">
        <v>71.0</v>
      </c>
      <c r="F3" s="32">
        <v>48.0</v>
      </c>
      <c r="G3" s="32">
        <v>50.0</v>
      </c>
      <c r="H3" s="32">
        <v>45.0</v>
      </c>
      <c r="I3" s="32">
        <v>56.0</v>
      </c>
      <c r="J3" s="32">
        <v>58.0</v>
      </c>
      <c r="K3" s="32">
        <v>40.0</v>
      </c>
      <c r="L3" s="32">
        <f t="shared" ref="L3:L12" si="1">IF(COUNT(B3:K3)=0,"",SUM(B3:K3))</f>
        <v>652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9" t="s">
        <v>34</v>
      </c>
      <c r="B4" s="36">
        <v>94.0</v>
      </c>
      <c r="C4" s="36">
        <v>94.0</v>
      </c>
      <c r="D4" s="36">
        <v>78.0</v>
      </c>
      <c r="E4" s="36">
        <v>69.0</v>
      </c>
      <c r="F4" s="36">
        <v>54.0</v>
      </c>
      <c r="G4" s="36">
        <v>37.0</v>
      </c>
      <c r="H4" s="36">
        <v>45.0</v>
      </c>
      <c r="I4" s="36">
        <v>74.0</v>
      </c>
      <c r="J4" s="36">
        <v>66.0</v>
      </c>
      <c r="K4" s="36">
        <v>33.0</v>
      </c>
      <c r="L4" s="36">
        <f t="shared" si="1"/>
        <v>644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9" t="s">
        <v>37</v>
      </c>
      <c r="B5" s="36">
        <v>83.0</v>
      </c>
      <c r="C5" s="36">
        <v>93.0</v>
      </c>
      <c r="D5" s="36">
        <v>101.0</v>
      </c>
      <c r="E5" s="36">
        <v>98.0</v>
      </c>
      <c r="F5" s="36">
        <v>54.0</v>
      </c>
      <c r="G5" s="36">
        <v>32.0</v>
      </c>
      <c r="H5" s="36">
        <v>48.0</v>
      </c>
      <c r="I5" s="36">
        <v>63.0</v>
      </c>
      <c r="J5" s="36">
        <v>48.0</v>
      </c>
      <c r="K5" s="36">
        <v>24.0</v>
      </c>
      <c r="L5" s="36">
        <f t="shared" si="1"/>
        <v>644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9" t="s">
        <v>41</v>
      </c>
      <c r="B6" s="36">
        <v>97.0</v>
      </c>
      <c r="C6" s="36">
        <v>111.0</v>
      </c>
      <c r="D6" s="36">
        <v>88.0</v>
      </c>
      <c r="E6" s="36">
        <v>70.0</v>
      </c>
      <c r="F6" s="36">
        <v>58.0</v>
      </c>
      <c r="G6" s="36">
        <v>43.0</v>
      </c>
      <c r="H6" s="36">
        <v>52.0</v>
      </c>
      <c r="I6" s="36">
        <v>70.0</v>
      </c>
      <c r="J6" s="36">
        <v>52.0</v>
      </c>
      <c r="K6" s="36">
        <v>34.0</v>
      </c>
      <c r="L6" s="36">
        <f t="shared" si="1"/>
        <v>675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9" t="s">
        <v>42</v>
      </c>
      <c r="B7" s="36">
        <v>89.0</v>
      </c>
      <c r="C7" s="36">
        <v>93.0</v>
      </c>
      <c r="D7" s="36">
        <v>109.0</v>
      </c>
      <c r="E7" s="36">
        <v>84.0</v>
      </c>
      <c r="F7" s="36">
        <v>64.0</v>
      </c>
      <c r="G7" s="36">
        <v>40.0</v>
      </c>
      <c r="H7" s="36">
        <v>47.0</v>
      </c>
      <c r="I7" s="36">
        <v>72.0</v>
      </c>
      <c r="J7" s="36">
        <v>55.0</v>
      </c>
      <c r="K7" s="36">
        <v>44.0</v>
      </c>
      <c r="L7" s="36">
        <f t="shared" si="1"/>
        <v>697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9" t="s">
        <v>45</v>
      </c>
      <c r="B8" s="36">
        <v>92.0</v>
      </c>
      <c r="C8" s="36">
        <v>105.0</v>
      </c>
      <c r="D8" s="36">
        <v>72.0</v>
      </c>
      <c r="E8" s="36">
        <v>77.0</v>
      </c>
      <c r="F8" s="36">
        <v>57.0</v>
      </c>
      <c r="G8" s="36">
        <v>36.0</v>
      </c>
      <c r="H8" s="36">
        <v>52.0</v>
      </c>
      <c r="I8" s="36">
        <v>67.0</v>
      </c>
      <c r="J8" s="36">
        <v>56.0</v>
      </c>
      <c r="K8" s="36">
        <v>36.0</v>
      </c>
      <c r="L8" s="36">
        <f t="shared" si="1"/>
        <v>650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9" t="s">
        <v>47</v>
      </c>
      <c r="B9" s="36">
        <v>95.0</v>
      </c>
      <c r="C9" s="36">
        <v>97.0</v>
      </c>
      <c r="D9" s="36">
        <v>93.0</v>
      </c>
      <c r="E9" s="36">
        <v>67.0</v>
      </c>
      <c r="F9" s="36">
        <v>53.0</v>
      </c>
      <c r="G9" s="36">
        <v>40.0</v>
      </c>
      <c r="H9" s="36">
        <v>51.0</v>
      </c>
      <c r="I9" s="36">
        <v>71.0</v>
      </c>
      <c r="J9" s="36">
        <v>55.0</v>
      </c>
      <c r="K9" s="36">
        <v>31.0</v>
      </c>
      <c r="L9" s="36">
        <f t="shared" si="1"/>
        <v>653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9" t="s">
        <v>50</v>
      </c>
      <c r="B10" s="36">
        <v>82.0</v>
      </c>
      <c r="C10" s="36">
        <v>90.0</v>
      </c>
      <c r="D10" s="36">
        <v>79.0</v>
      </c>
      <c r="E10" s="36">
        <v>61.0</v>
      </c>
      <c r="F10" s="36">
        <v>46.0</v>
      </c>
      <c r="G10" s="36">
        <v>38.0</v>
      </c>
      <c r="H10" s="36">
        <v>46.0</v>
      </c>
      <c r="I10" s="36">
        <v>73.0</v>
      </c>
      <c r="J10" s="36">
        <v>60.0</v>
      </c>
      <c r="K10" s="36">
        <v>32.0</v>
      </c>
      <c r="L10" s="36">
        <f t="shared" si="1"/>
        <v>607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9" t="s">
        <v>51</v>
      </c>
      <c r="B11" s="36">
        <v>90.0</v>
      </c>
      <c r="C11" s="36">
        <v>106.0</v>
      </c>
      <c r="D11" s="36">
        <v>105.0</v>
      </c>
      <c r="E11" s="36">
        <v>67.0</v>
      </c>
      <c r="F11" s="36">
        <v>70.0</v>
      </c>
      <c r="G11" s="36">
        <v>49.0</v>
      </c>
      <c r="H11" s="36">
        <v>52.0</v>
      </c>
      <c r="I11" s="36">
        <v>65.0</v>
      </c>
      <c r="J11" s="36">
        <v>60.0</v>
      </c>
      <c r="K11" s="36">
        <v>32.0</v>
      </c>
      <c r="L11" s="36">
        <f t="shared" si="1"/>
        <v>696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9" t="s">
        <v>53</v>
      </c>
      <c r="B12" s="36">
        <v>81.0</v>
      </c>
      <c r="C12" s="36">
        <v>106.0</v>
      </c>
      <c r="D12" s="36">
        <v>83.0</v>
      </c>
      <c r="E12" s="36">
        <v>72.0</v>
      </c>
      <c r="F12" s="36">
        <v>47.0</v>
      </c>
      <c r="G12" s="36">
        <v>38.0</v>
      </c>
      <c r="H12" s="36">
        <v>49.0</v>
      </c>
      <c r="I12" s="36">
        <v>63.0</v>
      </c>
      <c r="J12" s="36">
        <v>63.0</v>
      </c>
      <c r="K12" s="36">
        <v>41.0</v>
      </c>
      <c r="L12" s="36">
        <f t="shared" si="1"/>
        <v>643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48" t="s">
        <v>55</v>
      </c>
      <c r="B14" s="49">
        <f t="shared" ref="B14:K14" si="2">IF(COUNT(B3:B12)=0,"",AVERAGE(B3:B12))</f>
        <v>89.8</v>
      </c>
      <c r="C14" s="49">
        <f t="shared" si="2"/>
        <v>100.1</v>
      </c>
      <c r="D14" s="49">
        <f t="shared" si="2"/>
        <v>89.1</v>
      </c>
      <c r="E14" s="49">
        <f t="shared" si="2"/>
        <v>73.6</v>
      </c>
      <c r="F14" s="49">
        <f t="shared" si="2"/>
        <v>55.1</v>
      </c>
      <c r="G14" s="49">
        <f t="shared" si="2"/>
        <v>40.3</v>
      </c>
      <c r="H14" s="49">
        <f t="shared" si="2"/>
        <v>48.7</v>
      </c>
      <c r="I14" s="49">
        <f t="shared" si="2"/>
        <v>67.4</v>
      </c>
      <c r="J14" s="49">
        <f t="shared" si="2"/>
        <v>57.3</v>
      </c>
      <c r="K14" s="49">
        <f t="shared" si="2"/>
        <v>34.7</v>
      </c>
      <c r="L14" s="5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48" t="s">
        <v>57</v>
      </c>
      <c r="B15" s="49">
        <f t="shared" ref="B15:K15" si="3">IF(COUNT(B3:B12)&lt;2,"",STDEV(B3:B12))</f>
        <v>5.902918299</v>
      </c>
      <c r="C15" s="49">
        <f t="shared" si="3"/>
        <v>7.430417963</v>
      </c>
      <c r="D15" s="49">
        <f t="shared" si="3"/>
        <v>12.46729054</v>
      </c>
      <c r="E15" s="49">
        <f t="shared" si="3"/>
        <v>10.56409012</v>
      </c>
      <c r="F15" s="49">
        <f t="shared" si="3"/>
        <v>7.593125546</v>
      </c>
      <c r="G15" s="49">
        <f t="shared" si="3"/>
        <v>5.63816361</v>
      </c>
      <c r="H15" s="49">
        <f t="shared" si="3"/>
        <v>2.907843798</v>
      </c>
      <c r="I15" s="49">
        <f t="shared" si="3"/>
        <v>5.680375574</v>
      </c>
      <c r="J15" s="49">
        <f t="shared" si="3"/>
        <v>5.271516754</v>
      </c>
      <c r="K15" s="49">
        <f t="shared" si="3"/>
        <v>5.793674712</v>
      </c>
      <c r="L15" s="52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8" t="s">
        <v>46</v>
      </c>
      <c r="B16" s="53">
        <f t="shared" ref="B16:K16" si="4">IF(OR(B14="",B15=""),"",IF(B14=0,"",B15/B14))</f>
        <v>0.06573405678</v>
      </c>
      <c r="C16" s="53">
        <f t="shared" si="4"/>
        <v>0.07422994968</v>
      </c>
      <c r="D16" s="53">
        <f t="shared" si="4"/>
        <v>0.1399246974</v>
      </c>
      <c r="E16" s="53">
        <f t="shared" si="4"/>
        <v>0.1435338331</v>
      </c>
      <c r="F16" s="53">
        <f t="shared" si="4"/>
        <v>0.1378062713</v>
      </c>
      <c r="G16" s="53">
        <f t="shared" si="4"/>
        <v>0.1399048042</v>
      </c>
      <c r="H16" s="53">
        <f t="shared" si="4"/>
        <v>0.05970931824</v>
      </c>
      <c r="I16" s="53">
        <f t="shared" si="4"/>
        <v>0.08427856935</v>
      </c>
      <c r="J16" s="53">
        <f t="shared" si="4"/>
        <v>0.09199854719</v>
      </c>
      <c r="K16" s="53">
        <f t="shared" si="4"/>
        <v>0.1669646891</v>
      </c>
      <c r="L16" s="54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48" t="s">
        <v>59</v>
      </c>
      <c r="B17" s="55">
        <v>4.0</v>
      </c>
      <c r="C17" s="55">
        <v>4.0</v>
      </c>
      <c r="D17" s="55">
        <v>4.0</v>
      </c>
      <c r="E17" s="55">
        <v>4.0</v>
      </c>
      <c r="F17" s="55">
        <v>4.0</v>
      </c>
      <c r="G17" s="55">
        <v>3.0</v>
      </c>
      <c r="H17" s="55">
        <v>3.0</v>
      </c>
      <c r="I17" s="55">
        <v>4.0</v>
      </c>
      <c r="J17" s="55">
        <v>4.0</v>
      </c>
      <c r="K17" s="55">
        <v>4.0</v>
      </c>
      <c r="L17" s="5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48" t="s">
        <v>60</v>
      </c>
      <c r="B18" s="49">
        <f>B17*Registro!M15</f>
        <v>79.19962286</v>
      </c>
      <c r="C18" s="49">
        <f>C17*Registro!M15</f>
        <v>79.19962286</v>
      </c>
      <c r="D18" s="49">
        <f>D17*Registro!M15</f>
        <v>79.19962286</v>
      </c>
      <c r="E18" s="49">
        <f>E17*Registro!M15</f>
        <v>79.19962286</v>
      </c>
      <c r="F18" s="49">
        <f>F17*Registro!M15</f>
        <v>79.19962286</v>
      </c>
      <c r="G18" s="49">
        <f>G17*Registro!M15</f>
        <v>59.39971714</v>
      </c>
      <c r="H18" s="49">
        <f>H17*Registro!M15</f>
        <v>59.39971714</v>
      </c>
      <c r="I18" s="49">
        <f>I17*Registro!M15</f>
        <v>79.19962286</v>
      </c>
      <c r="J18" s="49">
        <f>J17*Registro!M15</f>
        <v>79.19962286</v>
      </c>
      <c r="K18" s="49">
        <f>K17*Registro!M15</f>
        <v>79.19962286</v>
      </c>
      <c r="L18" s="52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48" t="s">
        <v>61</v>
      </c>
      <c r="B19" s="57">
        <f t="shared" ref="B19:K19" si="5">IF(AND(ISNUMBER(B14),ISNUMBER(B18)),IF(B18=0,"",B14/B18),"")</f>
        <v>1.133843783</v>
      </c>
      <c r="C19" s="57">
        <f t="shared" si="5"/>
        <v>1.263894907</v>
      </c>
      <c r="D19" s="57">
        <f t="shared" si="5"/>
        <v>1.125005357</v>
      </c>
      <c r="E19" s="57">
        <f t="shared" si="5"/>
        <v>0.9292973545</v>
      </c>
      <c r="F19" s="57">
        <f t="shared" si="5"/>
        <v>0.6957103836</v>
      </c>
      <c r="G19" s="57">
        <f t="shared" si="5"/>
        <v>0.6784544092</v>
      </c>
      <c r="H19" s="57">
        <f t="shared" si="5"/>
        <v>0.819869224</v>
      </c>
      <c r="I19" s="57">
        <f t="shared" si="5"/>
        <v>0.8510141534</v>
      </c>
      <c r="J19" s="57">
        <f t="shared" si="5"/>
        <v>0.7234882937</v>
      </c>
      <c r="K19" s="57">
        <f t="shared" si="5"/>
        <v>0.4381333995</v>
      </c>
      <c r="L19" s="5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48" t="s">
        <v>62</v>
      </c>
      <c r="B20" s="59" t="s">
        <v>63</v>
      </c>
      <c r="C20" s="59" t="s">
        <v>63</v>
      </c>
      <c r="D20" s="59" t="s">
        <v>63</v>
      </c>
      <c r="E20" s="59" t="s">
        <v>64</v>
      </c>
      <c r="F20" s="59" t="s">
        <v>65</v>
      </c>
      <c r="G20" s="59" t="s">
        <v>65</v>
      </c>
      <c r="H20" s="59" t="s">
        <v>65</v>
      </c>
      <c r="I20" s="59" t="s">
        <v>64</v>
      </c>
      <c r="J20" s="59" t="s">
        <v>65</v>
      </c>
      <c r="K20" s="59" t="s">
        <v>65</v>
      </c>
      <c r="L20" s="6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0"/>
      <c r="B23" s="20"/>
      <c r="C23" s="61" t="s">
        <v>66</v>
      </c>
      <c r="D23" s="5"/>
      <c r="E23" s="5"/>
      <c r="F23" s="62">
        <f>AVERAGE(L3:L12)</f>
        <v>656.1</v>
      </c>
      <c r="G23" s="20"/>
      <c r="H23" s="20"/>
      <c r="I23" s="20"/>
      <c r="J23" s="20"/>
      <c r="K23" s="20"/>
      <c r="L23" s="2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</sheetData>
  <mergeCells count="3">
    <mergeCell ref="A1:L1"/>
    <mergeCell ref="C23:E23"/>
    <mergeCell ref="C24:E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3.86"/>
    <col customWidth="1" min="3" max="3" width="8.71"/>
    <col customWidth="1" min="4" max="4" width="24.0"/>
    <col customWidth="1" min="5" max="5" width="12.0"/>
    <col customWidth="1" min="6" max="6" width="8.71"/>
  </cols>
  <sheetData>
    <row r="1" ht="26.25" customHeight="1">
      <c r="A1" s="2" t="s">
        <v>2</v>
      </c>
      <c r="B1" s="4"/>
      <c r="C1" s="6"/>
      <c r="D1" s="6"/>
      <c r="E1" s="6"/>
      <c r="F1" s="9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A2" s="18" t="s">
        <v>11</v>
      </c>
      <c r="B2" s="18" t="s">
        <v>18</v>
      </c>
      <c r="C2" s="2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7">
        <v>1.0</v>
      </c>
      <c r="B3" s="28">
        <v>7.0</v>
      </c>
      <c r="C3" s="2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7">
        <v>2.0</v>
      </c>
      <c r="B4" s="28">
        <v>5.0</v>
      </c>
      <c r="C4" s="2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7">
        <v>3.0</v>
      </c>
      <c r="B5" s="28">
        <v>7.0</v>
      </c>
      <c r="C5" s="2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7">
        <v>4.0</v>
      </c>
      <c r="B6" s="28">
        <v>7.0</v>
      </c>
      <c r="C6" s="20"/>
      <c r="D6" s="34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>
        <v>5.0</v>
      </c>
      <c r="B7" s="28">
        <v>5.0</v>
      </c>
      <c r="C7" s="2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7">
        <v>6.0</v>
      </c>
      <c r="B8" s="28">
        <v>9.0</v>
      </c>
      <c r="C8" s="20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7">
        <v>7.0</v>
      </c>
      <c r="B9" s="28">
        <v>10.0</v>
      </c>
      <c r="C9" s="20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7">
        <v>8.0</v>
      </c>
      <c r="B10" s="28">
        <v>7.0</v>
      </c>
      <c r="C10" s="20"/>
      <c r="D10" s="37" t="s">
        <v>35</v>
      </c>
      <c r="E10" s="39">
        <f>COUNT(B3:B122)</f>
        <v>120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7">
        <v>9.0</v>
      </c>
      <c r="B11" s="28">
        <v>8.0</v>
      </c>
      <c r="C11" s="20"/>
      <c r="D11" s="37" t="s">
        <v>40</v>
      </c>
      <c r="E11" s="35">
        <f>IF(E10=0,"",AVERAGE(B3:B122))</f>
        <v>7.425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7">
        <v>10.0</v>
      </c>
      <c r="B12" s="28">
        <v>4.0</v>
      </c>
      <c r="C12" s="20"/>
      <c r="D12" s="37" t="s">
        <v>44</v>
      </c>
      <c r="E12" s="35">
        <f>IF(E10&lt;2,"",VAR(B3:B122))</f>
        <v>7.540546218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7">
        <v>11.0</v>
      </c>
      <c r="B13" s="28">
        <v>5.0</v>
      </c>
      <c r="C13" s="20"/>
      <c r="D13" s="37" t="s">
        <v>49</v>
      </c>
      <c r="E13" s="35">
        <f>IF(OR(E11="",E12=""),"",IF(E11=0,"",E12/E11))</f>
        <v>1.01556178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7">
        <v>12.0</v>
      </c>
      <c r="B14" s="28">
        <v>9.0</v>
      </c>
      <c r="C14" s="20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7">
        <v>13.0</v>
      </c>
      <c r="B15" s="28">
        <v>4.0</v>
      </c>
      <c r="C15" s="20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7">
        <v>14.0</v>
      </c>
      <c r="B16" s="28">
        <v>8.0</v>
      </c>
      <c r="C16" s="20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7">
        <v>15.0</v>
      </c>
      <c r="B17" s="28">
        <v>8.0</v>
      </c>
      <c r="C17" s="20"/>
      <c r="D17" s="47" t="s">
        <v>54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7">
        <v>16.0</v>
      </c>
      <c r="B18" s="28">
        <v>6.0</v>
      </c>
      <c r="C18" s="20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7">
        <v>17.0</v>
      </c>
      <c r="B19" s="28">
        <v>8.0</v>
      </c>
      <c r="C19" s="20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7">
        <v>18.0</v>
      </c>
      <c r="B20" s="28">
        <v>10.0</v>
      </c>
      <c r="C20" s="20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7">
        <v>19.0</v>
      </c>
      <c r="B21" s="28">
        <v>3.0</v>
      </c>
      <c r="C21" s="20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7">
        <v>20.0</v>
      </c>
      <c r="B22" s="28">
        <v>9.0</v>
      </c>
      <c r="C22" s="20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7">
        <v>21.0</v>
      </c>
      <c r="B23" s="28">
        <v>2.0</v>
      </c>
      <c r="C23" s="20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7">
        <v>22.0</v>
      </c>
      <c r="B24" s="28">
        <v>8.0</v>
      </c>
      <c r="C24" s="20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7">
        <v>23.0</v>
      </c>
      <c r="B25" s="28">
        <v>8.0</v>
      </c>
      <c r="C25" s="20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7">
        <v>24.0</v>
      </c>
      <c r="B26" s="28">
        <v>4.0</v>
      </c>
      <c r="C26" s="20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7">
        <v>25.0</v>
      </c>
      <c r="B27" s="28">
        <v>12.0</v>
      </c>
      <c r="C27" s="20"/>
      <c r="D27" s="20"/>
      <c r="E27" s="20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7">
        <v>26.0</v>
      </c>
      <c r="B28" s="28">
        <v>9.0</v>
      </c>
      <c r="C28" s="20"/>
      <c r="D28" s="20"/>
      <c r="E28" s="20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7">
        <v>27.0</v>
      </c>
      <c r="B29" s="28">
        <v>7.0</v>
      </c>
      <c r="C29" s="20"/>
      <c r="D29" s="20"/>
      <c r="E29" s="20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7">
        <v>28.0</v>
      </c>
      <c r="B30" s="28">
        <v>7.0</v>
      </c>
      <c r="C30" s="20"/>
      <c r="D30" s="20"/>
      <c r="E30" s="2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7">
        <v>29.0</v>
      </c>
      <c r="B31" s="28">
        <v>9.0</v>
      </c>
      <c r="C31" s="20"/>
      <c r="D31" s="20"/>
      <c r="E31" s="20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7">
        <v>30.0</v>
      </c>
      <c r="B32" s="28">
        <v>9.0</v>
      </c>
      <c r="C32" s="20"/>
      <c r="D32" s="20"/>
      <c r="E32" s="20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7">
        <v>31.0</v>
      </c>
      <c r="B33" s="28">
        <v>9.0</v>
      </c>
      <c r="C33" s="20"/>
      <c r="D33" s="20"/>
      <c r="E33" s="2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7">
        <v>32.0</v>
      </c>
      <c r="B34" s="28">
        <v>7.0</v>
      </c>
      <c r="C34" s="20"/>
      <c r="D34" s="20"/>
      <c r="E34" s="20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7">
        <v>33.0</v>
      </c>
      <c r="B35" s="28">
        <v>10.0</v>
      </c>
      <c r="C35" s="20"/>
      <c r="D35" s="20"/>
      <c r="E35" s="20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7">
        <v>34.0</v>
      </c>
      <c r="B36" s="28">
        <v>5.0</v>
      </c>
      <c r="C36" s="20"/>
      <c r="D36" s="20"/>
      <c r="E36" s="20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7">
        <v>35.0</v>
      </c>
      <c r="B37" s="28">
        <v>6.0</v>
      </c>
      <c r="C37" s="20"/>
      <c r="D37" s="20"/>
      <c r="E37" s="20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7">
        <v>36.0</v>
      </c>
      <c r="B38" s="28">
        <v>11.0</v>
      </c>
      <c r="C38" s="20"/>
      <c r="D38" s="20"/>
      <c r="E38" s="20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7">
        <v>37.0</v>
      </c>
      <c r="B39" s="28">
        <v>5.0</v>
      </c>
      <c r="C39" s="20"/>
      <c r="D39" s="20"/>
      <c r="E39" s="20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7">
        <v>38.0</v>
      </c>
      <c r="B40" s="28">
        <v>8.0</v>
      </c>
      <c r="C40" s="20"/>
      <c r="D40" s="20"/>
      <c r="E40" s="20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7">
        <v>39.0</v>
      </c>
      <c r="B41" s="28">
        <v>7.0</v>
      </c>
      <c r="C41" s="20"/>
      <c r="D41" s="20"/>
      <c r="E41" s="20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7">
        <v>40.0</v>
      </c>
      <c r="B42" s="28">
        <v>7.0</v>
      </c>
      <c r="C42" s="20"/>
      <c r="D42" s="20"/>
      <c r="E42" s="20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7">
        <v>41.0</v>
      </c>
      <c r="B43" s="28">
        <v>6.0</v>
      </c>
      <c r="C43" s="20"/>
      <c r="D43" s="20"/>
      <c r="E43" s="20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7">
        <v>42.0</v>
      </c>
      <c r="B44" s="28">
        <v>7.0</v>
      </c>
      <c r="C44" s="20"/>
      <c r="D44" s="20"/>
      <c r="E44" s="20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7">
        <v>43.0</v>
      </c>
      <c r="B45" s="28">
        <v>5.0</v>
      </c>
      <c r="C45" s="20"/>
      <c r="D45" s="20"/>
      <c r="E45" s="20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7">
        <v>44.0</v>
      </c>
      <c r="B46" s="28">
        <v>7.0</v>
      </c>
      <c r="C46" s="20"/>
      <c r="D46" s="20"/>
      <c r="E46" s="20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7">
        <v>45.0</v>
      </c>
      <c r="B47" s="28">
        <v>9.0</v>
      </c>
      <c r="C47" s="20"/>
      <c r="D47" s="20"/>
      <c r="E47" s="20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7">
        <v>46.0</v>
      </c>
      <c r="B48" s="28">
        <v>4.0</v>
      </c>
      <c r="C48" s="20"/>
      <c r="D48" s="20"/>
      <c r="E48" s="20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7">
        <v>47.0</v>
      </c>
      <c r="B49" s="28">
        <v>12.0</v>
      </c>
      <c r="C49" s="20"/>
      <c r="D49" s="20"/>
      <c r="E49" s="20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7">
        <v>48.0</v>
      </c>
      <c r="B50" s="28">
        <v>11.0</v>
      </c>
      <c r="C50" s="20"/>
      <c r="D50" s="20"/>
      <c r="E50" s="20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7">
        <v>49.0</v>
      </c>
      <c r="B51" s="28">
        <v>14.0</v>
      </c>
      <c r="C51" s="20"/>
      <c r="D51" s="20"/>
      <c r="E51" s="20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27">
        <v>50.0</v>
      </c>
      <c r="B52" s="28">
        <v>9.0</v>
      </c>
      <c r="C52" s="20"/>
      <c r="D52" s="20"/>
      <c r="E52" s="20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27">
        <v>51.0</v>
      </c>
      <c r="B53" s="28">
        <v>6.0</v>
      </c>
      <c r="C53" s="20"/>
      <c r="D53" s="20"/>
      <c r="E53" s="2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27">
        <v>52.0</v>
      </c>
      <c r="B54" s="28">
        <v>7.0</v>
      </c>
      <c r="C54" s="20"/>
      <c r="D54" s="20"/>
      <c r="E54" s="20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27">
        <v>53.0</v>
      </c>
      <c r="B55" s="28">
        <v>10.0</v>
      </c>
      <c r="C55" s="20"/>
      <c r="D55" s="20"/>
      <c r="E55" s="20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27">
        <v>54.0</v>
      </c>
      <c r="B56" s="28">
        <v>2.0</v>
      </c>
      <c r="C56" s="20"/>
      <c r="D56" s="20"/>
      <c r="E56" s="20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7">
        <v>55.0</v>
      </c>
      <c r="B57" s="28">
        <v>13.0</v>
      </c>
      <c r="C57" s="20"/>
      <c r="D57" s="20"/>
      <c r="E57" s="20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27">
        <v>56.0</v>
      </c>
      <c r="B58" s="28">
        <v>8.0</v>
      </c>
      <c r="C58" s="20"/>
      <c r="D58" s="20"/>
      <c r="E58" s="20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27">
        <v>57.0</v>
      </c>
      <c r="B59" s="28">
        <v>12.0</v>
      </c>
      <c r="C59" s="20"/>
      <c r="D59" s="20"/>
      <c r="E59" s="20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27">
        <v>58.0</v>
      </c>
      <c r="B60" s="28">
        <v>11.0</v>
      </c>
      <c r="C60" s="20"/>
      <c r="D60" s="20"/>
      <c r="E60" s="20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27">
        <v>59.0</v>
      </c>
      <c r="B61" s="28">
        <v>5.0</v>
      </c>
      <c r="C61" s="20"/>
      <c r="D61" s="20"/>
      <c r="E61" s="20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27">
        <v>60.0</v>
      </c>
      <c r="B62" s="28">
        <v>12.0</v>
      </c>
      <c r="C62" s="20"/>
      <c r="D62" s="20"/>
      <c r="E62" s="20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27">
        <v>61.0</v>
      </c>
      <c r="B63" s="28">
        <v>7.0</v>
      </c>
      <c r="C63" s="20"/>
      <c r="D63" s="20"/>
      <c r="E63" s="2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27">
        <v>62.0</v>
      </c>
      <c r="B64" s="28">
        <v>7.0</v>
      </c>
      <c r="C64" s="20"/>
      <c r="D64" s="20"/>
      <c r="E64" s="20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7">
        <v>63.0</v>
      </c>
      <c r="B65" s="28">
        <v>3.0</v>
      </c>
      <c r="C65" s="20"/>
      <c r="D65" s="20"/>
      <c r="E65" s="20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27">
        <v>64.0</v>
      </c>
      <c r="B66" s="28">
        <v>7.0</v>
      </c>
      <c r="C66" s="20"/>
      <c r="D66" s="20"/>
      <c r="E66" s="20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27">
        <v>65.0</v>
      </c>
      <c r="B67" s="28">
        <v>7.0</v>
      </c>
      <c r="C67" s="20"/>
      <c r="D67" s="20"/>
      <c r="E67" s="20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27">
        <v>66.0</v>
      </c>
      <c r="B68" s="28">
        <v>6.0</v>
      </c>
      <c r="C68" s="20"/>
      <c r="D68" s="20"/>
      <c r="E68" s="20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27">
        <v>67.0</v>
      </c>
      <c r="B69" s="28">
        <v>9.0</v>
      </c>
      <c r="C69" s="20"/>
      <c r="D69" s="20"/>
      <c r="E69" s="20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27">
        <v>68.0</v>
      </c>
      <c r="B70" s="28">
        <v>4.0</v>
      </c>
      <c r="C70" s="20"/>
      <c r="D70" s="20"/>
      <c r="E70" s="20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27">
        <v>69.0</v>
      </c>
      <c r="B71" s="28">
        <v>7.0</v>
      </c>
      <c r="C71" s="20"/>
      <c r="D71" s="20"/>
      <c r="E71" s="20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27">
        <v>70.0</v>
      </c>
      <c r="B72" s="28">
        <v>4.0</v>
      </c>
      <c r="C72" s="20"/>
      <c r="D72" s="20"/>
      <c r="E72" s="20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27">
        <v>71.0</v>
      </c>
      <c r="B73" s="28">
        <v>3.0</v>
      </c>
      <c r="C73" s="20"/>
      <c r="D73" s="20"/>
      <c r="E73" s="2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27">
        <v>72.0</v>
      </c>
      <c r="B74" s="28">
        <v>8.0</v>
      </c>
      <c r="C74" s="20"/>
      <c r="D74" s="20"/>
      <c r="E74" s="20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27">
        <v>73.0</v>
      </c>
      <c r="B75" s="28">
        <v>9.0</v>
      </c>
      <c r="C75" s="20"/>
      <c r="D75" s="20"/>
      <c r="E75" s="20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27">
        <v>74.0</v>
      </c>
      <c r="B76" s="28">
        <v>5.0</v>
      </c>
      <c r="C76" s="20"/>
      <c r="D76" s="20"/>
      <c r="E76" s="20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27">
        <v>75.0</v>
      </c>
      <c r="B77" s="28">
        <v>6.0</v>
      </c>
      <c r="C77" s="20"/>
      <c r="D77" s="20"/>
      <c r="E77" s="20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27">
        <v>76.0</v>
      </c>
      <c r="B78" s="28">
        <v>5.0</v>
      </c>
      <c r="C78" s="20"/>
      <c r="D78" s="20"/>
      <c r="E78" s="20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27">
        <v>77.0</v>
      </c>
      <c r="B79" s="28">
        <v>12.0</v>
      </c>
      <c r="C79" s="20"/>
      <c r="D79" s="20"/>
      <c r="E79" s="20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27">
        <v>78.0</v>
      </c>
      <c r="B80" s="28">
        <v>4.0</v>
      </c>
      <c r="C80" s="20"/>
      <c r="D80" s="20"/>
      <c r="E80" s="20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27">
        <v>79.0</v>
      </c>
      <c r="B81" s="28">
        <v>9.0</v>
      </c>
      <c r="C81" s="20"/>
      <c r="D81" s="20"/>
      <c r="E81" s="20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27">
        <v>80.0</v>
      </c>
      <c r="B82" s="28">
        <v>9.0</v>
      </c>
      <c r="C82" s="20"/>
      <c r="D82" s="20"/>
      <c r="E82" s="20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27">
        <v>81.0</v>
      </c>
      <c r="B83" s="28">
        <v>7.0</v>
      </c>
      <c r="C83" s="20"/>
      <c r="D83" s="20"/>
      <c r="E83" s="2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27">
        <v>82.0</v>
      </c>
      <c r="B84" s="28">
        <v>8.0</v>
      </c>
      <c r="C84" s="20"/>
      <c r="D84" s="20"/>
      <c r="E84" s="20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27">
        <v>83.0</v>
      </c>
      <c r="B85" s="28">
        <v>7.0</v>
      </c>
      <c r="C85" s="20"/>
      <c r="D85" s="20"/>
      <c r="E85" s="20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27">
        <v>84.0</v>
      </c>
      <c r="B86" s="28">
        <v>12.0</v>
      </c>
      <c r="C86" s="20"/>
      <c r="D86" s="20"/>
      <c r="E86" s="20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27">
        <v>85.0</v>
      </c>
      <c r="B87" s="28">
        <v>8.0</v>
      </c>
      <c r="C87" s="20"/>
      <c r="D87" s="20"/>
      <c r="E87" s="20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27">
        <v>86.0</v>
      </c>
      <c r="B88" s="28">
        <v>7.0</v>
      </c>
      <c r="C88" s="20"/>
      <c r="D88" s="20"/>
      <c r="E88" s="20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27">
        <v>87.0</v>
      </c>
      <c r="B89" s="28">
        <v>6.0</v>
      </c>
      <c r="C89" s="20"/>
      <c r="D89" s="20"/>
      <c r="E89" s="20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27">
        <v>88.0</v>
      </c>
      <c r="B90" s="28">
        <v>6.0</v>
      </c>
      <c r="C90" s="20"/>
      <c r="D90" s="20"/>
      <c r="E90" s="20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27">
        <v>89.0</v>
      </c>
      <c r="B91" s="28">
        <v>4.0</v>
      </c>
      <c r="C91" s="20"/>
      <c r="D91" s="20"/>
      <c r="E91" s="20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27">
        <v>90.0</v>
      </c>
      <c r="B92" s="28">
        <v>11.0</v>
      </c>
      <c r="C92" s="20"/>
      <c r="D92" s="20"/>
      <c r="E92" s="20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27">
        <v>91.0</v>
      </c>
      <c r="B93" s="28">
        <v>5.0</v>
      </c>
      <c r="C93" s="20"/>
      <c r="D93" s="20"/>
      <c r="E93" s="2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27">
        <v>92.0</v>
      </c>
      <c r="B94" s="28">
        <v>5.0</v>
      </c>
      <c r="C94" s="20"/>
      <c r="D94" s="20"/>
      <c r="E94" s="20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27">
        <v>93.0</v>
      </c>
      <c r="B95" s="28">
        <v>5.0</v>
      </c>
      <c r="C95" s="20"/>
      <c r="D95" s="20"/>
      <c r="E95" s="20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27">
        <v>94.0</v>
      </c>
      <c r="B96" s="28">
        <v>3.0</v>
      </c>
      <c r="C96" s="20"/>
      <c r="D96" s="20"/>
      <c r="E96" s="20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27">
        <v>95.0</v>
      </c>
      <c r="B97" s="28">
        <v>5.0</v>
      </c>
      <c r="C97" s="20"/>
      <c r="D97" s="20"/>
      <c r="E97" s="20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27">
        <v>96.0</v>
      </c>
      <c r="B98" s="28">
        <v>14.0</v>
      </c>
      <c r="C98" s="20"/>
      <c r="D98" s="20"/>
      <c r="E98" s="20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27">
        <v>97.0</v>
      </c>
      <c r="B99" s="28">
        <v>10.0</v>
      </c>
      <c r="C99" s="20"/>
      <c r="D99" s="20"/>
      <c r="E99" s="20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27">
        <v>98.0</v>
      </c>
      <c r="B100" s="28">
        <v>13.0</v>
      </c>
      <c r="C100" s="20"/>
      <c r="D100" s="20"/>
      <c r="E100" s="20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27">
        <v>99.0</v>
      </c>
      <c r="B101" s="28">
        <v>9.0</v>
      </c>
      <c r="C101" s="20"/>
      <c r="D101" s="20"/>
      <c r="E101" s="20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27">
        <v>100.0</v>
      </c>
      <c r="B102" s="28">
        <v>4.0</v>
      </c>
      <c r="C102" s="20"/>
      <c r="D102" s="20"/>
      <c r="E102" s="20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27">
        <v>101.0</v>
      </c>
      <c r="B103" s="28">
        <v>13.0</v>
      </c>
      <c r="C103" s="20"/>
      <c r="D103" s="20"/>
      <c r="E103" s="20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27">
        <v>102.0</v>
      </c>
      <c r="B104" s="28">
        <v>12.0</v>
      </c>
      <c r="C104" s="20"/>
      <c r="D104" s="20"/>
      <c r="E104" s="20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27">
        <v>103.0</v>
      </c>
      <c r="B105" s="28">
        <v>5.0</v>
      </c>
      <c r="C105" s="20"/>
      <c r="D105" s="20"/>
      <c r="E105" s="20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27">
        <v>104.0</v>
      </c>
      <c r="B106" s="28">
        <v>6.0</v>
      </c>
      <c r="C106" s="20"/>
      <c r="D106" s="20"/>
      <c r="E106" s="20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27">
        <v>105.0</v>
      </c>
      <c r="B107" s="28">
        <v>11.0</v>
      </c>
      <c r="C107" s="20"/>
      <c r="D107" s="20"/>
      <c r="E107" s="20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27">
        <v>106.0</v>
      </c>
      <c r="B108" s="28">
        <v>6.0</v>
      </c>
      <c r="C108" s="20"/>
      <c r="D108" s="20"/>
      <c r="E108" s="20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27">
        <v>107.0</v>
      </c>
      <c r="B109" s="28">
        <v>11.0</v>
      </c>
      <c r="C109" s="20"/>
      <c r="D109" s="20"/>
      <c r="E109" s="20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27">
        <v>108.0</v>
      </c>
      <c r="B110" s="28">
        <v>5.0</v>
      </c>
      <c r="C110" s="20"/>
      <c r="D110" s="20"/>
      <c r="E110" s="20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27">
        <v>109.0</v>
      </c>
      <c r="B111" s="28">
        <v>7.0</v>
      </c>
      <c r="C111" s="20"/>
      <c r="D111" s="20"/>
      <c r="E111" s="20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27">
        <v>110.0</v>
      </c>
      <c r="B112" s="28">
        <v>8.0</v>
      </c>
      <c r="C112" s="20"/>
      <c r="D112" s="20"/>
      <c r="E112" s="20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27">
        <v>111.0</v>
      </c>
      <c r="B113" s="28">
        <v>7.0</v>
      </c>
      <c r="C113" s="20"/>
      <c r="D113" s="20"/>
      <c r="E113" s="20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27">
        <v>112.0</v>
      </c>
      <c r="B114" s="28">
        <v>3.0</v>
      </c>
      <c r="C114" s="20"/>
      <c r="D114" s="20"/>
      <c r="E114" s="20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27">
        <v>113.0</v>
      </c>
      <c r="B115" s="28">
        <v>10.0</v>
      </c>
      <c r="C115" s="20"/>
      <c r="D115" s="20"/>
      <c r="E115" s="20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27">
        <v>114.0</v>
      </c>
      <c r="B116" s="28">
        <v>5.0</v>
      </c>
      <c r="C116" s="20"/>
      <c r="D116" s="20"/>
      <c r="E116" s="20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27">
        <v>115.0</v>
      </c>
      <c r="B117" s="28">
        <v>11.0</v>
      </c>
      <c r="C117" s="20"/>
      <c r="D117" s="20"/>
      <c r="E117" s="20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27">
        <v>116.0</v>
      </c>
      <c r="B118" s="28">
        <v>4.0</v>
      </c>
      <c r="C118" s="20"/>
      <c r="D118" s="20"/>
      <c r="E118" s="20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27">
        <v>117.0</v>
      </c>
      <c r="B119" s="28">
        <v>5.0</v>
      </c>
      <c r="C119" s="20"/>
      <c r="D119" s="20"/>
      <c r="E119" s="20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27">
        <v>118.0</v>
      </c>
      <c r="B120" s="28">
        <v>6.0</v>
      </c>
      <c r="C120" s="20"/>
      <c r="D120" s="20"/>
      <c r="E120" s="20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27">
        <v>119.0</v>
      </c>
      <c r="B121" s="28">
        <v>9.0</v>
      </c>
      <c r="C121" s="20"/>
      <c r="D121" s="20"/>
      <c r="E121" s="20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27">
        <v>120.0</v>
      </c>
      <c r="B122" s="28">
        <v>8.0</v>
      </c>
      <c r="C122" s="20"/>
      <c r="D122" s="63" t="s">
        <v>67</v>
      </c>
      <c r="E122" s="20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64"/>
      <c r="B123" s="65"/>
      <c r="C123" s="20"/>
      <c r="D123" s="63"/>
      <c r="E123" s="20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64"/>
      <c r="B124" s="65"/>
      <c r="C124" s="20"/>
      <c r="D124" s="63"/>
      <c r="E124" s="20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64"/>
      <c r="B125" s="65"/>
      <c r="C125" s="20"/>
      <c r="D125" s="63"/>
      <c r="E125" s="20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64"/>
      <c r="B126" s="65"/>
      <c r="C126" s="20"/>
      <c r="D126" s="63"/>
      <c r="E126" s="20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64"/>
      <c r="B127" s="65"/>
      <c r="C127" s="20"/>
      <c r="D127" s="63"/>
      <c r="E127" s="20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64"/>
      <c r="B128" s="65"/>
      <c r="C128" s="20"/>
      <c r="D128" s="63"/>
      <c r="E128" s="20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64"/>
      <c r="B129" s="65"/>
      <c r="C129" s="20"/>
      <c r="D129" s="63"/>
      <c r="E129" s="20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4"/>
      <c r="B130" s="65"/>
      <c r="C130" s="20"/>
      <c r="D130" s="63"/>
      <c r="E130" s="20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64"/>
      <c r="B131" s="65"/>
      <c r="C131" s="20"/>
      <c r="D131" s="63"/>
      <c r="E131" s="20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64"/>
      <c r="B132" s="65"/>
      <c r="C132" s="20"/>
      <c r="D132" s="63"/>
      <c r="E132" s="20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64"/>
      <c r="B133" s="65"/>
      <c r="C133" s="20"/>
      <c r="D133" s="63"/>
      <c r="E133" s="20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64"/>
      <c r="B134" s="65"/>
      <c r="C134" s="20"/>
      <c r="D134" s="63"/>
      <c r="E134" s="20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64"/>
      <c r="B135" s="65"/>
      <c r="C135" s="20"/>
      <c r="D135" s="63"/>
      <c r="E135" s="20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64"/>
      <c r="B136" s="65"/>
      <c r="C136" s="20"/>
      <c r="D136" s="63"/>
      <c r="E136" s="20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64"/>
      <c r="B137" s="65"/>
      <c r="C137" s="20"/>
      <c r="D137" s="63"/>
      <c r="E137" s="20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64"/>
      <c r="B138" s="65"/>
      <c r="C138" s="20"/>
      <c r="D138" s="63"/>
      <c r="E138" s="20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64"/>
      <c r="B139" s="65"/>
      <c r="C139" s="20"/>
      <c r="D139" s="63"/>
      <c r="E139" s="20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64"/>
      <c r="B140" s="65"/>
      <c r="C140" s="20"/>
      <c r="D140" s="63"/>
      <c r="E140" s="20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64"/>
      <c r="B141" s="65"/>
      <c r="C141" s="20"/>
      <c r="D141" s="63"/>
      <c r="E141" s="20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4"/>
      <c r="B142" s="65"/>
      <c r="C142" s="20"/>
      <c r="D142" s="63"/>
      <c r="E142" s="20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64"/>
      <c r="B143" s="65"/>
      <c r="C143" s="20"/>
      <c r="D143" s="63"/>
      <c r="E143" s="20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64"/>
      <c r="B144" s="65"/>
      <c r="C144" s="20"/>
      <c r="D144" s="63"/>
      <c r="E144" s="20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</sheetData>
  <mergeCells count="3">
    <mergeCell ref="A1:B1"/>
    <mergeCell ref="D6:E8"/>
    <mergeCell ref="D17:E2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.0"/>
    <col customWidth="1" min="3" max="3" width="12.0"/>
    <col customWidth="1" min="4" max="4" width="13.0"/>
    <col customWidth="1" min="5" max="5" width="20.0"/>
    <col customWidth="1" min="6" max="6" width="25.14"/>
    <col customWidth="1" min="7" max="7" width="12.71"/>
    <col customWidth="1" min="8" max="8" width="38.0"/>
    <col customWidth="1" min="9" max="9" width="12.0"/>
    <col customWidth="1" min="10" max="27" width="8.71"/>
  </cols>
  <sheetData>
    <row r="1" ht="26.25" customHeight="1">
      <c r="A1" s="1"/>
      <c r="B1" s="7" t="s">
        <v>3</v>
      </c>
      <c r="C1" s="5"/>
      <c r="D1" s="5"/>
      <c r="E1" s="5"/>
      <c r="F1" s="4"/>
      <c r="G1" s="8"/>
      <c r="H1" s="8"/>
      <c r="I1" s="8"/>
    </row>
    <row r="2">
      <c r="A2" s="12"/>
      <c r="B2" s="14" t="s">
        <v>5</v>
      </c>
      <c r="C2" s="14" t="s">
        <v>6</v>
      </c>
      <c r="D2" s="14" t="s">
        <v>7</v>
      </c>
      <c r="E2" s="14" t="s">
        <v>8</v>
      </c>
      <c r="F2" s="17" t="s">
        <v>13</v>
      </c>
      <c r="G2" s="8"/>
    </row>
    <row r="3">
      <c r="A3" s="19"/>
      <c r="B3" s="21">
        <v>1.0</v>
      </c>
      <c r="C3" s="23">
        <v>46258.0</v>
      </c>
      <c r="D3" s="26">
        <v>0.376088287037037</v>
      </c>
      <c r="E3" s="26">
        <v>0.3756633217592593</v>
      </c>
      <c r="F3" s="33">
        <f t="shared" ref="F3:F883" si="1">(D3-E3)*1440</f>
        <v>0.61195</v>
      </c>
      <c r="G3" s="8"/>
    </row>
    <row r="4">
      <c r="A4" s="19"/>
      <c r="B4" s="21">
        <v>2.0</v>
      </c>
      <c r="C4" s="23">
        <v>46258.0</v>
      </c>
      <c r="D4" s="26">
        <v>0.3762401041666666</v>
      </c>
      <c r="E4" s="26">
        <v>0.376088287037037</v>
      </c>
      <c r="F4" s="33">
        <f t="shared" si="1"/>
        <v>0.2186166667</v>
      </c>
      <c r="G4" s="8"/>
    </row>
    <row r="5">
      <c r="A5" s="19"/>
      <c r="B5" s="21">
        <v>3.0</v>
      </c>
      <c r="C5" s="23">
        <v>46258.0</v>
      </c>
      <c r="D5" s="26">
        <v>0.3762401967592592</v>
      </c>
      <c r="E5" s="26">
        <v>0.3762401041666666</v>
      </c>
      <c r="F5" s="33">
        <f t="shared" si="1"/>
        <v>0.0001333333333</v>
      </c>
      <c r="G5" s="8"/>
    </row>
    <row r="6">
      <c r="A6" s="19"/>
      <c r="B6" s="21">
        <v>4.0</v>
      </c>
      <c r="C6" s="23">
        <v>46258.0</v>
      </c>
      <c r="D6" s="26">
        <v>0.3769295601851852</v>
      </c>
      <c r="E6" s="26">
        <v>0.3762401967592592</v>
      </c>
      <c r="F6" s="33">
        <f t="shared" si="1"/>
        <v>0.9926833333</v>
      </c>
      <c r="G6" s="8"/>
    </row>
    <row r="7">
      <c r="A7" s="19"/>
      <c r="B7" s="21">
        <v>5.0</v>
      </c>
      <c r="C7" s="23">
        <v>46258.0</v>
      </c>
      <c r="D7" s="26">
        <v>0.3780800462962963</v>
      </c>
      <c r="E7" s="26">
        <v>0.3769295601851852</v>
      </c>
      <c r="F7" s="33">
        <f t="shared" si="1"/>
        <v>1.6567</v>
      </c>
      <c r="G7" s="8"/>
      <c r="H7" s="8"/>
      <c r="I7" s="8"/>
    </row>
    <row r="8">
      <c r="A8" s="19"/>
      <c r="B8" s="21">
        <v>6.0</v>
      </c>
      <c r="C8" s="23">
        <v>46258.0</v>
      </c>
      <c r="D8" s="26">
        <v>0.3782813425925926</v>
      </c>
      <c r="E8" s="26">
        <v>0.3780800462962963</v>
      </c>
      <c r="F8" s="33">
        <f t="shared" si="1"/>
        <v>0.2898666667</v>
      </c>
      <c r="G8" s="8"/>
      <c r="I8" s="8"/>
    </row>
    <row r="9">
      <c r="A9" s="19"/>
      <c r="B9" s="21">
        <v>7.0</v>
      </c>
      <c r="C9" s="23">
        <v>46258.0</v>
      </c>
      <c r="D9" s="26">
        <v>0.3789669791666667</v>
      </c>
      <c r="E9" s="26">
        <v>0.3782813425925926</v>
      </c>
      <c r="F9" s="33">
        <f t="shared" si="1"/>
        <v>0.9873166667</v>
      </c>
      <c r="G9" s="8"/>
      <c r="H9" s="8"/>
      <c r="I9" s="8"/>
    </row>
    <row r="10">
      <c r="A10" s="19"/>
      <c r="B10" s="21">
        <v>8.0</v>
      </c>
      <c r="C10" s="23">
        <v>46258.0</v>
      </c>
      <c r="D10" s="26">
        <v>0.3798963657407408</v>
      </c>
      <c r="E10" s="26">
        <v>0.3789669791666667</v>
      </c>
      <c r="F10" s="33">
        <f t="shared" si="1"/>
        <v>1.338316667</v>
      </c>
      <c r="G10" s="8"/>
      <c r="H10" s="8"/>
      <c r="I10" s="8"/>
    </row>
    <row r="11">
      <c r="A11" s="19"/>
      <c r="B11" s="21">
        <v>9.0</v>
      </c>
      <c r="C11" s="23">
        <v>46258.0</v>
      </c>
      <c r="D11" s="26">
        <v>0.3802627083333333</v>
      </c>
      <c r="E11" s="26">
        <v>0.3798963657407408</v>
      </c>
      <c r="F11" s="33">
        <f t="shared" si="1"/>
        <v>0.5275333333</v>
      </c>
      <c r="G11" s="8"/>
      <c r="H11" s="8"/>
      <c r="I11" s="8"/>
    </row>
    <row r="12">
      <c r="A12" s="19"/>
      <c r="B12" s="21">
        <v>10.0</v>
      </c>
      <c r="C12" s="23">
        <v>46258.0</v>
      </c>
      <c r="D12" s="26">
        <v>0.3812923611111111</v>
      </c>
      <c r="E12" s="26">
        <v>0.3802627083333333</v>
      </c>
      <c r="F12" s="33">
        <f t="shared" si="1"/>
        <v>1.4827</v>
      </c>
      <c r="G12" s="8"/>
      <c r="H12" s="38" t="s">
        <v>36</v>
      </c>
      <c r="I12" s="40">
        <f>COUNT(F3:F883)</f>
        <v>881</v>
      </c>
    </row>
    <row r="13">
      <c r="A13" s="19"/>
      <c r="B13" s="21">
        <v>11.0</v>
      </c>
      <c r="C13" s="23">
        <v>46258.0</v>
      </c>
      <c r="D13" s="26">
        <v>0.3817903472222222</v>
      </c>
      <c r="E13" s="26">
        <v>0.3812923611111111</v>
      </c>
      <c r="F13" s="33">
        <f t="shared" si="1"/>
        <v>0.7171</v>
      </c>
      <c r="G13" s="8"/>
      <c r="H13" s="38" t="s">
        <v>38</v>
      </c>
      <c r="I13" s="41">
        <f>AVERAGE(F3:F883)</f>
        <v>0.6680423193</v>
      </c>
    </row>
    <row r="14">
      <c r="A14" s="19"/>
      <c r="B14" s="21">
        <v>12.0</v>
      </c>
      <c r="C14" s="23">
        <v>46258.0</v>
      </c>
      <c r="D14" s="26">
        <v>0.3821291319444445</v>
      </c>
      <c r="E14" s="26">
        <v>0.3817903472222222</v>
      </c>
      <c r="F14" s="33">
        <f t="shared" si="1"/>
        <v>0.48785</v>
      </c>
      <c r="G14" s="8"/>
      <c r="H14" s="38" t="s">
        <v>43</v>
      </c>
      <c r="I14" s="41">
        <f>STDEV(F3:F883)</f>
        <v>0.6492047578</v>
      </c>
    </row>
    <row r="15">
      <c r="A15" s="19"/>
      <c r="B15" s="21">
        <v>13.0</v>
      </c>
      <c r="C15" s="23">
        <v>46258.0</v>
      </c>
      <c r="D15" s="26">
        <v>0.3826188078703703</v>
      </c>
      <c r="E15" s="26">
        <v>0.3821291319444445</v>
      </c>
      <c r="F15" s="33">
        <f t="shared" si="1"/>
        <v>0.7051333333</v>
      </c>
      <c r="G15" s="8"/>
      <c r="H15" s="38" t="s">
        <v>46</v>
      </c>
      <c r="I15" s="41">
        <f>I14/I13</f>
        <v>0.971801844</v>
      </c>
    </row>
    <row r="16">
      <c r="A16" s="19"/>
      <c r="B16" s="21">
        <v>14.0</v>
      </c>
      <c r="C16" s="23">
        <v>46258.0</v>
      </c>
      <c r="D16" s="26">
        <v>0.3830369560185185</v>
      </c>
      <c r="E16" s="26">
        <v>0.3826188078703703</v>
      </c>
      <c r="F16" s="33">
        <f t="shared" si="1"/>
        <v>0.6021333333</v>
      </c>
      <c r="G16" s="8"/>
      <c r="H16" s="42" t="s">
        <v>48</v>
      </c>
      <c r="I16" s="41">
        <f>60/I13</f>
        <v>89.81466932</v>
      </c>
    </row>
    <row r="17">
      <c r="A17" s="19"/>
      <c r="B17" s="21">
        <v>15.0</v>
      </c>
      <c r="C17" s="23">
        <v>46258.0</v>
      </c>
      <c r="D17" s="26">
        <v>0.3841731249999999</v>
      </c>
      <c r="E17" s="26">
        <v>0.3830369560185185</v>
      </c>
      <c r="F17" s="33">
        <f t="shared" si="1"/>
        <v>1.636083333</v>
      </c>
      <c r="G17" s="8"/>
      <c r="H17" s="8"/>
      <c r="I17" s="8"/>
    </row>
    <row r="18">
      <c r="A18" s="19"/>
      <c r="B18" s="21">
        <v>16.0</v>
      </c>
      <c r="C18" s="23">
        <v>46258.0</v>
      </c>
      <c r="D18" s="26">
        <v>0.3844011342592593</v>
      </c>
      <c r="E18" s="26">
        <v>0.3841731249999999</v>
      </c>
      <c r="F18" s="33">
        <f t="shared" si="1"/>
        <v>0.3283333333</v>
      </c>
      <c r="G18" s="8"/>
      <c r="H18" s="8"/>
      <c r="I18" s="8"/>
    </row>
    <row r="19">
      <c r="A19" s="19"/>
      <c r="B19" s="21">
        <v>17.0</v>
      </c>
      <c r="C19" s="23">
        <v>46258.0</v>
      </c>
      <c r="D19" s="26">
        <v>0.3849587384259259</v>
      </c>
      <c r="E19" s="26">
        <v>0.3844011342592593</v>
      </c>
      <c r="F19" s="33">
        <f t="shared" si="1"/>
        <v>0.80295</v>
      </c>
      <c r="G19" s="8"/>
      <c r="H19" s="8"/>
      <c r="I19" s="8"/>
    </row>
    <row r="20" ht="15.75" customHeight="1">
      <c r="A20" s="19"/>
      <c r="B20" s="21">
        <v>18.0</v>
      </c>
      <c r="C20" s="23">
        <v>46258.0</v>
      </c>
      <c r="D20" s="26">
        <v>0.3853851736111111</v>
      </c>
      <c r="E20" s="26">
        <v>0.3849587384259259</v>
      </c>
      <c r="F20" s="33">
        <f t="shared" si="1"/>
        <v>0.6140666667</v>
      </c>
      <c r="G20" s="8"/>
      <c r="H20" s="8"/>
      <c r="I20" s="8"/>
    </row>
    <row r="21" ht="15.75" customHeight="1">
      <c r="A21" s="19"/>
      <c r="B21" s="21">
        <v>19.0</v>
      </c>
      <c r="C21" s="23">
        <v>46258.0</v>
      </c>
      <c r="D21" s="26">
        <v>0.3862750115740741</v>
      </c>
      <c r="E21" s="26">
        <v>0.3853851736111111</v>
      </c>
      <c r="F21" s="33">
        <f t="shared" si="1"/>
        <v>1.281366667</v>
      </c>
      <c r="G21" s="8"/>
      <c r="H21" s="8"/>
      <c r="I21" s="8"/>
    </row>
    <row r="22" ht="15.75" customHeight="1">
      <c r="A22" s="19"/>
      <c r="B22" s="21">
        <v>20.0</v>
      </c>
      <c r="C22" s="23">
        <v>46258.0</v>
      </c>
      <c r="D22" s="26">
        <v>0.3863387615740741</v>
      </c>
      <c r="E22" s="26">
        <v>0.3862750115740741</v>
      </c>
      <c r="F22" s="33">
        <f t="shared" si="1"/>
        <v>0.0918</v>
      </c>
      <c r="G22" s="8"/>
      <c r="H22" s="8"/>
      <c r="I22" s="8"/>
    </row>
    <row r="23" ht="15.75" customHeight="1">
      <c r="A23" s="19"/>
      <c r="B23" s="21">
        <v>21.0</v>
      </c>
      <c r="C23" s="23">
        <v>46258.0</v>
      </c>
      <c r="D23" s="26">
        <v>0.3865787268518519</v>
      </c>
      <c r="E23" s="26">
        <v>0.3863387615740741</v>
      </c>
      <c r="F23" s="33">
        <f t="shared" si="1"/>
        <v>0.34555</v>
      </c>
      <c r="G23" s="8"/>
      <c r="H23" s="8"/>
      <c r="I23" s="8"/>
    </row>
    <row r="24" ht="15.75" customHeight="1">
      <c r="A24" s="19"/>
      <c r="B24" s="21">
        <v>22.0</v>
      </c>
      <c r="C24" s="23">
        <v>46258.0</v>
      </c>
      <c r="D24" s="26">
        <v>0.3872939930555556</v>
      </c>
      <c r="E24" s="26">
        <v>0.3865787268518519</v>
      </c>
      <c r="F24" s="33">
        <f t="shared" si="1"/>
        <v>1.029983333</v>
      </c>
      <c r="G24" s="8"/>
      <c r="H24" s="8"/>
      <c r="I24" s="8"/>
    </row>
    <row r="25" ht="15.75" customHeight="1">
      <c r="A25" s="19"/>
      <c r="B25" s="21">
        <v>23.0</v>
      </c>
      <c r="C25" s="23">
        <v>46258.0</v>
      </c>
      <c r="D25" s="26">
        <v>0.3875367476851852</v>
      </c>
      <c r="E25" s="26">
        <v>0.3872939930555556</v>
      </c>
      <c r="F25" s="33">
        <f t="shared" si="1"/>
        <v>0.3495666667</v>
      </c>
      <c r="G25" s="8"/>
      <c r="H25" s="8"/>
      <c r="I25" s="8"/>
    </row>
    <row r="26" ht="15.75" customHeight="1">
      <c r="A26" s="19"/>
      <c r="B26" s="21">
        <v>24.0</v>
      </c>
      <c r="C26" s="23">
        <v>46258.0</v>
      </c>
      <c r="D26" s="26">
        <v>0.3886056018518518</v>
      </c>
      <c r="E26" s="26">
        <v>0.3875367476851852</v>
      </c>
      <c r="F26" s="33">
        <f t="shared" si="1"/>
        <v>1.53915</v>
      </c>
      <c r="G26" s="8"/>
      <c r="H26" s="8"/>
      <c r="I26" s="8"/>
    </row>
    <row r="27" ht="15.75" customHeight="1">
      <c r="A27" s="19"/>
      <c r="B27" s="21">
        <v>25.0</v>
      </c>
      <c r="C27" s="23">
        <v>46258.0</v>
      </c>
      <c r="D27" s="26">
        <v>0.3887453819444445</v>
      </c>
      <c r="E27" s="26">
        <v>0.3886056018518518</v>
      </c>
      <c r="F27" s="33">
        <f t="shared" si="1"/>
        <v>0.2012833333</v>
      </c>
      <c r="G27" s="8"/>
      <c r="H27" s="8"/>
      <c r="I27" s="8"/>
    </row>
    <row r="28" ht="15.75" customHeight="1">
      <c r="A28" s="19"/>
      <c r="B28" s="21">
        <v>26.0</v>
      </c>
      <c r="C28" s="23">
        <v>46258.0</v>
      </c>
      <c r="D28" s="26">
        <v>0.3907702430555555</v>
      </c>
      <c r="E28" s="26">
        <v>0.3887453819444445</v>
      </c>
      <c r="F28" s="33">
        <f t="shared" si="1"/>
        <v>2.9158</v>
      </c>
      <c r="G28" s="8"/>
      <c r="H28" s="8"/>
      <c r="I28" s="8"/>
    </row>
    <row r="29" ht="15.75" customHeight="1">
      <c r="A29" s="19"/>
      <c r="B29" s="21">
        <v>27.0</v>
      </c>
      <c r="C29" s="23">
        <v>46258.0</v>
      </c>
      <c r="D29" s="26">
        <v>0.3908385532407407</v>
      </c>
      <c r="E29" s="26">
        <v>0.3907702430555555</v>
      </c>
      <c r="F29" s="33">
        <f t="shared" si="1"/>
        <v>0.09836666667</v>
      </c>
      <c r="G29" s="8"/>
      <c r="H29" s="8"/>
      <c r="I29" s="8"/>
    </row>
    <row r="30" ht="15.75" customHeight="1">
      <c r="A30" s="19"/>
      <c r="B30" s="21">
        <v>28.0</v>
      </c>
      <c r="C30" s="23">
        <v>46258.0</v>
      </c>
      <c r="D30" s="26">
        <v>0.3912939814814815</v>
      </c>
      <c r="E30" s="26">
        <v>0.3908385532407407</v>
      </c>
      <c r="F30" s="33">
        <f t="shared" si="1"/>
        <v>0.6558166667</v>
      </c>
      <c r="G30" s="8"/>
      <c r="H30" s="8"/>
      <c r="I30" s="8"/>
    </row>
    <row r="31" ht="15.75" customHeight="1">
      <c r="A31" s="19"/>
      <c r="B31" s="21">
        <v>29.0</v>
      </c>
      <c r="C31" s="23">
        <v>46258.0</v>
      </c>
      <c r="D31" s="26">
        <v>0.3913839236111111</v>
      </c>
      <c r="E31" s="26">
        <v>0.3912939814814815</v>
      </c>
      <c r="F31" s="33">
        <f t="shared" si="1"/>
        <v>0.1295166667</v>
      </c>
      <c r="G31" s="8"/>
      <c r="H31" s="8"/>
      <c r="I31" s="8"/>
    </row>
    <row r="32" ht="15.75" customHeight="1">
      <c r="A32" s="19"/>
      <c r="B32" s="21">
        <v>30.0</v>
      </c>
      <c r="C32" s="23">
        <v>46258.0</v>
      </c>
      <c r="D32" s="26">
        <v>0.3922374421296296</v>
      </c>
      <c r="E32" s="26">
        <v>0.3913839236111111</v>
      </c>
      <c r="F32" s="33">
        <f t="shared" si="1"/>
        <v>1.229066667</v>
      </c>
      <c r="G32" s="8"/>
      <c r="H32" s="8"/>
      <c r="I32" s="8"/>
    </row>
    <row r="33" ht="15.75" customHeight="1">
      <c r="A33" s="19"/>
      <c r="B33" s="21">
        <v>31.0</v>
      </c>
      <c r="C33" s="23">
        <v>46258.0</v>
      </c>
      <c r="D33" s="26">
        <v>0.3924869560185185</v>
      </c>
      <c r="E33" s="26">
        <v>0.3922374421296296</v>
      </c>
      <c r="F33" s="33">
        <f t="shared" si="1"/>
        <v>0.3593</v>
      </c>
      <c r="G33" s="8"/>
      <c r="H33" s="8"/>
      <c r="I33" s="8"/>
    </row>
    <row r="34" ht="15.75" customHeight="1">
      <c r="A34" s="19"/>
      <c r="B34" s="21">
        <v>32.0</v>
      </c>
      <c r="C34" s="23">
        <v>46258.0</v>
      </c>
      <c r="D34" s="26">
        <v>0.392571087962963</v>
      </c>
      <c r="E34" s="26">
        <v>0.3924869560185185</v>
      </c>
      <c r="F34" s="33">
        <f t="shared" si="1"/>
        <v>0.12115</v>
      </c>
      <c r="G34" s="8"/>
      <c r="H34" s="8"/>
      <c r="I34" s="8"/>
    </row>
    <row r="35" ht="15.75" customHeight="1">
      <c r="A35" s="19"/>
      <c r="B35" s="21">
        <v>33.0</v>
      </c>
      <c r="C35" s="23">
        <v>46258.0</v>
      </c>
      <c r="D35" s="26">
        <v>0.3933478356481481</v>
      </c>
      <c r="E35" s="26">
        <v>0.392571087962963</v>
      </c>
      <c r="F35" s="33">
        <f t="shared" si="1"/>
        <v>1.118516667</v>
      </c>
      <c r="G35" s="8"/>
      <c r="H35" s="8"/>
      <c r="I35" s="8"/>
    </row>
    <row r="36" ht="15.75" customHeight="1">
      <c r="A36" s="19"/>
      <c r="B36" s="21">
        <v>34.0</v>
      </c>
      <c r="C36" s="23">
        <v>46258.0</v>
      </c>
      <c r="D36" s="26">
        <v>0.3939188541666667</v>
      </c>
      <c r="E36" s="26">
        <v>0.3933478356481481</v>
      </c>
      <c r="F36" s="33">
        <f t="shared" si="1"/>
        <v>0.8222666667</v>
      </c>
      <c r="G36" s="8"/>
      <c r="H36" s="8"/>
      <c r="I36" s="8"/>
    </row>
    <row r="37" ht="15.75" customHeight="1">
      <c r="A37" s="19"/>
      <c r="B37" s="21">
        <v>35.0</v>
      </c>
      <c r="C37" s="23">
        <v>46258.0</v>
      </c>
      <c r="D37" s="26">
        <v>0.3942417939814815</v>
      </c>
      <c r="E37" s="26">
        <v>0.3939188541666667</v>
      </c>
      <c r="F37" s="33">
        <f t="shared" si="1"/>
        <v>0.4650333333</v>
      </c>
      <c r="G37" s="8"/>
      <c r="H37" s="8"/>
      <c r="I37" s="8"/>
    </row>
    <row r="38" ht="15.75" customHeight="1">
      <c r="A38" s="19"/>
      <c r="B38" s="21">
        <v>36.0</v>
      </c>
      <c r="C38" s="23">
        <v>46258.0</v>
      </c>
      <c r="D38" s="26">
        <v>0.3948571875</v>
      </c>
      <c r="E38" s="26">
        <v>0.3942417939814815</v>
      </c>
      <c r="F38" s="33">
        <f t="shared" si="1"/>
        <v>0.8861666667</v>
      </c>
      <c r="G38" s="8"/>
      <c r="H38" s="8"/>
      <c r="I38" s="8"/>
    </row>
    <row r="39" ht="15.75" customHeight="1">
      <c r="A39" s="19"/>
      <c r="B39" s="21">
        <v>37.0</v>
      </c>
      <c r="C39" s="23">
        <v>46258.0</v>
      </c>
      <c r="D39" s="26">
        <v>0.3954725462962963</v>
      </c>
      <c r="E39" s="26">
        <v>0.3948571875</v>
      </c>
      <c r="F39" s="33">
        <f t="shared" si="1"/>
        <v>0.8861166667</v>
      </c>
      <c r="G39" s="8"/>
      <c r="H39" s="8"/>
      <c r="I39" s="8"/>
    </row>
    <row r="40" ht="15.75" customHeight="1">
      <c r="A40" s="19"/>
      <c r="B40" s="21">
        <v>38.0</v>
      </c>
      <c r="C40" s="23">
        <v>46258.0</v>
      </c>
      <c r="D40" s="26">
        <v>0.3957275925925926</v>
      </c>
      <c r="E40" s="26">
        <v>0.3954725462962963</v>
      </c>
      <c r="F40" s="33">
        <f t="shared" si="1"/>
        <v>0.3672666667</v>
      </c>
      <c r="G40" s="8"/>
      <c r="H40" s="8"/>
      <c r="I40" s="8"/>
    </row>
    <row r="41" ht="15.75" customHeight="1">
      <c r="A41" s="19"/>
      <c r="B41" s="21">
        <v>39.0</v>
      </c>
      <c r="C41" s="23">
        <v>46258.0</v>
      </c>
      <c r="D41" s="26">
        <v>0.3958000347222222</v>
      </c>
      <c r="E41" s="26">
        <v>0.3957275925925926</v>
      </c>
      <c r="F41" s="33">
        <f t="shared" si="1"/>
        <v>0.1043166667</v>
      </c>
      <c r="G41" s="8"/>
      <c r="H41" s="8"/>
      <c r="I41" s="8"/>
    </row>
    <row r="42" ht="15.75" customHeight="1">
      <c r="A42" s="19"/>
      <c r="B42" s="21">
        <v>40.0</v>
      </c>
      <c r="C42" s="23">
        <v>46258.0</v>
      </c>
      <c r="D42" s="26">
        <v>0.395835787037037</v>
      </c>
      <c r="E42" s="26">
        <v>0.3958000347222222</v>
      </c>
      <c r="F42" s="33">
        <f t="shared" si="1"/>
        <v>0.05148333333</v>
      </c>
      <c r="G42" s="8"/>
      <c r="H42" s="8"/>
      <c r="I42" s="8"/>
    </row>
    <row r="43" ht="15.75" customHeight="1">
      <c r="A43" s="19"/>
      <c r="B43" s="21">
        <v>41.0</v>
      </c>
      <c r="C43" s="23">
        <v>46258.0</v>
      </c>
      <c r="D43" s="26">
        <v>0.3959558912037037</v>
      </c>
      <c r="E43" s="26">
        <v>0.395835787037037</v>
      </c>
      <c r="F43" s="33">
        <f t="shared" si="1"/>
        <v>0.17295</v>
      </c>
      <c r="G43" s="8"/>
      <c r="H43" s="8"/>
      <c r="I43" s="8"/>
    </row>
    <row r="44" ht="15.75" customHeight="1">
      <c r="A44" s="19"/>
      <c r="B44" s="21">
        <v>42.0</v>
      </c>
      <c r="C44" s="23">
        <v>46258.0</v>
      </c>
      <c r="D44" s="26">
        <v>0.3960115740740741</v>
      </c>
      <c r="E44" s="26">
        <v>0.3959558912037037</v>
      </c>
      <c r="F44" s="33">
        <f t="shared" si="1"/>
        <v>0.08018333333</v>
      </c>
      <c r="G44" s="8"/>
      <c r="H44" s="8"/>
      <c r="I44" s="8"/>
    </row>
    <row r="45" ht="15.75" customHeight="1">
      <c r="A45" s="19"/>
      <c r="B45" s="21">
        <v>43.0</v>
      </c>
      <c r="C45" s="23">
        <v>46258.0</v>
      </c>
      <c r="D45" s="26">
        <v>0.396701550925926</v>
      </c>
      <c r="E45" s="26">
        <v>0.3960115740740741</v>
      </c>
      <c r="F45" s="33">
        <f t="shared" si="1"/>
        <v>0.9935666667</v>
      </c>
      <c r="G45" s="8"/>
      <c r="H45" s="8"/>
      <c r="I45" s="8"/>
    </row>
    <row r="46" ht="15.75" customHeight="1">
      <c r="A46" s="19"/>
      <c r="B46" s="21">
        <v>44.0</v>
      </c>
      <c r="C46" s="23">
        <v>46258.0</v>
      </c>
      <c r="D46" s="26">
        <v>0.3969949074074074</v>
      </c>
      <c r="E46" s="26">
        <v>0.396701550925926</v>
      </c>
      <c r="F46" s="33">
        <f t="shared" si="1"/>
        <v>0.4224333333</v>
      </c>
      <c r="G46" s="8"/>
      <c r="H46" s="8"/>
      <c r="I46" s="8"/>
    </row>
    <row r="47" ht="15.75" customHeight="1">
      <c r="A47" s="19"/>
      <c r="B47" s="21">
        <v>45.0</v>
      </c>
      <c r="C47" s="23">
        <v>46258.0</v>
      </c>
      <c r="D47" s="26">
        <v>0.397136238425926</v>
      </c>
      <c r="E47" s="26">
        <v>0.3969949074074074</v>
      </c>
      <c r="F47" s="33">
        <f t="shared" si="1"/>
        <v>0.2035166667</v>
      </c>
      <c r="G47" s="8"/>
      <c r="H47" s="8"/>
      <c r="I47" s="8"/>
    </row>
    <row r="48" ht="15.75" customHeight="1">
      <c r="A48" s="19"/>
      <c r="B48" s="21">
        <v>46.0</v>
      </c>
      <c r="C48" s="23">
        <v>46258.0</v>
      </c>
      <c r="D48" s="26">
        <v>0.3972928240740741</v>
      </c>
      <c r="E48" s="26">
        <v>0.397136238425926</v>
      </c>
      <c r="F48" s="33">
        <f t="shared" si="1"/>
        <v>0.2254833333</v>
      </c>
      <c r="G48" s="8"/>
      <c r="H48" s="8"/>
      <c r="I48" s="8"/>
    </row>
    <row r="49" ht="15.75" customHeight="1">
      <c r="A49" s="19"/>
      <c r="B49" s="21">
        <v>47.0</v>
      </c>
      <c r="C49" s="23">
        <v>46258.0</v>
      </c>
      <c r="D49" s="26">
        <v>0.3979772337962963</v>
      </c>
      <c r="E49" s="26">
        <v>0.3972928240740741</v>
      </c>
      <c r="F49" s="33">
        <f t="shared" si="1"/>
        <v>0.98555</v>
      </c>
      <c r="G49" s="8"/>
      <c r="H49" s="8"/>
      <c r="I49" s="8"/>
    </row>
    <row r="50" ht="15.75" customHeight="1">
      <c r="A50" s="19"/>
      <c r="B50" s="21">
        <v>48.0</v>
      </c>
      <c r="C50" s="23">
        <v>46258.0</v>
      </c>
      <c r="D50" s="26">
        <v>0.3983742824074074</v>
      </c>
      <c r="E50" s="26">
        <v>0.3979772337962963</v>
      </c>
      <c r="F50" s="33">
        <f t="shared" si="1"/>
        <v>0.57175</v>
      </c>
      <c r="G50" s="8"/>
      <c r="H50" s="8"/>
      <c r="I50" s="8"/>
    </row>
    <row r="51" ht="15.75" customHeight="1">
      <c r="A51" s="19"/>
      <c r="B51" s="21">
        <v>49.0</v>
      </c>
      <c r="C51" s="23">
        <v>46258.0</v>
      </c>
      <c r="D51" s="26">
        <v>0.3992137615740741</v>
      </c>
      <c r="E51" s="26">
        <v>0.3983742824074074</v>
      </c>
      <c r="F51" s="33">
        <f t="shared" si="1"/>
        <v>1.20885</v>
      </c>
      <c r="G51" s="8"/>
      <c r="H51" s="8"/>
      <c r="I51" s="8"/>
    </row>
    <row r="52" ht="15.75" customHeight="1">
      <c r="A52" s="19"/>
      <c r="B52" s="21">
        <v>50.0</v>
      </c>
      <c r="C52" s="23">
        <v>46258.0</v>
      </c>
      <c r="D52" s="26">
        <v>0.3993184606481481</v>
      </c>
      <c r="E52" s="26">
        <v>0.3992137615740741</v>
      </c>
      <c r="F52" s="33">
        <f t="shared" si="1"/>
        <v>0.1507666667</v>
      </c>
      <c r="G52" s="8"/>
      <c r="H52" s="8"/>
      <c r="I52" s="8"/>
    </row>
    <row r="53" ht="15.75" customHeight="1">
      <c r="A53" s="19"/>
      <c r="B53" s="21">
        <v>51.0</v>
      </c>
      <c r="C53" s="23">
        <v>46258.0</v>
      </c>
      <c r="D53" s="26">
        <v>0.4000461689814815</v>
      </c>
      <c r="E53" s="26">
        <v>0.3993184606481481</v>
      </c>
      <c r="F53" s="33">
        <f t="shared" si="1"/>
        <v>1.0479</v>
      </c>
      <c r="G53" s="8"/>
      <c r="H53" s="8"/>
      <c r="I53" s="8"/>
    </row>
    <row r="54" ht="15.75" customHeight="1">
      <c r="A54" s="19"/>
      <c r="B54" s="21">
        <v>52.0</v>
      </c>
      <c r="C54" s="23">
        <v>46258.0</v>
      </c>
      <c r="D54" s="26">
        <v>0.4004627430555556</v>
      </c>
      <c r="E54" s="26">
        <v>0.4000461689814815</v>
      </c>
      <c r="F54" s="33">
        <f t="shared" si="1"/>
        <v>0.5998666667</v>
      </c>
      <c r="G54" s="8"/>
      <c r="H54" s="8"/>
      <c r="I54" s="8"/>
    </row>
    <row r="55" ht="15.75" customHeight="1">
      <c r="A55" s="19"/>
      <c r="B55" s="21">
        <v>53.0</v>
      </c>
      <c r="C55" s="23">
        <v>46258.0</v>
      </c>
      <c r="D55" s="26">
        <v>0.4006639583333333</v>
      </c>
      <c r="E55" s="26">
        <v>0.4004627430555556</v>
      </c>
      <c r="F55" s="33">
        <f t="shared" si="1"/>
        <v>0.28975</v>
      </c>
      <c r="G55" s="8"/>
      <c r="H55" s="8"/>
      <c r="I55" s="8"/>
    </row>
    <row r="56" ht="15.75" customHeight="1">
      <c r="A56" s="19"/>
      <c r="B56" s="21">
        <v>54.0</v>
      </c>
      <c r="C56" s="23">
        <v>46258.0</v>
      </c>
      <c r="D56" s="26">
        <v>0.4012212037037037</v>
      </c>
      <c r="E56" s="26">
        <v>0.4006639583333333</v>
      </c>
      <c r="F56" s="33">
        <f t="shared" si="1"/>
        <v>0.8024333333</v>
      </c>
      <c r="G56" s="8"/>
      <c r="H56" s="8"/>
      <c r="I56" s="8"/>
    </row>
    <row r="57" ht="15.75" customHeight="1">
      <c r="A57" s="19"/>
      <c r="B57" s="21">
        <v>55.0</v>
      </c>
      <c r="C57" s="23">
        <v>46258.0</v>
      </c>
      <c r="D57" s="26">
        <v>0.4023747800925925</v>
      </c>
      <c r="E57" s="26">
        <v>0.4012212037037037</v>
      </c>
      <c r="F57" s="33">
        <f t="shared" si="1"/>
        <v>1.66115</v>
      </c>
      <c r="G57" s="8"/>
      <c r="H57" s="8"/>
      <c r="I57" s="8"/>
    </row>
    <row r="58" ht="15.75" customHeight="1">
      <c r="A58" s="19"/>
      <c r="B58" s="21">
        <v>56.0</v>
      </c>
      <c r="C58" s="23">
        <v>46258.0</v>
      </c>
      <c r="D58" s="26">
        <v>0.4024045254629629</v>
      </c>
      <c r="E58" s="26">
        <v>0.4023747800925925</v>
      </c>
      <c r="F58" s="33">
        <f t="shared" si="1"/>
        <v>0.04283333333</v>
      </c>
      <c r="G58" s="8"/>
      <c r="H58" s="8"/>
      <c r="I58" s="8"/>
    </row>
    <row r="59" ht="15.75" customHeight="1">
      <c r="A59" s="19"/>
      <c r="B59" s="21">
        <v>57.0</v>
      </c>
      <c r="C59" s="23">
        <v>46258.0</v>
      </c>
      <c r="D59" s="26">
        <v>0.4028261921296296</v>
      </c>
      <c r="E59" s="26">
        <v>0.4024045254629629</v>
      </c>
      <c r="F59" s="33">
        <f t="shared" si="1"/>
        <v>0.6072</v>
      </c>
      <c r="G59" s="8"/>
      <c r="H59" s="8"/>
      <c r="I59" s="8"/>
    </row>
    <row r="60" ht="15.75" customHeight="1">
      <c r="A60" s="19"/>
      <c r="B60" s="21">
        <v>58.0</v>
      </c>
      <c r="C60" s="23">
        <v>46258.0</v>
      </c>
      <c r="D60" s="26">
        <v>0.4028300578703704</v>
      </c>
      <c r="E60" s="26">
        <v>0.4028261921296296</v>
      </c>
      <c r="F60" s="33">
        <f t="shared" si="1"/>
        <v>0.005566666667</v>
      </c>
      <c r="G60" s="8"/>
      <c r="H60" s="8"/>
      <c r="I60" s="8"/>
    </row>
    <row r="61" ht="15.75" customHeight="1">
      <c r="A61" s="19"/>
      <c r="B61" s="21">
        <v>59.0</v>
      </c>
      <c r="C61" s="23">
        <v>46258.0</v>
      </c>
      <c r="D61" s="26">
        <v>0.4030381944444444</v>
      </c>
      <c r="E61" s="26">
        <v>0.4028300578703704</v>
      </c>
      <c r="F61" s="33">
        <f t="shared" si="1"/>
        <v>0.2997166667</v>
      </c>
      <c r="G61" s="8"/>
      <c r="H61" s="8"/>
      <c r="I61" s="8"/>
    </row>
    <row r="62" ht="15.75" customHeight="1">
      <c r="A62" s="19"/>
      <c r="B62" s="21">
        <v>60.0</v>
      </c>
      <c r="C62" s="23">
        <v>46258.0</v>
      </c>
      <c r="D62" s="26">
        <v>0.4039959143518519</v>
      </c>
      <c r="E62" s="26">
        <v>0.4030381944444444</v>
      </c>
      <c r="F62" s="33">
        <f t="shared" si="1"/>
        <v>1.379116667</v>
      </c>
      <c r="G62" s="8"/>
      <c r="H62" s="8"/>
      <c r="I62" s="8"/>
    </row>
    <row r="63" ht="15.75" customHeight="1">
      <c r="A63" s="19"/>
      <c r="B63" s="21">
        <v>61.0</v>
      </c>
      <c r="C63" s="23">
        <v>46258.0</v>
      </c>
      <c r="D63" s="26">
        <v>0.4042996759259259</v>
      </c>
      <c r="E63" s="26">
        <v>0.4039959143518519</v>
      </c>
      <c r="F63" s="33">
        <f t="shared" si="1"/>
        <v>0.4374166667</v>
      </c>
      <c r="G63" s="8"/>
      <c r="H63" s="8"/>
      <c r="I63" s="8"/>
    </row>
    <row r="64" ht="15.75" customHeight="1">
      <c r="A64" s="19"/>
      <c r="B64" s="21">
        <v>62.0</v>
      </c>
      <c r="C64" s="23">
        <v>46258.0</v>
      </c>
      <c r="D64" s="26">
        <v>0.4048146064814815</v>
      </c>
      <c r="E64" s="26">
        <v>0.4042996759259259</v>
      </c>
      <c r="F64" s="33">
        <f t="shared" si="1"/>
        <v>0.7415</v>
      </c>
      <c r="G64" s="8"/>
      <c r="H64" s="8"/>
      <c r="I64" s="8"/>
    </row>
    <row r="65" ht="15.75" customHeight="1">
      <c r="A65" s="19"/>
      <c r="B65" s="21">
        <v>63.0</v>
      </c>
      <c r="C65" s="23">
        <v>46258.0</v>
      </c>
      <c r="D65" s="26">
        <v>0.4050673148148148</v>
      </c>
      <c r="E65" s="26">
        <v>0.4048146064814815</v>
      </c>
      <c r="F65" s="33">
        <f t="shared" si="1"/>
        <v>0.3639</v>
      </c>
      <c r="G65" s="8"/>
      <c r="H65" s="8"/>
      <c r="I65" s="8"/>
    </row>
    <row r="66" ht="15.75" customHeight="1">
      <c r="A66" s="19"/>
      <c r="B66" s="21">
        <v>64.0</v>
      </c>
      <c r="C66" s="23">
        <v>46258.0</v>
      </c>
      <c r="D66" s="26">
        <v>0.405590011574074</v>
      </c>
      <c r="E66" s="26">
        <v>0.4050673148148148</v>
      </c>
      <c r="F66" s="33">
        <f t="shared" si="1"/>
        <v>0.7526833333</v>
      </c>
      <c r="G66" s="8"/>
      <c r="H66" s="8"/>
      <c r="I66" s="8"/>
    </row>
    <row r="67" ht="15.75" customHeight="1">
      <c r="A67" s="19"/>
      <c r="B67" s="21">
        <v>65.0</v>
      </c>
      <c r="C67" s="23">
        <v>46258.0</v>
      </c>
      <c r="D67" s="26">
        <v>0.4063581712962963</v>
      </c>
      <c r="E67" s="26">
        <v>0.405590011574074</v>
      </c>
      <c r="F67" s="33">
        <f t="shared" si="1"/>
        <v>1.10615</v>
      </c>
      <c r="G67" s="8"/>
      <c r="H67" s="8"/>
      <c r="I67" s="8"/>
    </row>
    <row r="68" ht="15.75" customHeight="1">
      <c r="A68" s="19"/>
      <c r="B68" s="21">
        <v>66.0</v>
      </c>
      <c r="C68" s="23">
        <v>46258.0</v>
      </c>
      <c r="D68" s="26">
        <v>0.4068012615740741</v>
      </c>
      <c r="E68" s="26">
        <v>0.4063581712962963</v>
      </c>
      <c r="F68" s="33">
        <f t="shared" si="1"/>
        <v>0.63805</v>
      </c>
      <c r="G68" s="8"/>
      <c r="H68" s="8"/>
      <c r="I68" s="8"/>
    </row>
    <row r="69" ht="15.75" customHeight="1">
      <c r="A69" s="19"/>
      <c r="B69" s="21">
        <v>67.0</v>
      </c>
      <c r="C69" s="23">
        <v>46258.0</v>
      </c>
      <c r="D69" s="26">
        <v>0.4068178935185185</v>
      </c>
      <c r="E69" s="26">
        <v>0.4068012615740741</v>
      </c>
      <c r="F69" s="33">
        <f t="shared" si="1"/>
        <v>0.02395</v>
      </c>
      <c r="G69" s="8"/>
      <c r="H69" s="8"/>
      <c r="I69" s="8"/>
    </row>
    <row r="70" ht="15.75" customHeight="1">
      <c r="A70" s="19"/>
      <c r="B70" s="21">
        <v>68.0</v>
      </c>
      <c r="C70" s="23">
        <v>46258.0</v>
      </c>
      <c r="D70" s="26">
        <v>0.4078644675925926</v>
      </c>
      <c r="E70" s="26">
        <v>0.4068178935185185</v>
      </c>
      <c r="F70" s="33">
        <f t="shared" si="1"/>
        <v>1.507066667</v>
      </c>
      <c r="G70" s="8"/>
      <c r="H70" s="8"/>
      <c r="I70" s="8"/>
    </row>
    <row r="71" ht="15.75" customHeight="1">
      <c r="A71" s="19"/>
      <c r="B71" s="21">
        <v>69.0</v>
      </c>
      <c r="C71" s="23">
        <v>46258.0</v>
      </c>
      <c r="D71" s="26">
        <v>0.4097444791666667</v>
      </c>
      <c r="E71" s="26">
        <v>0.4078644675925926</v>
      </c>
      <c r="F71" s="33">
        <f t="shared" si="1"/>
        <v>2.707216667</v>
      </c>
      <c r="G71" s="8"/>
      <c r="H71" s="8"/>
      <c r="I71" s="8"/>
    </row>
    <row r="72" ht="15.75" customHeight="1">
      <c r="A72" s="19"/>
      <c r="B72" s="21">
        <v>70.0</v>
      </c>
      <c r="C72" s="23">
        <v>46258.0</v>
      </c>
      <c r="D72" s="26">
        <v>0.4101534375</v>
      </c>
      <c r="E72" s="26">
        <v>0.4097444791666667</v>
      </c>
      <c r="F72" s="33">
        <f t="shared" si="1"/>
        <v>0.5889</v>
      </c>
      <c r="G72" s="8"/>
      <c r="H72" s="8"/>
      <c r="I72" s="8"/>
    </row>
    <row r="73" ht="15.75" customHeight="1">
      <c r="A73" s="19"/>
      <c r="B73" s="21">
        <v>71.0</v>
      </c>
      <c r="C73" s="23">
        <v>46258.0</v>
      </c>
      <c r="D73" s="26">
        <v>0.4102210648148148</v>
      </c>
      <c r="E73" s="26">
        <v>0.4101534375</v>
      </c>
      <c r="F73" s="33">
        <f t="shared" si="1"/>
        <v>0.09738333333</v>
      </c>
      <c r="G73" s="8"/>
      <c r="H73" s="8"/>
      <c r="I73" s="8"/>
    </row>
    <row r="74" ht="15.75" customHeight="1">
      <c r="A74" s="19"/>
      <c r="B74" s="21">
        <v>72.0</v>
      </c>
      <c r="C74" s="23">
        <v>46258.0</v>
      </c>
      <c r="D74" s="26">
        <v>0.4112940393518519</v>
      </c>
      <c r="E74" s="26">
        <v>0.4102210648148148</v>
      </c>
      <c r="F74" s="33">
        <f t="shared" si="1"/>
        <v>1.545083333</v>
      </c>
      <c r="G74" s="8"/>
      <c r="H74" s="8"/>
      <c r="I74" s="8"/>
    </row>
    <row r="75" ht="15.75" customHeight="1">
      <c r="A75" s="19"/>
      <c r="B75" s="21">
        <v>73.0</v>
      </c>
      <c r="C75" s="23">
        <v>46258.0</v>
      </c>
      <c r="D75" s="26">
        <v>0.4122824768518518</v>
      </c>
      <c r="E75" s="26">
        <v>0.4112940393518519</v>
      </c>
      <c r="F75" s="33">
        <f t="shared" si="1"/>
        <v>1.42335</v>
      </c>
      <c r="G75" s="8"/>
      <c r="H75" s="8"/>
      <c r="I75" s="8"/>
    </row>
    <row r="76" ht="15.75" customHeight="1">
      <c r="A76" s="19"/>
      <c r="B76" s="21">
        <v>74.0</v>
      </c>
      <c r="C76" s="23">
        <v>46258.0</v>
      </c>
      <c r="D76" s="26">
        <v>0.413411863425926</v>
      </c>
      <c r="E76" s="26">
        <v>0.4122824768518518</v>
      </c>
      <c r="F76" s="33">
        <f t="shared" si="1"/>
        <v>1.626316667</v>
      </c>
      <c r="G76" s="8"/>
      <c r="H76" s="8"/>
      <c r="I76" s="8"/>
    </row>
    <row r="77" ht="15.75" customHeight="1">
      <c r="A77" s="19"/>
      <c r="B77" s="21">
        <v>75.0</v>
      </c>
      <c r="C77" s="23">
        <v>46258.0</v>
      </c>
      <c r="D77" s="26">
        <v>0.4135509027777778</v>
      </c>
      <c r="E77" s="26">
        <v>0.413411863425926</v>
      </c>
      <c r="F77" s="33">
        <f t="shared" si="1"/>
        <v>0.2002166667</v>
      </c>
      <c r="G77" s="8"/>
      <c r="H77" s="8"/>
      <c r="I77" s="8"/>
    </row>
    <row r="78" ht="15.75" customHeight="1">
      <c r="A78" s="19"/>
      <c r="B78" s="21">
        <v>76.0</v>
      </c>
      <c r="C78" s="23">
        <v>46258.0</v>
      </c>
      <c r="D78" s="26">
        <v>0.4136499189814815</v>
      </c>
      <c r="E78" s="26">
        <v>0.4135509027777778</v>
      </c>
      <c r="F78" s="33">
        <f t="shared" si="1"/>
        <v>0.1425833333</v>
      </c>
      <c r="G78" s="8"/>
      <c r="H78" s="8"/>
      <c r="I78" s="8"/>
    </row>
    <row r="79" ht="15.75" customHeight="1">
      <c r="A79" s="19"/>
      <c r="B79" s="21">
        <v>77.0</v>
      </c>
      <c r="C79" s="23">
        <v>46258.0</v>
      </c>
      <c r="D79" s="26">
        <v>0.413715625</v>
      </c>
      <c r="E79" s="26">
        <v>0.4136499189814815</v>
      </c>
      <c r="F79" s="33">
        <f t="shared" si="1"/>
        <v>0.09461666667</v>
      </c>
      <c r="G79" s="8"/>
      <c r="H79" s="8"/>
      <c r="I79" s="8"/>
    </row>
    <row r="80" ht="15.75" customHeight="1">
      <c r="A80" s="19"/>
      <c r="B80" s="21">
        <v>78.0</v>
      </c>
      <c r="C80" s="23">
        <v>46258.0</v>
      </c>
      <c r="D80" s="26">
        <v>0.4140113425925926</v>
      </c>
      <c r="E80" s="26">
        <v>0.413715625</v>
      </c>
      <c r="F80" s="33">
        <f t="shared" si="1"/>
        <v>0.4258333333</v>
      </c>
      <c r="G80" s="8"/>
      <c r="H80" s="8"/>
      <c r="I80" s="8"/>
    </row>
    <row r="81" ht="15.75" customHeight="1">
      <c r="A81" s="19"/>
      <c r="B81" s="21">
        <v>79.0</v>
      </c>
      <c r="C81" s="23">
        <v>46258.0</v>
      </c>
      <c r="D81" s="26">
        <v>0.4141713425925926</v>
      </c>
      <c r="E81" s="26">
        <v>0.4140113425925926</v>
      </c>
      <c r="F81" s="33">
        <f t="shared" si="1"/>
        <v>0.2304</v>
      </c>
      <c r="G81" s="8"/>
      <c r="H81" s="8"/>
      <c r="I81" s="8"/>
    </row>
    <row r="82" ht="15.75" customHeight="1">
      <c r="A82" s="19"/>
      <c r="B82" s="21">
        <v>80.0</v>
      </c>
      <c r="C82" s="23">
        <v>46258.0</v>
      </c>
      <c r="D82" s="26">
        <v>0.414365150462963</v>
      </c>
      <c r="E82" s="26">
        <v>0.4141713425925926</v>
      </c>
      <c r="F82" s="33">
        <f t="shared" si="1"/>
        <v>0.2790833333</v>
      </c>
      <c r="G82" s="8"/>
      <c r="H82" s="8"/>
      <c r="I82" s="8"/>
    </row>
    <row r="83" ht="15.75" customHeight="1">
      <c r="A83" s="19"/>
      <c r="B83" s="21">
        <v>81.0</v>
      </c>
      <c r="C83" s="23">
        <v>46258.0</v>
      </c>
      <c r="D83" s="26">
        <v>0.4149996990740741</v>
      </c>
      <c r="E83" s="26">
        <v>0.414365150462963</v>
      </c>
      <c r="F83" s="33">
        <f t="shared" si="1"/>
        <v>0.91375</v>
      </c>
      <c r="G83" s="8"/>
      <c r="H83" s="8"/>
      <c r="I83" s="8"/>
    </row>
    <row r="84" ht="15.75" customHeight="1">
      <c r="A84" s="19"/>
      <c r="B84" s="21">
        <v>82.0</v>
      </c>
      <c r="C84" s="23">
        <v>46258.0</v>
      </c>
      <c r="D84" s="26">
        <v>0.415910162037037</v>
      </c>
      <c r="E84" s="26">
        <v>0.4149996990740741</v>
      </c>
      <c r="F84" s="33">
        <f t="shared" si="1"/>
        <v>1.311066667</v>
      </c>
      <c r="G84" s="8"/>
      <c r="H84" s="8"/>
      <c r="I84" s="8"/>
    </row>
    <row r="85" ht="15.75" customHeight="1">
      <c r="A85" s="19"/>
      <c r="B85" s="21">
        <v>83.0</v>
      </c>
      <c r="C85" s="23">
        <v>46259.0</v>
      </c>
      <c r="D85" s="26">
        <v>0.3762115393518519</v>
      </c>
      <c r="E85" s="26">
        <v>0.3750373611111111</v>
      </c>
      <c r="F85" s="33">
        <f t="shared" si="1"/>
        <v>1.690816667</v>
      </c>
      <c r="G85" s="8"/>
      <c r="H85" s="8"/>
      <c r="I85" s="8"/>
    </row>
    <row r="86" ht="15.75" customHeight="1">
      <c r="A86" s="19"/>
      <c r="B86" s="21">
        <v>84.0</v>
      </c>
      <c r="C86" s="23">
        <v>46259.0</v>
      </c>
      <c r="D86" s="26">
        <v>0.3762691550925926</v>
      </c>
      <c r="E86" s="26">
        <v>0.3762115393518519</v>
      </c>
      <c r="F86" s="33">
        <f t="shared" si="1"/>
        <v>0.08296666667</v>
      </c>
      <c r="G86" s="8"/>
      <c r="H86" s="8"/>
      <c r="I86" s="8"/>
    </row>
    <row r="87" ht="15.75" customHeight="1">
      <c r="A87" s="19"/>
      <c r="B87" s="21">
        <v>85.0</v>
      </c>
      <c r="C87" s="23">
        <v>46259.0</v>
      </c>
      <c r="D87" s="26">
        <v>0.3775195601851852</v>
      </c>
      <c r="E87" s="26">
        <v>0.3762691550925926</v>
      </c>
      <c r="F87" s="33">
        <f t="shared" si="1"/>
        <v>1.800583333</v>
      </c>
      <c r="G87" s="8"/>
      <c r="H87" s="8"/>
      <c r="I87" s="8"/>
    </row>
    <row r="88" ht="15.75" customHeight="1">
      <c r="A88" s="19"/>
      <c r="B88" s="21">
        <v>86.0</v>
      </c>
      <c r="C88" s="23">
        <v>46259.0</v>
      </c>
      <c r="D88" s="26">
        <v>0.3793078935185185</v>
      </c>
      <c r="E88" s="26">
        <v>0.3775195601851852</v>
      </c>
      <c r="F88" s="33">
        <f t="shared" si="1"/>
        <v>2.5752</v>
      </c>
      <c r="G88" s="8"/>
      <c r="H88" s="8"/>
      <c r="I88" s="8"/>
    </row>
    <row r="89" ht="15.75" customHeight="1">
      <c r="A89" s="19"/>
      <c r="B89" s="21">
        <v>87.0</v>
      </c>
      <c r="C89" s="23">
        <v>46259.0</v>
      </c>
      <c r="D89" s="26">
        <v>0.3793308564814815</v>
      </c>
      <c r="E89" s="26">
        <v>0.3793078935185185</v>
      </c>
      <c r="F89" s="33">
        <f t="shared" si="1"/>
        <v>0.03306666667</v>
      </c>
      <c r="G89" s="8"/>
      <c r="H89" s="8"/>
      <c r="I89" s="8"/>
    </row>
    <row r="90" ht="15.75" customHeight="1">
      <c r="A90" s="19"/>
      <c r="B90" s="21">
        <v>88.0</v>
      </c>
      <c r="C90" s="23">
        <v>46259.0</v>
      </c>
      <c r="D90" s="26">
        <v>0.3793478240740741</v>
      </c>
      <c r="E90" s="26">
        <v>0.3793308564814815</v>
      </c>
      <c r="F90" s="33">
        <f t="shared" si="1"/>
        <v>0.02443333333</v>
      </c>
      <c r="G90" s="8"/>
      <c r="H90" s="8"/>
      <c r="I90" s="8"/>
    </row>
    <row r="91" ht="15.75" customHeight="1">
      <c r="A91" s="19"/>
      <c r="B91" s="21">
        <v>89.0</v>
      </c>
      <c r="C91" s="23">
        <v>46259.0</v>
      </c>
      <c r="D91" s="26">
        <v>0.3804771296296297</v>
      </c>
      <c r="E91" s="26">
        <v>0.3793478240740741</v>
      </c>
      <c r="F91" s="33">
        <f t="shared" si="1"/>
        <v>1.6262</v>
      </c>
      <c r="G91" s="8"/>
      <c r="H91" s="8"/>
      <c r="I91" s="8"/>
    </row>
    <row r="92" ht="15.75" customHeight="1">
      <c r="A92" s="19"/>
      <c r="B92" s="21">
        <v>90.0</v>
      </c>
      <c r="C92" s="23">
        <v>46259.0</v>
      </c>
      <c r="D92" s="26">
        <v>0.3805078125</v>
      </c>
      <c r="E92" s="26">
        <v>0.3804771296296297</v>
      </c>
      <c r="F92" s="33">
        <f t="shared" si="1"/>
        <v>0.04418333333</v>
      </c>
      <c r="G92" s="8"/>
      <c r="H92" s="8"/>
      <c r="I92" s="8"/>
    </row>
    <row r="93" ht="15.75" customHeight="1">
      <c r="A93" s="19"/>
      <c r="B93" s="21">
        <v>91.0</v>
      </c>
      <c r="C93" s="23">
        <v>46259.0</v>
      </c>
      <c r="D93" s="26">
        <v>0.3808345833333333</v>
      </c>
      <c r="E93" s="26">
        <v>0.3805078125</v>
      </c>
      <c r="F93" s="33">
        <f t="shared" si="1"/>
        <v>0.47055</v>
      </c>
      <c r="G93" s="8"/>
      <c r="H93" s="8"/>
      <c r="I93" s="8"/>
    </row>
    <row r="94" ht="15.75" customHeight="1">
      <c r="A94" s="19"/>
      <c r="B94" s="21">
        <v>92.0</v>
      </c>
      <c r="C94" s="23">
        <v>46259.0</v>
      </c>
      <c r="D94" s="26">
        <v>0.3813062847222222</v>
      </c>
      <c r="E94" s="26">
        <v>0.3808345833333333</v>
      </c>
      <c r="F94" s="33">
        <f t="shared" si="1"/>
        <v>0.67925</v>
      </c>
      <c r="G94" s="8"/>
      <c r="H94" s="8"/>
      <c r="I94" s="8"/>
    </row>
    <row r="95" ht="15.75" customHeight="1">
      <c r="A95" s="19"/>
      <c r="B95" s="21">
        <v>93.0</v>
      </c>
      <c r="C95" s="23">
        <v>46259.0</v>
      </c>
      <c r="D95" s="26">
        <v>0.3817369907407407</v>
      </c>
      <c r="E95" s="26">
        <v>0.3813062847222222</v>
      </c>
      <c r="F95" s="33">
        <f t="shared" si="1"/>
        <v>0.6202166667</v>
      </c>
      <c r="G95" s="8"/>
      <c r="H95" s="8"/>
      <c r="I95" s="8"/>
    </row>
    <row r="96" ht="15.75" customHeight="1">
      <c r="A96" s="19"/>
      <c r="B96" s="21">
        <v>94.0</v>
      </c>
      <c r="C96" s="23">
        <v>46259.0</v>
      </c>
      <c r="D96" s="26">
        <v>0.3821274768518518</v>
      </c>
      <c r="E96" s="26">
        <v>0.3817369907407407</v>
      </c>
      <c r="F96" s="33">
        <f t="shared" si="1"/>
        <v>0.5623</v>
      </c>
      <c r="G96" s="8"/>
      <c r="H96" s="8"/>
      <c r="I96" s="8"/>
    </row>
    <row r="97" ht="15.75" customHeight="1">
      <c r="A97" s="19"/>
      <c r="B97" s="21">
        <v>95.0</v>
      </c>
      <c r="C97" s="23">
        <v>46259.0</v>
      </c>
      <c r="D97" s="26">
        <v>0.3830664699074074</v>
      </c>
      <c r="E97" s="26">
        <v>0.3821274768518518</v>
      </c>
      <c r="F97" s="33">
        <f t="shared" si="1"/>
        <v>1.35215</v>
      </c>
      <c r="G97" s="8"/>
      <c r="H97" s="8"/>
      <c r="I97" s="8"/>
    </row>
    <row r="98" ht="15.75" customHeight="1">
      <c r="A98" s="19"/>
      <c r="B98" s="21">
        <v>96.0</v>
      </c>
      <c r="C98" s="23">
        <v>46259.0</v>
      </c>
      <c r="D98" s="26">
        <v>0.3831508796296296</v>
      </c>
      <c r="E98" s="26">
        <v>0.3830664699074074</v>
      </c>
      <c r="F98" s="33">
        <f t="shared" si="1"/>
        <v>0.12155</v>
      </c>
      <c r="G98" s="8"/>
      <c r="H98" s="8"/>
      <c r="I98" s="8"/>
    </row>
    <row r="99" ht="15.75" customHeight="1">
      <c r="A99" s="19"/>
      <c r="B99" s="21">
        <v>97.0</v>
      </c>
      <c r="C99" s="23">
        <v>46259.0</v>
      </c>
      <c r="D99" s="26">
        <v>0.383166875</v>
      </c>
      <c r="E99" s="26">
        <v>0.3831508796296296</v>
      </c>
      <c r="F99" s="33">
        <f t="shared" si="1"/>
        <v>0.02303333333</v>
      </c>
      <c r="G99" s="8"/>
      <c r="H99" s="8"/>
      <c r="I99" s="8"/>
    </row>
    <row r="100" ht="15.75" customHeight="1">
      <c r="A100" s="19"/>
      <c r="B100" s="21">
        <v>98.0</v>
      </c>
      <c r="C100" s="23">
        <v>46259.0</v>
      </c>
      <c r="D100" s="26">
        <v>0.3833537731481482</v>
      </c>
      <c r="E100" s="26">
        <v>0.383166875</v>
      </c>
      <c r="F100" s="33">
        <f t="shared" si="1"/>
        <v>0.2691333333</v>
      </c>
      <c r="G100" s="8"/>
      <c r="H100" s="8"/>
      <c r="I100" s="8"/>
    </row>
    <row r="101" ht="15.75" customHeight="1">
      <c r="A101" s="19"/>
      <c r="B101" s="21">
        <v>99.0</v>
      </c>
      <c r="C101" s="23">
        <v>46259.0</v>
      </c>
      <c r="D101" s="26">
        <v>0.3839950925925926</v>
      </c>
      <c r="E101" s="26">
        <v>0.3833537731481482</v>
      </c>
      <c r="F101" s="33">
        <f t="shared" si="1"/>
        <v>0.9235</v>
      </c>
      <c r="G101" s="8"/>
      <c r="H101" s="8"/>
      <c r="I101" s="8"/>
    </row>
    <row r="102" ht="15.75" customHeight="1">
      <c r="A102" s="19"/>
      <c r="B102" s="21">
        <v>100.0</v>
      </c>
      <c r="C102" s="23">
        <v>46259.0</v>
      </c>
      <c r="D102" s="26">
        <v>0.3849051041666667</v>
      </c>
      <c r="E102" s="26">
        <v>0.3839950925925926</v>
      </c>
      <c r="F102" s="33">
        <f t="shared" si="1"/>
        <v>1.310416667</v>
      </c>
      <c r="G102" s="8"/>
      <c r="H102" s="8"/>
      <c r="I102" s="8"/>
    </row>
    <row r="103" ht="15.75" customHeight="1">
      <c r="A103" s="19"/>
      <c r="B103" s="21">
        <v>101.0</v>
      </c>
      <c r="C103" s="23">
        <v>46259.0</v>
      </c>
      <c r="D103" s="26">
        <v>0.3853269212962963</v>
      </c>
      <c r="E103" s="26">
        <v>0.3849051041666667</v>
      </c>
      <c r="F103" s="33">
        <f t="shared" si="1"/>
        <v>0.6074166667</v>
      </c>
      <c r="G103" s="8"/>
      <c r="H103" s="8"/>
      <c r="I103" s="8"/>
    </row>
    <row r="104" ht="15.75" customHeight="1">
      <c r="A104" s="19"/>
      <c r="B104" s="21">
        <v>102.0</v>
      </c>
      <c r="C104" s="23">
        <v>46259.0</v>
      </c>
      <c r="D104" s="26">
        <v>0.3866653587962963</v>
      </c>
      <c r="E104" s="26">
        <v>0.3853269212962963</v>
      </c>
      <c r="F104" s="33">
        <f t="shared" si="1"/>
        <v>1.92735</v>
      </c>
      <c r="G104" s="8"/>
      <c r="H104" s="8"/>
      <c r="I104" s="8"/>
    </row>
    <row r="105" ht="15.75" customHeight="1">
      <c r="A105" s="19"/>
      <c r="B105" s="21">
        <v>103.0</v>
      </c>
      <c r="C105" s="23">
        <v>46259.0</v>
      </c>
      <c r="D105" s="26">
        <v>0.3870054513888889</v>
      </c>
      <c r="E105" s="26">
        <v>0.3866653587962963</v>
      </c>
      <c r="F105" s="33">
        <f t="shared" si="1"/>
        <v>0.4897333333</v>
      </c>
      <c r="G105" s="8"/>
      <c r="H105" s="8"/>
      <c r="I105" s="8"/>
    </row>
    <row r="106" ht="15.75" customHeight="1">
      <c r="A106" s="19"/>
      <c r="B106" s="21">
        <v>104.0</v>
      </c>
      <c r="C106" s="23">
        <v>46259.0</v>
      </c>
      <c r="D106" s="26">
        <v>0.3878602662037037</v>
      </c>
      <c r="E106" s="26">
        <v>0.3870054513888889</v>
      </c>
      <c r="F106" s="33">
        <f t="shared" si="1"/>
        <v>1.230933333</v>
      </c>
      <c r="G106" s="8"/>
      <c r="H106" s="8"/>
      <c r="I106" s="8"/>
    </row>
    <row r="107" ht="15.75" customHeight="1">
      <c r="A107" s="19"/>
      <c r="B107" s="21">
        <v>105.0</v>
      </c>
      <c r="C107" s="23">
        <v>46259.0</v>
      </c>
      <c r="D107" s="26">
        <v>0.3880266435185185</v>
      </c>
      <c r="E107" s="26">
        <v>0.3878602662037037</v>
      </c>
      <c r="F107" s="33">
        <f t="shared" si="1"/>
        <v>0.2395833333</v>
      </c>
      <c r="G107" s="8"/>
      <c r="H107" s="8"/>
      <c r="I107" s="8"/>
    </row>
    <row r="108" ht="15.75" customHeight="1">
      <c r="A108" s="19"/>
      <c r="B108" s="21">
        <v>106.0</v>
      </c>
      <c r="C108" s="23">
        <v>46259.0</v>
      </c>
      <c r="D108" s="26">
        <v>0.3883265625</v>
      </c>
      <c r="E108" s="26">
        <v>0.3880266435185185</v>
      </c>
      <c r="F108" s="33">
        <f t="shared" si="1"/>
        <v>0.4318833333</v>
      </c>
      <c r="G108" s="8"/>
      <c r="H108" s="8"/>
      <c r="I108" s="8"/>
    </row>
    <row r="109" ht="15.75" customHeight="1">
      <c r="A109" s="19"/>
      <c r="B109" s="21">
        <v>107.0</v>
      </c>
      <c r="C109" s="23">
        <v>46259.0</v>
      </c>
      <c r="D109" s="26">
        <v>0.3884417476851852</v>
      </c>
      <c r="E109" s="26">
        <v>0.3883265625</v>
      </c>
      <c r="F109" s="33">
        <f t="shared" si="1"/>
        <v>0.1658666667</v>
      </c>
      <c r="G109" s="8"/>
      <c r="H109" s="8"/>
      <c r="I109" s="8"/>
    </row>
    <row r="110" ht="15.75" customHeight="1">
      <c r="A110" s="19"/>
      <c r="B110" s="21">
        <v>108.0</v>
      </c>
      <c r="C110" s="23">
        <v>46259.0</v>
      </c>
      <c r="D110" s="26">
        <v>0.3902656597222222</v>
      </c>
      <c r="E110" s="26">
        <v>0.3884417476851852</v>
      </c>
      <c r="F110" s="33">
        <f t="shared" si="1"/>
        <v>2.626433333</v>
      </c>
      <c r="G110" s="8"/>
      <c r="H110" s="8"/>
      <c r="I110" s="8"/>
    </row>
    <row r="111" ht="15.75" customHeight="1">
      <c r="A111" s="19"/>
      <c r="B111" s="21">
        <v>109.0</v>
      </c>
      <c r="C111" s="23">
        <v>46259.0</v>
      </c>
      <c r="D111" s="26">
        <v>0.3906250694444445</v>
      </c>
      <c r="E111" s="26">
        <v>0.3902656597222222</v>
      </c>
      <c r="F111" s="33">
        <f t="shared" si="1"/>
        <v>0.51755</v>
      </c>
      <c r="G111" s="8"/>
      <c r="H111" s="8"/>
      <c r="I111" s="8"/>
    </row>
    <row r="112" ht="15.75" customHeight="1">
      <c r="A112" s="19"/>
      <c r="B112" s="21">
        <v>110.0</v>
      </c>
      <c r="C112" s="23">
        <v>46259.0</v>
      </c>
      <c r="D112" s="26">
        <v>0.3907542592592592</v>
      </c>
      <c r="E112" s="26">
        <v>0.3906250694444445</v>
      </c>
      <c r="F112" s="33">
        <f t="shared" si="1"/>
        <v>0.1860333333</v>
      </c>
      <c r="G112" s="8"/>
      <c r="H112" s="8"/>
      <c r="I112" s="8"/>
    </row>
    <row r="113" ht="15.75" customHeight="1">
      <c r="A113" s="19"/>
      <c r="B113" s="21">
        <v>111.0</v>
      </c>
      <c r="C113" s="23">
        <v>46259.0</v>
      </c>
      <c r="D113" s="26">
        <v>0.3907813773148148</v>
      </c>
      <c r="E113" s="26">
        <v>0.3907542592592592</v>
      </c>
      <c r="F113" s="33">
        <f t="shared" si="1"/>
        <v>0.03905</v>
      </c>
      <c r="G113" s="8"/>
      <c r="H113" s="8"/>
      <c r="I113" s="8"/>
    </row>
    <row r="114" ht="15.75" customHeight="1">
      <c r="A114" s="19"/>
      <c r="B114" s="21">
        <v>112.0</v>
      </c>
      <c r="C114" s="23">
        <v>46259.0</v>
      </c>
      <c r="D114" s="26">
        <v>0.3909452893518519</v>
      </c>
      <c r="E114" s="26">
        <v>0.3907813773148148</v>
      </c>
      <c r="F114" s="33">
        <f t="shared" si="1"/>
        <v>0.2360333333</v>
      </c>
      <c r="G114" s="8"/>
      <c r="H114" s="8"/>
      <c r="I114" s="8"/>
    </row>
    <row r="115" ht="15.75" customHeight="1">
      <c r="A115" s="19"/>
      <c r="B115" s="21">
        <v>113.0</v>
      </c>
      <c r="C115" s="23">
        <v>46259.0</v>
      </c>
      <c r="D115" s="26">
        <v>0.3914334490740741</v>
      </c>
      <c r="E115" s="26">
        <v>0.3909452893518519</v>
      </c>
      <c r="F115" s="33">
        <f t="shared" si="1"/>
        <v>0.70295</v>
      </c>
      <c r="G115" s="8"/>
      <c r="H115" s="8"/>
      <c r="I115" s="8"/>
    </row>
    <row r="116" ht="15.75" customHeight="1">
      <c r="A116" s="19"/>
      <c r="B116" s="21">
        <v>114.0</v>
      </c>
      <c r="C116" s="23">
        <v>46259.0</v>
      </c>
      <c r="D116" s="26">
        <v>0.3915789699074074</v>
      </c>
      <c r="E116" s="26">
        <v>0.3914334490740741</v>
      </c>
      <c r="F116" s="33">
        <f t="shared" si="1"/>
        <v>0.20955</v>
      </c>
      <c r="G116" s="8"/>
      <c r="H116" s="8"/>
      <c r="I116" s="8"/>
    </row>
    <row r="117" ht="15.75" customHeight="1">
      <c r="A117" s="19"/>
      <c r="B117" s="21">
        <v>115.0</v>
      </c>
      <c r="C117" s="23">
        <v>46259.0</v>
      </c>
      <c r="D117" s="26">
        <v>0.3918458101851852</v>
      </c>
      <c r="E117" s="26">
        <v>0.3915789699074074</v>
      </c>
      <c r="F117" s="33">
        <f t="shared" si="1"/>
        <v>0.38425</v>
      </c>
      <c r="G117" s="8"/>
      <c r="H117" s="8"/>
      <c r="I117" s="8"/>
    </row>
    <row r="118" ht="15.75" customHeight="1">
      <c r="A118" s="19"/>
      <c r="B118" s="21">
        <v>116.0</v>
      </c>
      <c r="C118" s="23">
        <v>46259.0</v>
      </c>
      <c r="D118" s="26">
        <v>0.392390474537037</v>
      </c>
      <c r="E118" s="26">
        <v>0.3918458101851852</v>
      </c>
      <c r="F118" s="33">
        <f t="shared" si="1"/>
        <v>0.7843166667</v>
      </c>
      <c r="G118" s="8"/>
      <c r="H118" s="8"/>
      <c r="I118" s="8"/>
    </row>
    <row r="119" ht="15.75" customHeight="1">
      <c r="A119" s="19"/>
      <c r="B119" s="21">
        <v>117.0</v>
      </c>
      <c r="C119" s="23">
        <v>46259.0</v>
      </c>
      <c r="D119" s="26">
        <v>0.3925039930555556</v>
      </c>
      <c r="E119" s="26">
        <v>0.392390474537037</v>
      </c>
      <c r="F119" s="33">
        <f t="shared" si="1"/>
        <v>0.1634666667</v>
      </c>
      <c r="G119" s="8"/>
      <c r="H119" s="8"/>
      <c r="I119" s="8"/>
    </row>
    <row r="120" ht="15.75" customHeight="1">
      <c r="A120" s="19"/>
      <c r="B120" s="21">
        <v>118.0</v>
      </c>
      <c r="C120" s="23">
        <v>46259.0</v>
      </c>
      <c r="D120" s="26">
        <v>0.3926962962962963</v>
      </c>
      <c r="E120" s="26">
        <v>0.3925039930555556</v>
      </c>
      <c r="F120" s="33">
        <f t="shared" si="1"/>
        <v>0.2769166667</v>
      </c>
      <c r="G120" s="8"/>
      <c r="H120" s="8"/>
      <c r="I120" s="8"/>
    </row>
    <row r="121" ht="15.75" customHeight="1">
      <c r="A121" s="19"/>
      <c r="B121" s="21">
        <v>119.0</v>
      </c>
      <c r="C121" s="23">
        <v>46259.0</v>
      </c>
      <c r="D121" s="26">
        <v>0.3927383333333333</v>
      </c>
      <c r="E121" s="26">
        <v>0.3926962962962963</v>
      </c>
      <c r="F121" s="33">
        <f t="shared" si="1"/>
        <v>0.06053333333</v>
      </c>
      <c r="G121" s="8"/>
      <c r="H121" s="8"/>
      <c r="I121" s="8"/>
    </row>
    <row r="122" ht="15.75" customHeight="1">
      <c r="A122" s="19"/>
      <c r="B122" s="21">
        <v>120.0</v>
      </c>
      <c r="C122" s="23">
        <v>46259.0</v>
      </c>
      <c r="D122" s="26">
        <v>0.3928201967592593</v>
      </c>
      <c r="E122" s="26">
        <v>0.3927383333333333</v>
      </c>
      <c r="F122" s="33">
        <f t="shared" si="1"/>
        <v>0.1178833333</v>
      </c>
      <c r="G122" s="8"/>
      <c r="H122" s="8"/>
      <c r="I122" s="8"/>
    </row>
    <row r="123" ht="15.75" customHeight="1">
      <c r="A123" s="19"/>
      <c r="B123" s="21">
        <v>121.0</v>
      </c>
      <c r="C123" s="23">
        <v>46259.0</v>
      </c>
      <c r="D123" s="26">
        <v>0.3929107638888888</v>
      </c>
      <c r="E123" s="26">
        <v>0.3928201967592593</v>
      </c>
      <c r="F123" s="33">
        <f t="shared" si="1"/>
        <v>0.1304166667</v>
      </c>
      <c r="G123" s="8"/>
      <c r="H123" s="8"/>
      <c r="I123" s="8"/>
    </row>
    <row r="124" ht="15.75" customHeight="1">
      <c r="A124" s="19"/>
      <c r="B124" s="21">
        <v>122.0</v>
      </c>
      <c r="C124" s="23">
        <v>46259.0</v>
      </c>
      <c r="D124" s="26">
        <v>0.3930282407407407</v>
      </c>
      <c r="E124" s="26">
        <v>0.3929107638888888</v>
      </c>
      <c r="F124" s="33">
        <f t="shared" si="1"/>
        <v>0.1691666667</v>
      </c>
      <c r="G124" s="8"/>
      <c r="H124" s="8"/>
      <c r="I124" s="8"/>
    </row>
    <row r="125" ht="15.75" customHeight="1">
      <c r="A125" s="19"/>
      <c r="B125" s="21">
        <v>123.0</v>
      </c>
      <c r="C125" s="23">
        <v>46259.0</v>
      </c>
      <c r="D125" s="26">
        <v>0.3937875115740741</v>
      </c>
      <c r="E125" s="26">
        <v>0.3930282407407407</v>
      </c>
      <c r="F125" s="33">
        <f t="shared" si="1"/>
        <v>1.09335</v>
      </c>
      <c r="G125" s="8"/>
      <c r="H125" s="8"/>
      <c r="I125" s="8"/>
    </row>
    <row r="126" ht="15.75" customHeight="1">
      <c r="A126" s="19"/>
      <c r="B126" s="21">
        <v>124.0</v>
      </c>
      <c r="C126" s="23">
        <v>46259.0</v>
      </c>
      <c r="D126" s="26">
        <v>0.3940999305555555</v>
      </c>
      <c r="E126" s="26">
        <v>0.3937875115740741</v>
      </c>
      <c r="F126" s="33">
        <f t="shared" si="1"/>
        <v>0.4498833333</v>
      </c>
      <c r="G126" s="8"/>
      <c r="H126" s="8"/>
      <c r="I126" s="8"/>
    </row>
    <row r="127" ht="15.75" customHeight="1">
      <c r="A127" s="19"/>
      <c r="B127" s="21">
        <v>125.0</v>
      </c>
      <c r="C127" s="23">
        <v>46259.0</v>
      </c>
      <c r="D127" s="26">
        <v>0.3951832060185185</v>
      </c>
      <c r="E127" s="26">
        <v>0.3940999305555555</v>
      </c>
      <c r="F127" s="33">
        <f t="shared" si="1"/>
        <v>1.559916667</v>
      </c>
      <c r="G127" s="8"/>
      <c r="H127" s="8"/>
      <c r="I127" s="8"/>
    </row>
    <row r="128" ht="15.75" customHeight="1">
      <c r="A128" s="19"/>
      <c r="B128" s="21">
        <v>126.0</v>
      </c>
      <c r="C128" s="23">
        <v>46259.0</v>
      </c>
      <c r="D128" s="26">
        <v>0.3972992939814815</v>
      </c>
      <c r="E128" s="26">
        <v>0.3951832060185185</v>
      </c>
      <c r="F128" s="33">
        <f t="shared" si="1"/>
        <v>3.047166667</v>
      </c>
      <c r="G128" s="8"/>
      <c r="H128" s="8"/>
      <c r="I128" s="8"/>
    </row>
    <row r="129" ht="15.75" customHeight="1">
      <c r="A129" s="19"/>
      <c r="B129" s="21">
        <v>127.0</v>
      </c>
      <c r="C129" s="23">
        <v>46259.0</v>
      </c>
      <c r="D129" s="26">
        <v>0.3978573958333333</v>
      </c>
      <c r="E129" s="26">
        <v>0.3972992939814815</v>
      </c>
      <c r="F129" s="33">
        <f t="shared" si="1"/>
        <v>0.8036666667</v>
      </c>
      <c r="G129" s="8"/>
      <c r="H129" s="8"/>
      <c r="I129" s="8"/>
    </row>
    <row r="130" ht="15.75" customHeight="1">
      <c r="A130" s="19"/>
      <c r="B130" s="21">
        <v>128.0</v>
      </c>
      <c r="C130" s="23">
        <v>46259.0</v>
      </c>
      <c r="D130" s="26">
        <v>0.3989160532407408</v>
      </c>
      <c r="E130" s="26">
        <v>0.3978573958333333</v>
      </c>
      <c r="F130" s="33">
        <f t="shared" si="1"/>
        <v>1.524466667</v>
      </c>
      <c r="G130" s="8"/>
      <c r="H130" s="8"/>
      <c r="I130" s="8"/>
    </row>
    <row r="131" ht="15.75" customHeight="1">
      <c r="A131" s="19"/>
      <c r="B131" s="21">
        <v>129.0</v>
      </c>
      <c r="C131" s="23">
        <v>46259.0</v>
      </c>
      <c r="D131" s="26">
        <v>0.3995270138888889</v>
      </c>
      <c r="E131" s="26">
        <v>0.3989160532407408</v>
      </c>
      <c r="F131" s="33">
        <f t="shared" si="1"/>
        <v>0.8797833333</v>
      </c>
      <c r="G131" s="8"/>
      <c r="H131" s="8"/>
      <c r="I131" s="8"/>
    </row>
    <row r="132" ht="15.75" customHeight="1">
      <c r="A132" s="19"/>
      <c r="B132" s="21">
        <v>130.0</v>
      </c>
      <c r="C132" s="23">
        <v>46259.0</v>
      </c>
      <c r="D132" s="26">
        <v>0.3997828009259259</v>
      </c>
      <c r="E132" s="26">
        <v>0.3995270138888889</v>
      </c>
      <c r="F132" s="33">
        <f t="shared" si="1"/>
        <v>0.3683333333</v>
      </c>
      <c r="G132" s="8"/>
      <c r="H132" s="8"/>
      <c r="I132" s="8"/>
    </row>
    <row r="133" ht="15.75" customHeight="1">
      <c r="A133" s="19"/>
      <c r="B133" s="21">
        <v>131.0</v>
      </c>
      <c r="C133" s="23">
        <v>46259.0</v>
      </c>
      <c r="D133" s="26">
        <v>0.3999789930555555</v>
      </c>
      <c r="E133" s="26">
        <v>0.3997828009259259</v>
      </c>
      <c r="F133" s="33">
        <f t="shared" si="1"/>
        <v>0.2825166667</v>
      </c>
      <c r="G133" s="8"/>
      <c r="H133" s="8"/>
      <c r="I133" s="8"/>
    </row>
    <row r="134" ht="15.75" customHeight="1">
      <c r="A134" s="19"/>
      <c r="B134" s="21">
        <v>132.0</v>
      </c>
      <c r="C134" s="23">
        <v>46259.0</v>
      </c>
      <c r="D134" s="26">
        <v>0.4006690625</v>
      </c>
      <c r="E134" s="26">
        <v>0.3999789930555555</v>
      </c>
      <c r="F134" s="33">
        <f t="shared" si="1"/>
        <v>0.9937</v>
      </c>
      <c r="G134" s="8"/>
      <c r="H134" s="8"/>
      <c r="I134" s="8"/>
    </row>
    <row r="135" ht="15.75" customHeight="1">
      <c r="A135" s="19"/>
      <c r="B135" s="21">
        <v>133.0</v>
      </c>
      <c r="C135" s="23">
        <v>46259.0</v>
      </c>
      <c r="D135" s="26">
        <v>0.4011013541666666</v>
      </c>
      <c r="E135" s="26">
        <v>0.4006690625</v>
      </c>
      <c r="F135" s="33">
        <f t="shared" si="1"/>
        <v>0.6225</v>
      </c>
      <c r="G135" s="8"/>
      <c r="H135" s="8"/>
      <c r="I135" s="8"/>
    </row>
    <row r="136" ht="15.75" customHeight="1">
      <c r="A136" s="19"/>
      <c r="B136" s="21">
        <v>134.0</v>
      </c>
      <c r="C136" s="23">
        <v>46259.0</v>
      </c>
      <c r="D136" s="26">
        <v>0.4013434837962963</v>
      </c>
      <c r="E136" s="26">
        <v>0.4011013541666666</v>
      </c>
      <c r="F136" s="33">
        <f t="shared" si="1"/>
        <v>0.3486666667</v>
      </c>
      <c r="G136" s="8"/>
      <c r="H136" s="8"/>
      <c r="I136" s="8"/>
    </row>
    <row r="137" ht="15.75" customHeight="1">
      <c r="A137" s="19"/>
      <c r="B137" s="21">
        <v>135.0</v>
      </c>
      <c r="C137" s="23">
        <v>46259.0</v>
      </c>
      <c r="D137" s="26">
        <v>0.4017092361111111</v>
      </c>
      <c r="E137" s="26">
        <v>0.4013434837962963</v>
      </c>
      <c r="F137" s="33">
        <f t="shared" si="1"/>
        <v>0.5266833333</v>
      </c>
      <c r="G137" s="8"/>
      <c r="H137" s="8"/>
      <c r="I137" s="8"/>
    </row>
    <row r="138" ht="15.75" customHeight="1">
      <c r="A138" s="19"/>
      <c r="B138" s="21">
        <v>136.0</v>
      </c>
      <c r="C138" s="23">
        <v>46259.0</v>
      </c>
      <c r="D138" s="26">
        <v>0.4024777430555555</v>
      </c>
      <c r="E138" s="26">
        <v>0.4017092361111111</v>
      </c>
      <c r="F138" s="33">
        <f t="shared" si="1"/>
        <v>1.10665</v>
      </c>
      <c r="G138" s="8"/>
      <c r="H138" s="8"/>
      <c r="I138" s="8"/>
    </row>
    <row r="139" ht="15.75" customHeight="1">
      <c r="A139" s="19"/>
      <c r="B139" s="21">
        <v>137.0</v>
      </c>
      <c r="C139" s="23">
        <v>46259.0</v>
      </c>
      <c r="D139" s="26">
        <v>0.4024813310185186</v>
      </c>
      <c r="E139" s="26">
        <v>0.4024777430555555</v>
      </c>
      <c r="F139" s="33">
        <f t="shared" si="1"/>
        <v>0.005166666667</v>
      </c>
      <c r="G139" s="8"/>
      <c r="H139" s="8"/>
      <c r="I139" s="8"/>
    </row>
    <row r="140" ht="15.75" customHeight="1">
      <c r="A140" s="19"/>
      <c r="B140" s="21">
        <v>138.0</v>
      </c>
      <c r="C140" s="23">
        <v>46259.0</v>
      </c>
      <c r="D140" s="26">
        <v>0.4053399768518519</v>
      </c>
      <c r="E140" s="26">
        <v>0.4024813310185186</v>
      </c>
      <c r="F140" s="33">
        <f t="shared" si="1"/>
        <v>4.11645</v>
      </c>
      <c r="G140" s="8"/>
      <c r="H140" s="8"/>
      <c r="I140" s="8"/>
    </row>
    <row r="141" ht="15.75" customHeight="1">
      <c r="A141" s="19"/>
      <c r="B141" s="21">
        <v>139.0</v>
      </c>
      <c r="C141" s="23">
        <v>46259.0</v>
      </c>
      <c r="D141" s="26">
        <v>0.4057901967592593</v>
      </c>
      <c r="E141" s="26">
        <v>0.4053399768518519</v>
      </c>
      <c r="F141" s="33">
        <f t="shared" si="1"/>
        <v>0.6483166667</v>
      </c>
      <c r="G141" s="8"/>
      <c r="H141" s="8"/>
      <c r="I141" s="8"/>
    </row>
    <row r="142" ht="15.75" customHeight="1">
      <c r="A142" s="19"/>
      <c r="B142" s="21">
        <v>140.0</v>
      </c>
      <c r="C142" s="23">
        <v>46259.0</v>
      </c>
      <c r="D142" s="26">
        <v>0.4066907175925926</v>
      </c>
      <c r="E142" s="26">
        <v>0.4057901967592593</v>
      </c>
      <c r="F142" s="33">
        <f t="shared" si="1"/>
        <v>1.29675</v>
      </c>
      <c r="G142" s="8"/>
      <c r="H142" s="8"/>
      <c r="I142" s="8"/>
    </row>
    <row r="143" ht="15.75" customHeight="1">
      <c r="A143" s="19"/>
      <c r="B143" s="21">
        <v>141.0</v>
      </c>
      <c r="C143" s="23">
        <v>46259.0</v>
      </c>
      <c r="D143" s="26">
        <v>0.4067137152777778</v>
      </c>
      <c r="E143" s="26">
        <v>0.4066907175925926</v>
      </c>
      <c r="F143" s="33">
        <f t="shared" si="1"/>
        <v>0.03311666667</v>
      </c>
      <c r="G143" s="8"/>
      <c r="H143" s="8"/>
      <c r="I143" s="8"/>
    </row>
    <row r="144" ht="15.75" customHeight="1">
      <c r="A144" s="19"/>
      <c r="B144" s="21">
        <v>142.0</v>
      </c>
      <c r="C144" s="23">
        <v>46259.0</v>
      </c>
      <c r="D144" s="26">
        <v>0.4069977546296296</v>
      </c>
      <c r="E144" s="26">
        <v>0.4067137152777778</v>
      </c>
      <c r="F144" s="33">
        <f t="shared" si="1"/>
        <v>0.4090166667</v>
      </c>
      <c r="G144" s="8"/>
      <c r="H144" s="8"/>
      <c r="I144" s="8"/>
    </row>
    <row r="145" ht="15.75" customHeight="1">
      <c r="A145" s="19"/>
      <c r="B145" s="21">
        <v>143.0</v>
      </c>
      <c r="C145" s="23">
        <v>46259.0</v>
      </c>
      <c r="D145" s="26">
        <v>0.4071889583333333</v>
      </c>
      <c r="E145" s="26">
        <v>0.4069977546296296</v>
      </c>
      <c r="F145" s="33">
        <f t="shared" si="1"/>
        <v>0.2753333333</v>
      </c>
      <c r="G145" s="8"/>
      <c r="H145" s="8"/>
      <c r="I145" s="8"/>
    </row>
    <row r="146" ht="15.75" customHeight="1">
      <c r="A146" s="19"/>
      <c r="B146" s="21">
        <v>144.0</v>
      </c>
      <c r="C146" s="23">
        <v>46259.0</v>
      </c>
      <c r="D146" s="26">
        <v>0.4092680208333333</v>
      </c>
      <c r="E146" s="26">
        <v>0.4071889583333333</v>
      </c>
      <c r="F146" s="33">
        <f t="shared" si="1"/>
        <v>2.99385</v>
      </c>
      <c r="G146" s="8"/>
      <c r="H146" s="8"/>
      <c r="I146" s="8"/>
    </row>
    <row r="147" ht="15.75" customHeight="1">
      <c r="A147" s="19"/>
      <c r="B147" s="21">
        <v>145.0</v>
      </c>
      <c r="C147" s="23">
        <v>46259.0</v>
      </c>
      <c r="D147" s="26">
        <v>0.4093458912037037</v>
      </c>
      <c r="E147" s="26">
        <v>0.4092680208333333</v>
      </c>
      <c r="F147" s="33">
        <f t="shared" si="1"/>
        <v>0.1121333333</v>
      </c>
      <c r="G147" s="8"/>
      <c r="H147" s="8"/>
      <c r="I147" s="8"/>
    </row>
    <row r="148" ht="15.75" customHeight="1">
      <c r="A148" s="19"/>
      <c r="B148" s="21">
        <v>146.0</v>
      </c>
      <c r="C148" s="23">
        <v>46259.0</v>
      </c>
      <c r="D148" s="26">
        <v>0.4093855671296296</v>
      </c>
      <c r="E148" s="26">
        <v>0.4093458912037037</v>
      </c>
      <c r="F148" s="33">
        <f t="shared" si="1"/>
        <v>0.05713333333</v>
      </c>
      <c r="G148" s="8"/>
      <c r="H148" s="8"/>
      <c r="I148" s="8"/>
    </row>
    <row r="149" ht="15.75" customHeight="1">
      <c r="A149" s="19"/>
      <c r="B149" s="21">
        <v>147.0</v>
      </c>
      <c r="C149" s="23">
        <v>46259.0</v>
      </c>
      <c r="D149" s="26">
        <v>0.4096731365740741</v>
      </c>
      <c r="E149" s="26">
        <v>0.4093855671296296</v>
      </c>
      <c r="F149" s="33">
        <f t="shared" si="1"/>
        <v>0.4141</v>
      </c>
      <c r="G149" s="8"/>
      <c r="H149" s="8"/>
      <c r="I149" s="8"/>
    </row>
    <row r="150" ht="15.75" customHeight="1">
      <c r="A150" s="19"/>
      <c r="B150" s="21">
        <v>148.0</v>
      </c>
      <c r="C150" s="23">
        <v>46259.0</v>
      </c>
      <c r="D150" s="26">
        <v>0.4100040740740741</v>
      </c>
      <c r="E150" s="26">
        <v>0.4096731365740741</v>
      </c>
      <c r="F150" s="33">
        <f t="shared" si="1"/>
        <v>0.47655</v>
      </c>
      <c r="G150" s="8"/>
      <c r="H150" s="8"/>
      <c r="I150" s="8"/>
    </row>
    <row r="151" ht="15.75" customHeight="1">
      <c r="A151" s="19"/>
      <c r="B151" s="21">
        <v>149.0</v>
      </c>
      <c r="C151" s="23">
        <v>46259.0</v>
      </c>
      <c r="D151" s="26">
        <v>0.4105208449074074</v>
      </c>
      <c r="E151" s="26">
        <v>0.4100040740740741</v>
      </c>
      <c r="F151" s="33">
        <f t="shared" si="1"/>
        <v>0.74415</v>
      </c>
      <c r="G151" s="8"/>
      <c r="H151" s="8"/>
      <c r="I151" s="8"/>
    </row>
    <row r="152" ht="15.75" customHeight="1">
      <c r="A152" s="19"/>
      <c r="B152" s="21">
        <v>150.0</v>
      </c>
      <c r="C152" s="23">
        <v>46259.0</v>
      </c>
      <c r="D152" s="26">
        <v>0.4106765856481482</v>
      </c>
      <c r="E152" s="26">
        <v>0.4105208449074074</v>
      </c>
      <c r="F152" s="33">
        <f t="shared" si="1"/>
        <v>0.2242666667</v>
      </c>
      <c r="G152" s="8"/>
      <c r="H152" s="8"/>
      <c r="I152" s="8"/>
    </row>
    <row r="153" ht="15.75" customHeight="1">
      <c r="A153" s="19"/>
      <c r="B153" s="21">
        <v>151.0</v>
      </c>
      <c r="C153" s="23">
        <v>46259.0</v>
      </c>
      <c r="D153" s="26">
        <v>0.4109638657407407</v>
      </c>
      <c r="E153" s="26">
        <v>0.4106765856481482</v>
      </c>
      <c r="F153" s="33">
        <f t="shared" si="1"/>
        <v>0.4136833333</v>
      </c>
      <c r="G153" s="8"/>
      <c r="H153" s="8"/>
      <c r="I153" s="8"/>
    </row>
    <row r="154" ht="15.75" customHeight="1">
      <c r="A154" s="19"/>
      <c r="B154" s="21">
        <v>152.0</v>
      </c>
      <c r="C154" s="23">
        <v>46259.0</v>
      </c>
      <c r="D154" s="26">
        <v>0.4111347569444444</v>
      </c>
      <c r="E154" s="26">
        <v>0.4109638657407407</v>
      </c>
      <c r="F154" s="33">
        <f t="shared" si="1"/>
        <v>0.2460833333</v>
      </c>
      <c r="G154" s="8"/>
      <c r="H154" s="8"/>
      <c r="I154" s="8"/>
    </row>
    <row r="155" ht="15.75" customHeight="1">
      <c r="A155" s="19"/>
      <c r="B155" s="21">
        <v>153.0</v>
      </c>
      <c r="C155" s="23">
        <v>46259.0</v>
      </c>
      <c r="D155" s="26">
        <v>0.4116594791666667</v>
      </c>
      <c r="E155" s="26">
        <v>0.4111347569444444</v>
      </c>
      <c r="F155" s="33">
        <f t="shared" si="1"/>
        <v>0.7556</v>
      </c>
      <c r="G155" s="8"/>
      <c r="H155" s="8"/>
      <c r="I155" s="8"/>
    </row>
    <row r="156" ht="15.75" customHeight="1">
      <c r="A156" s="19"/>
      <c r="B156" s="21">
        <v>154.0</v>
      </c>
      <c r="C156" s="23">
        <v>46259.0</v>
      </c>
      <c r="D156" s="26">
        <v>0.4129269675925926</v>
      </c>
      <c r="E156" s="26">
        <v>0.4116594791666667</v>
      </c>
      <c r="F156" s="33">
        <f t="shared" si="1"/>
        <v>1.825183333</v>
      </c>
      <c r="G156" s="8"/>
      <c r="H156" s="8"/>
      <c r="I156" s="8"/>
    </row>
    <row r="157" ht="15.75" customHeight="1">
      <c r="A157" s="19"/>
      <c r="B157" s="21">
        <v>155.0</v>
      </c>
      <c r="C157" s="23">
        <v>46259.0</v>
      </c>
      <c r="D157" s="26">
        <v>0.4130491203703704</v>
      </c>
      <c r="E157" s="26">
        <v>0.4129269675925926</v>
      </c>
      <c r="F157" s="33">
        <f t="shared" si="1"/>
        <v>0.1759</v>
      </c>
      <c r="G157" s="8"/>
      <c r="H157" s="8"/>
      <c r="I157" s="8"/>
    </row>
    <row r="158" ht="15.75" customHeight="1">
      <c r="A158" s="19"/>
      <c r="B158" s="21">
        <v>156.0</v>
      </c>
      <c r="C158" s="23">
        <v>46259.0</v>
      </c>
      <c r="D158" s="26">
        <v>0.4138789699074074</v>
      </c>
      <c r="E158" s="26">
        <v>0.4130491203703704</v>
      </c>
      <c r="F158" s="33">
        <f t="shared" si="1"/>
        <v>1.194983333</v>
      </c>
      <c r="G158" s="8"/>
      <c r="H158" s="8"/>
      <c r="I158" s="8"/>
    </row>
    <row r="159" ht="15.75" customHeight="1">
      <c r="A159" s="19"/>
      <c r="B159" s="21">
        <v>157.0</v>
      </c>
      <c r="C159" s="23">
        <v>46259.0</v>
      </c>
      <c r="D159" s="26">
        <v>0.4144165972222222</v>
      </c>
      <c r="E159" s="26">
        <v>0.4138789699074074</v>
      </c>
      <c r="F159" s="33">
        <f t="shared" si="1"/>
        <v>0.7741833333</v>
      </c>
      <c r="G159" s="8"/>
      <c r="H159" s="8"/>
      <c r="I159" s="8"/>
    </row>
    <row r="160" ht="15.75" customHeight="1">
      <c r="A160" s="19"/>
      <c r="B160" s="21">
        <v>158.0</v>
      </c>
      <c r="C160" s="23">
        <v>46259.0</v>
      </c>
      <c r="D160" s="26">
        <v>0.4159493634259259</v>
      </c>
      <c r="E160" s="26">
        <v>0.4144165972222222</v>
      </c>
      <c r="F160" s="33">
        <f t="shared" si="1"/>
        <v>2.207183333</v>
      </c>
      <c r="G160" s="8"/>
      <c r="H160" s="8"/>
      <c r="I160" s="8"/>
    </row>
    <row r="161" ht="15.75" customHeight="1">
      <c r="A161" s="19"/>
      <c r="B161" s="21">
        <v>159.0</v>
      </c>
      <c r="C161" s="23">
        <v>46259.0</v>
      </c>
      <c r="D161" s="26">
        <v>0.4163565856481482</v>
      </c>
      <c r="E161" s="26">
        <v>0.4159493634259259</v>
      </c>
      <c r="F161" s="33">
        <f t="shared" si="1"/>
        <v>0.5864</v>
      </c>
      <c r="G161" s="8"/>
      <c r="H161" s="8"/>
      <c r="I161" s="8"/>
    </row>
    <row r="162" ht="15.75" customHeight="1">
      <c r="A162" s="19"/>
      <c r="B162" s="21">
        <v>160.0</v>
      </c>
      <c r="C162" s="23">
        <v>46260.0</v>
      </c>
      <c r="D162" s="26">
        <v>0.3757640740740741</v>
      </c>
      <c r="E162" s="26">
        <v>0.3753515277777777</v>
      </c>
      <c r="F162" s="33">
        <f t="shared" si="1"/>
        <v>0.5940666667</v>
      </c>
      <c r="G162" s="8"/>
      <c r="H162" s="8"/>
      <c r="I162" s="8"/>
    </row>
    <row r="163" ht="15.75" customHeight="1">
      <c r="A163" s="19"/>
      <c r="B163" s="21">
        <v>161.0</v>
      </c>
      <c r="C163" s="23">
        <v>46260.0</v>
      </c>
      <c r="D163" s="26">
        <v>0.3758894097222222</v>
      </c>
      <c r="E163" s="26">
        <v>0.3757640740740741</v>
      </c>
      <c r="F163" s="33">
        <f t="shared" si="1"/>
        <v>0.1804833333</v>
      </c>
      <c r="G163" s="8"/>
      <c r="H163" s="8"/>
      <c r="I163" s="8"/>
    </row>
    <row r="164" ht="15.75" customHeight="1">
      <c r="A164" s="19"/>
      <c r="B164" s="21">
        <v>162.0</v>
      </c>
      <c r="C164" s="23">
        <v>46260.0</v>
      </c>
      <c r="D164" s="26">
        <v>0.3760538194444444</v>
      </c>
      <c r="E164" s="26">
        <v>0.3758894097222222</v>
      </c>
      <c r="F164" s="33">
        <f t="shared" si="1"/>
        <v>0.23675</v>
      </c>
      <c r="G164" s="8"/>
      <c r="H164" s="8"/>
      <c r="I164" s="8"/>
    </row>
    <row r="165" ht="15.75" customHeight="1">
      <c r="A165" s="19"/>
      <c r="B165" s="21">
        <v>163.0</v>
      </c>
      <c r="C165" s="23">
        <v>46260.0</v>
      </c>
      <c r="D165" s="26">
        <v>0.3765016319444445</v>
      </c>
      <c r="E165" s="26">
        <v>0.3760538194444444</v>
      </c>
      <c r="F165" s="33">
        <f t="shared" si="1"/>
        <v>0.64485</v>
      </c>
      <c r="G165" s="8"/>
      <c r="H165" s="8"/>
      <c r="I165" s="8"/>
    </row>
    <row r="166" ht="15.75" customHeight="1">
      <c r="A166" s="19"/>
      <c r="B166" s="21">
        <v>164.0</v>
      </c>
      <c r="C166" s="23">
        <v>46260.0</v>
      </c>
      <c r="D166" s="26">
        <v>0.3765713194444444</v>
      </c>
      <c r="E166" s="26">
        <v>0.3765016319444445</v>
      </c>
      <c r="F166" s="33">
        <f t="shared" si="1"/>
        <v>0.10035</v>
      </c>
      <c r="G166" s="8"/>
      <c r="H166" s="8"/>
      <c r="I166" s="8"/>
    </row>
    <row r="167" ht="15.75" customHeight="1">
      <c r="A167" s="19"/>
      <c r="B167" s="21">
        <v>165.0</v>
      </c>
      <c r="C167" s="23">
        <v>46260.0</v>
      </c>
      <c r="D167" s="26">
        <v>0.3765755208333333</v>
      </c>
      <c r="E167" s="26">
        <v>0.3765713194444444</v>
      </c>
      <c r="F167" s="33">
        <f t="shared" si="1"/>
        <v>0.00605</v>
      </c>
      <c r="G167" s="8"/>
      <c r="H167" s="8"/>
      <c r="I167" s="8"/>
    </row>
    <row r="168" ht="15.75" customHeight="1">
      <c r="A168" s="19"/>
      <c r="B168" s="21">
        <v>166.0</v>
      </c>
      <c r="C168" s="23">
        <v>46260.0</v>
      </c>
      <c r="D168" s="26">
        <v>0.3767558101851852</v>
      </c>
      <c r="E168" s="26">
        <v>0.3765755208333333</v>
      </c>
      <c r="F168" s="33">
        <f t="shared" si="1"/>
        <v>0.2596166667</v>
      </c>
      <c r="G168" s="8"/>
      <c r="H168" s="8"/>
      <c r="I168" s="8"/>
    </row>
    <row r="169" ht="15.75" customHeight="1">
      <c r="A169" s="19"/>
      <c r="B169" s="21">
        <v>167.0</v>
      </c>
      <c r="C169" s="23">
        <v>46260.0</v>
      </c>
      <c r="D169" s="26">
        <v>0.3771473032407407</v>
      </c>
      <c r="E169" s="26">
        <v>0.3767558101851852</v>
      </c>
      <c r="F169" s="33">
        <f t="shared" si="1"/>
        <v>0.56375</v>
      </c>
      <c r="G169" s="8"/>
      <c r="H169" s="8"/>
      <c r="I169" s="8"/>
    </row>
    <row r="170" ht="15.75" customHeight="1">
      <c r="A170" s="19"/>
      <c r="B170" s="21">
        <v>168.0</v>
      </c>
      <c r="C170" s="23">
        <v>46260.0</v>
      </c>
      <c r="D170" s="26">
        <v>0.3772039930555555</v>
      </c>
      <c r="E170" s="26">
        <v>0.3771473032407407</v>
      </c>
      <c r="F170" s="33">
        <f t="shared" si="1"/>
        <v>0.08163333333</v>
      </c>
      <c r="G170" s="8"/>
      <c r="H170" s="8"/>
      <c r="I170" s="8"/>
    </row>
    <row r="171" ht="15.75" customHeight="1">
      <c r="A171" s="19"/>
      <c r="B171" s="21">
        <v>169.0</v>
      </c>
      <c r="C171" s="23">
        <v>46260.0</v>
      </c>
      <c r="D171" s="26">
        <v>0.3776032060185185</v>
      </c>
      <c r="E171" s="26">
        <v>0.3772039930555555</v>
      </c>
      <c r="F171" s="33">
        <f t="shared" si="1"/>
        <v>0.5748666667</v>
      </c>
      <c r="G171" s="8"/>
      <c r="H171" s="8"/>
      <c r="I171" s="8"/>
    </row>
    <row r="172" ht="15.75" customHeight="1">
      <c r="A172" s="19"/>
      <c r="B172" s="21">
        <v>170.0</v>
      </c>
      <c r="C172" s="23">
        <v>46260.0</v>
      </c>
      <c r="D172" s="26">
        <v>0.3783795486111111</v>
      </c>
      <c r="E172" s="26">
        <v>0.3776032060185185</v>
      </c>
      <c r="F172" s="33">
        <f t="shared" si="1"/>
        <v>1.117933333</v>
      </c>
      <c r="G172" s="8"/>
      <c r="H172" s="8"/>
      <c r="I172" s="8"/>
    </row>
    <row r="173" ht="15.75" customHeight="1">
      <c r="A173" s="19"/>
      <c r="B173" s="21">
        <v>171.0</v>
      </c>
      <c r="C173" s="23">
        <v>46260.0</v>
      </c>
      <c r="D173" s="26">
        <v>0.3790782175925926</v>
      </c>
      <c r="E173" s="26">
        <v>0.3783795486111111</v>
      </c>
      <c r="F173" s="33">
        <f t="shared" si="1"/>
        <v>1.006083333</v>
      </c>
      <c r="G173" s="8"/>
      <c r="H173" s="8"/>
      <c r="I173" s="8"/>
    </row>
    <row r="174" ht="15.75" customHeight="1">
      <c r="A174" s="19"/>
      <c r="B174" s="21">
        <v>172.0</v>
      </c>
      <c r="C174" s="23">
        <v>46260.0</v>
      </c>
      <c r="D174" s="26">
        <v>0.3793029050925926</v>
      </c>
      <c r="E174" s="26">
        <v>0.3790782175925926</v>
      </c>
      <c r="F174" s="33">
        <f t="shared" si="1"/>
        <v>0.32355</v>
      </c>
      <c r="G174" s="8"/>
      <c r="H174" s="8"/>
      <c r="I174" s="8"/>
    </row>
    <row r="175" ht="15.75" customHeight="1">
      <c r="A175" s="19"/>
      <c r="B175" s="21">
        <v>173.0</v>
      </c>
      <c r="C175" s="23">
        <v>46260.0</v>
      </c>
      <c r="D175" s="26">
        <v>0.3795124074074074</v>
      </c>
      <c r="E175" s="26">
        <v>0.3793029050925926</v>
      </c>
      <c r="F175" s="33">
        <f t="shared" si="1"/>
        <v>0.3016833333</v>
      </c>
      <c r="G175" s="8"/>
      <c r="H175" s="8"/>
      <c r="I175" s="8"/>
    </row>
    <row r="176" ht="15.75" customHeight="1">
      <c r="A176" s="19"/>
      <c r="B176" s="21">
        <v>174.0</v>
      </c>
      <c r="C176" s="23">
        <v>46260.0</v>
      </c>
      <c r="D176" s="26">
        <v>0.3800584837962963</v>
      </c>
      <c r="E176" s="26">
        <v>0.3795124074074074</v>
      </c>
      <c r="F176" s="33">
        <f t="shared" si="1"/>
        <v>0.78635</v>
      </c>
      <c r="G176" s="8"/>
      <c r="H176" s="8"/>
      <c r="I176" s="8"/>
    </row>
    <row r="177" ht="15.75" customHeight="1">
      <c r="A177" s="19"/>
      <c r="B177" s="21">
        <v>175.0</v>
      </c>
      <c r="C177" s="23">
        <v>46260.0</v>
      </c>
      <c r="D177" s="26">
        <v>0.3801240162037037</v>
      </c>
      <c r="E177" s="26">
        <v>0.3800584837962963</v>
      </c>
      <c r="F177" s="33">
        <f t="shared" si="1"/>
        <v>0.09436666667</v>
      </c>
      <c r="G177" s="8"/>
      <c r="H177" s="8"/>
      <c r="I177" s="8"/>
    </row>
    <row r="178" ht="15.75" customHeight="1">
      <c r="A178" s="19"/>
      <c r="B178" s="21">
        <v>176.0</v>
      </c>
      <c r="C178" s="23">
        <v>46260.0</v>
      </c>
      <c r="D178" s="26">
        <v>0.3803459143518519</v>
      </c>
      <c r="E178" s="26">
        <v>0.3801240162037037</v>
      </c>
      <c r="F178" s="33">
        <f t="shared" si="1"/>
        <v>0.3195333333</v>
      </c>
      <c r="G178" s="8"/>
      <c r="H178" s="8"/>
      <c r="I178" s="8"/>
    </row>
    <row r="179" ht="15.75" customHeight="1">
      <c r="A179" s="19"/>
      <c r="B179" s="21">
        <v>177.0</v>
      </c>
      <c r="C179" s="23">
        <v>46260.0</v>
      </c>
      <c r="D179" s="26">
        <v>0.380369675925926</v>
      </c>
      <c r="E179" s="26">
        <v>0.3803459143518519</v>
      </c>
      <c r="F179" s="33">
        <f t="shared" si="1"/>
        <v>0.03421666667</v>
      </c>
      <c r="G179" s="8"/>
      <c r="H179" s="8"/>
      <c r="I179" s="8"/>
    </row>
    <row r="180" ht="15.75" customHeight="1">
      <c r="A180" s="19"/>
      <c r="B180" s="21">
        <v>178.0</v>
      </c>
      <c r="C180" s="23">
        <v>46260.0</v>
      </c>
      <c r="D180" s="26">
        <v>0.380731574074074</v>
      </c>
      <c r="E180" s="26">
        <v>0.380369675925926</v>
      </c>
      <c r="F180" s="33">
        <f t="shared" si="1"/>
        <v>0.5211333333</v>
      </c>
      <c r="G180" s="8"/>
      <c r="H180" s="8"/>
      <c r="I180" s="8"/>
    </row>
    <row r="181" ht="15.75" customHeight="1">
      <c r="A181" s="19"/>
      <c r="B181" s="21">
        <v>179.0</v>
      </c>
      <c r="C181" s="23">
        <v>46260.0</v>
      </c>
      <c r="D181" s="26">
        <v>0.3814571875</v>
      </c>
      <c r="E181" s="26">
        <v>0.380731574074074</v>
      </c>
      <c r="F181" s="33">
        <f t="shared" si="1"/>
        <v>1.044883333</v>
      </c>
      <c r="G181" s="8"/>
      <c r="H181" s="8"/>
      <c r="I181" s="8"/>
    </row>
    <row r="182" ht="15.75" customHeight="1">
      <c r="A182" s="19"/>
      <c r="B182" s="21">
        <v>180.0</v>
      </c>
      <c r="C182" s="23">
        <v>46260.0</v>
      </c>
      <c r="D182" s="26">
        <v>0.3826342708333333</v>
      </c>
      <c r="E182" s="26">
        <v>0.3814571875</v>
      </c>
      <c r="F182" s="33">
        <f t="shared" si="1"/>
        <v>1.695</v>
      </c>
      <c r="G182" s="8"/>
      <c r="H182" s="8"/>
      <c r="I182" s="8"/>
    </row>
    <row r="183" ht="15.75" customHeight="1">
      <c r="A183" s="19"/>
      <c r="B183" s="21">
        <v>181.0</v>
      </c>
      <c r="C183" s="23">
        <v>46260.0</v>
      </c>
      <c r="D183" s="26">
        <v>0.3832428819444444</v>
      </c>
      <c r="E183" s="26">
        <v>0.3826342708333333</v>
      </c>
      <c r="F183" s="33">
        <f t="shared" si="1"/>
        <v>0.8764</v>
      </c>
      <c r="G183" s="8"/>
      <c r="H183" s="8"/>
      <c r="I183" s="8"/>
    </row>
    <row r="184" ht="15.75" customHeight="1">
      <c r="A184" s="19"/>
      <c r="B184" s="21">
        <v>182.0</v>
      </c>
      <c r="C184" s="23">
        <v>46260.0</v>
      </c>
      <c r="D184" s="26">
        <v>0.3833963078703704</v>
      </c>
      <c r="E184" s="26">
        <v>0.3832428819444444</v>
      </c>
      <c r="F184" s="33">
        <f t="shared" si="1"/>
        <v>0.2209333333</v>
      </c>
      <c r="G184" s="8"/>
      <c r="H184" s="8"/>
      <c r="I184" s="8"/>
    </row>
    <row r="185" ht="15.75" customHeight="1">
      <c r="A185" s="19"/>
      <c r="B185" s="21">
        <v>183.0</v>
      </c>
      <c r="C185" s="23">
        <v>46260.0</v>
      </c>
      <c r="D185" s="26">
        <v>0.3837283912037037</v>
      </c>
      <c r="E185" s="26">
        <v>0.3833963078703704</v>
      </c>
      <c r="F185" s="33">
        <f t="shared" si="1"/>
        <v>0.4782</v>
      </c>
      <c r="G185" s="8"/>
      <c r="H185" s="8"/>
      <c r="I185" s="8"/>
    </row>
    <row r="186" ht="15.75" customHeight="1">
      <c r="A186" s="19"/>
      <c r="B186" s="21">
        <v>184.0</v>
      </c>
      <c r="C186" s="23">
        <v>46260.0</v>
      </c>
      <c r="D186" s="26">
        <v>0.3839183796296297</v>
      </c>
      <c r="E186" s="26">
        <v>0.3837283912037037</v>
      </c>
      <c r="F186" s="33">
        <f t="shared" si="1"/>
        <v>0.2735833333</v>
      </c>
      <c r="G186" s="8"/>
      <c r="H186" s="8"/>
      <c r="I186" s="8"/>
    </row>
    <row r="187" ht="15.75" customHeight="1">
      <c r="A187" s="19"/>
      <c r="B187" s="21">
        <v>185.0</v>
      </c>
      <c r="C187" s="23">
        <v>46260.0</v>
      </c>
      <c r="D187" s="26">
        <v>0.3845944791666667</v>
      </c>
      <c r="E187" s="26">
        <v>0.3839183796296297</v>
      </c>
      <c r="F187" s="33">
        <f t="shared" si="1"/>
        <v>0.9735833333</v>
      </c>
      <c r="G187" s="8"/>
      <c r="H187" s="8"/>
      <c r="I187" s="8"/>
    </row>
    <row r="188" ht="15.75" customHeight="1">
      <c r="A188" s="19"/>
      <c r="B188" s="21">
        <v>186.0</v>
      </c>
      <c r="C188" s="23">
        <v>46260.0</v>
      </c>
      <c r="D188" s="26">
        <v>0.3848883217592593</v>
      </c>
      <c r="E188" s="26">
        <v>0.3845944791666667</v>
      </c>
      <c r="F188" s="33">
        <f t="shared" si="1"/>
        <v>0.4231333333</v>
      </c>
      <c r="G188" s="8"/>
      <c r="H188" s="8"/>
      <c r="I188" s="8"/>
    </row>
    <row r="189" ht="15.75" customHeight="1">
      <c r="A189" s="19"/>
      <c r="B189" s="21">
        <v>187.0</v>
      </c>
      <c r="C189" s="23">
        <v>46260.0</v>
      </c>
      <c r="D189" s="26">
        <v>0.3855028240740741</v>
      </c>
      <c r="E189" s="26">
        <v>0.3848883217592593</v>
      </c>
      <c r="F189" s="33">
        <f t="shared" si="1"/>
        <v>0.8848833333</v>
      </c>
      <c r="G189" s="8"/>
      <c r="H189" s="8"/>
      <c r="I189" s="8"/>
    </row>
    <row r="190" ht="15.75" customHeight="1">
      <c r="A190" s="19"/>
      <c r="B190" s="21">
        <v>188.0</v>
      </c>
      <c r="C190" s="23">
        <v>46260.0</v>
      </c>
      <c r="D190" s="26">
        <v>0.3858693402777778</v>
      </c>
      <c r="E190" s="26">
        <v>0.3855028240740741</v>
      </c>
      <c r="F190" s="33">
        <f t="shared" si="1"/>
        <v>0.5277833333</v>
      </c>
      <c r="G190" s="8"/>
      <c r="H190" s="8"/>
      <c r="I190" s="8"/>
    </row>
    <row r="191" ht="15.75" customHeight="1">
      <c r="A191" s="19"/>
      <c r="B191" s="21">
        <v>189.0</v>
      </c>
      <c r="C191" s="23">
        <v>46260.0</v>
      </c>
      <c r="D191" s="26">
        <v>0.3864875462962963</v>
      </c>
      <c r="E191" s="26">
        <v>0.3858693402777778</v>
      </c>
      <c r="F191" s="33">
        <f t="shared" si="1"/>
        <v>0.8902166667</v>
      </c>
      <c r="G191" s="8"/>
      <c r="H191" s="8"/>
      <c r="I191" s="8"/>
    </row>
    <row r="192" ht="15.75" customHeight="1">
      <c r="A192" s="19"/>
      <c r="B192" s="21">
        <v>190.0</v>
      </c>
      <c r="C192" s="23">
        <v>46260.0</v>
      </c>
      <c r="D192" s="26">
        <v>0.3869906597222222</v>
      </c>
      <c r="E192" s="26">
        <v>0.3864875462962963</v>
      </c>
      <c r="F192" s="33">
        <f t="shared" si="1"/>
        <v>0.7244833333</v>
      </c>
      <c r="G192" s="8"/>
      <c r="H192" s="8"/>
      <c r="I192" s="8"/>
    </row>
    <row r="193" ht="15.75" customHeight="1">
      <c r="A193" s="19"/>
      <c r="B193" s="21">
        <v>191.0</v>
      </c>
      <c r="C193" s="23">
        <v>46260.0</v>
      </c>
      <c r="D193" s="26">
        <v>0.3875556828703704</v>
      </c>
      <c r="E193" s="26">
        <v>0.3869906597222222</v>
      </c>
      <c r="F193" s="33">
        <f t="shared" si="1"/>
        <v>0.8136333333</v>
      </c>
      <c r="G193" s="8"/>
      <c r="H193" s="8"/>
      <c r="I193" s="8"/>
    </row>
    <row r="194" ht="15.75" customHeight="1">
      <c r="A194" s="19"/>
      <c r="B194" s="21">
        <v>192.0</v>
      </c>
      <c r="C194" s="23">
        <v>46260.0</v>
      </c>
      <c r="D194" s="26">
        <v>0.3882278819444445</v>
      </c>
      <c r="E194" s="26">
        <v>0.3875556828703704</v>
      </c>
      <c r="F194" s="33">
        <f t="shared" si="1"/>
        <v>0.9679666667</v>
      </c>
      <c r="G194" s="8"/>
      <c r="H194" s="8"/>
      <c r="I194" s="8"/>
    </row>
    <row r="195" ht="15.75" customHeight="1">
      <c r="A195" s="19"/>
      <c r="B195" s="21">
        <v>193.0</v>
      </c>
      <c r="C195" s="23">
        <v>46260.0</v>
      </c>
      <c r="D195" s="26">
        <v>0.3888783912037037</v>
      </c>
      <c r="E195" s="26">
        <v>0.3882278819444445</v>
      </c>
      <c r="F195" s="33">
        <f t="shared" si="1"/>
        <v>0.9367333333</v>
      </c>
      <c r="G195" s="8"/>
      <c r="H195" s="8"/>
      <c r="I195" s="8"/>
    </row>
    <row r="196" ht="15.75" customHeight="1">
      <c r="A196" s="19"/>
      <c r="B196" s="21">
        <v>194.0</v>
      </c>
      <c r="C196" s="23">
        <v>46260.0</v>
      </c>
      <c r="D196" s="26">
        <v>0.388960474537037</v>
      </c>
      <c r="E196" s="26">
        <v>0.3888783912037037</v>
      </c>
      <c r="F196" s="33">
        <f t="shared" si="1"/>
        <v>0.1182</v>
      </c>
      <c r="G196" s="8"/>
      <c r="H196" s="8"/>
      <c r="I196" s="8"/>
    </row>
    <row r="197" ht="15.75" customHeight="1">
      <c r="A197" s="19"/>
      <c r="B197" s="21">
        <v>195.0</v>
      </c>
      <c r="C197" s="23">
        <v>46260.0</v>
      </c>
      <c r="D197" s="26">
        <v>0.3900572569444444</v>
      </c>
      <c r="E197" s="26">
        <v>0.388960474537037</v>
      </c>
      <c r="F197" s="33">
        <f t="shared" si="1"/>
        <v>1.579366667</v>
      </c>
      <c r="G197" s="8"/>
      <c r="H197" s="8"/>
      <c r="I197" s="8"/>
    </row>
    <row r="198" ht="15.75" customHeight="1">
      <c r="A198" s="19"/>
      <c r="B198" s="21">
        <v>196.0</v>
      </c>
      <c r="C198" s="23">
        <v>46260.0</v>
      </c>
      <c r="D198" s="26">
        <v>0.3904299884259259</v>
      </c>
      <c r="E198" s="26">
        <v>0.3900572569444444</v>
      </c>
      <c r="F198" s="33">
        <f t="shared" si="1"/>
        <v>0.5367333333</v>
      </c>
      <c r="G198" s="8"/>
      <c r="H198" s="8"/>
      <c r="I198" s="8"/>
    </row>
    <row r="199" ht="15.75" customHeight="1">
      <c r="A199" s="19"/>
      <c r="B199" s="21">
        <v>197.0</v>
      </c>
      <c r="C199" s="23">
        <v>46260.0</v>
      </c>
      <c r="D199" s="26">
        <v>0.3908248842592592</v>
      </c>
      <c r="E199" s="26">
        <v>0.3904299884259259</v>
      </c>
      <c r="F199" s="33">
        <f t="shared" si="1"/>
        <v>0.56865</v>
      </c>
      <c r="G199" s="8"/>
      <c r="H199" s="8"/>
      <c r="I199" s="8"/>
    </row>
    <row r="200" ht="15.75" customHeight="1">
      <c r="A200" s="19"/>
      <c r="B200" s="21">
        <v>198.0</v>
      </c>
      <c r="C200" s="23">
        <v>46260.0</v>
      </c>
      <c r="D200" s="26">
        <v>0.3908807060185185</v>
      </c>
      <c r="E200" s="26">
        <v>0.3908248842592592</v>
      </c>
      <c r="F200" s="33">
        <f t="shared" si="1"/>
        <v>0.08038333333</v>
      </c>
      <c r="G200" s="8"/>
      <c r="H200" s="8"/>
      <c r="I200" s="8"/>
    </row>
    <row r="201" ht="15.75" customHeight="1">
      <c r="A201" s="19"/>
      <c r="B201" s="21">
        <v>199.0</v>
      </c>
      <c r="C201" s="23">
        <v>46260.0</v>
      </c>
      <c r="D201" s="26">
        <v>0.3908946527777778</v>
      </c>
      <c r="E201" s="26">
        <v>0.3908807060185185</v>
      </c>
      <c r="F201" s="33">
        <f t="shared" si="1"/>
        <v>0.02008333333</v>
      </c>
      <c r="G201" s="8"/>
      <c r="H201" s="8"/>
      <c r="I201" s="8"/>
    </row>
    <row r="202" ht="15.75" customHeight="1">
      <c r="A202" s="19"/>
      <c r="B202" s="21">
        <v>200.0</v>
      </c>
      <c r="C202" s="23">
        <v>46260.0</v>
      </c>
      <c r="D202" s="26">
        <v>0.3910398148148148</v>
      </c>
      <c r="E202" s="26">
        <v>0.3908946527777778</v>
      </c>
      <c r="F202" s="33">
        <f t="shared" si="1"/>
        <v>0.2090333333</v>
      </c>
      <c r="G202" s="8"/>
      <c r="H202" s="8"/>
      <c r="I202" s="8"/>
    </row>
    <row r="203" ht="15.75" customHeight="1">
      <c r="A203" s="19"/>
      <c r="B203" s="21">
        <v>201.0</v>
      </c>
      <c r="C203" s="23">
        <v>46260.0</v>
      </c>
      <c r="D203" s="26">
        <v>0.3917575694444445</v>
      </c>
      <c r="E203" s="26">
        <v>0.3910398148148148</v>
      </c>
      <c r="F203" s="33">
        <f t="shared" si="1"/>
        <v>1.033566667</v>
      </c>
      <c r="G203" s="8"/>
      <c r="H203" s="8"/>
      <c r="I203" s="8"/>
    </row>
    <row r="204" ht="15.75" customHeight="1">
      <c r="A204" s="19"/>
      <c r="B204" s="21">
        <v>202.0</v>
      </c>
      <c r="C204" s="23">
        <v>46260.0</v>
      </c>
      <c r="D204" s="26">
        <v>0.3919711226851852</v>
      </c>
      <c r="E204" s="26">
        <v>0.3917575694444445</v>
      </c>
      <c r="F204" s="33">
        <f t="shared" si="1"/>
        <v>0.3075166667</v>
      </c>
      <c r="G204" s="8"/>
      <c r="H204" s="8"/>
      <c r="I204" s="8"/>
    </row>
    <row r="205" ht="15.75" customHeight="1">
      <c r="A205" s="19"/>
      <c r="B205" s="21">
        <v>203.0</v>
      </c>
      <c r="C205" s="23">
        <v>46260.0</v>
      </c>
      <c r="D205" s="26">
        <v>0.3926063078703703</v>
      </c>
      <c r="E205" s="26">
        <v>0.3919711226851852</v>
      </c>
      <c r="F205" s="33">
        <f t="shared" si="1"/>
        <v>0.9146666667</v>
      </c>
      <c r="G205" s="8"/>
      <c r="H205" s="8"/>
      <c r="I205" s="8"/>
    </row>
    <row r="206" ht="15.75" customHeight="1">
      <c r="A206" s="19"/>
      <c r="B206" s="21">
        <v>204.0</v>
      </c>
      <c r="C206" s="23">
        <v>46260.0</v>
      </c>
      <c r="D206" s="26">
        <v>0.3930188194444444</v>
      </c>
      <c r="E206" s="26">
        <v>0.3926063078703703</v>
      </c>
      <c r="F206" s="33">
        <f t="shared" si="1"/>
        <v>0.5940166667</v>
      </c>
      <c r="G206" s="8"/>
      <c r="H206" s="8"/>
      <c r="I206" s="8"/>
    </row>
    <row r="207" ht="15.75" customHeight="1">
      <c r="A207" s="19"/>
      <c r="B207" s="21">
        <v>205.0</v>
      </c>
      <c r="C207" s="23">
        <v>46260.0</v>
      </c>
      <c r="D207" s="26">
        <v>0.3936648842592593</v>
      </c>
      <c r="E207" s="26">
        <v>0.3930188194444444</v>
      </c>
      <c r="F207" s="33">
        <f t="shared" si="1"/>
        <v>0.9303333333</v>
      </c>
      <c r="G207" s="8"/>
      <c r="H207" s="8"/>
      <c r="I207" s="8"/>
    </row>
    <row r="208" ht="15.75" customHeight="1">
      <c r="A208" s="19"/>
      <c r="B208" s="21">
        <v>206.0</v>
      </c>
      <c r="C208" s="23">
        <v>46260.0</v>
      </c>
      <c r="D208" s="26">
        <v>0.393866412037037</v>
      </c>
      <c r="E208" s="26">
        <v>0.3936648842592593</v>
      </c>
      <c r="F208" s="33">
        <f t="shared" si="1"/>
        <v>0.2902</v>
      </c>
      <c r="G208" s="8"/>
      <c r="H208" s="8"/>
      <c r="I208" s="8"/>
    </row>
    <row r="209" ht="15.75" customHeight="1">
      <c r="A209" s="19"/>
      <c r="B209" s="21">
        <v>207.0</v>
      </c>
      <c r="C209" s="23">
        <v>46260.0</v>
      </c>
      <c r="D209" s="26">
        <v>0.3940293402777778</v>
      </c>
      <c r="E209" s="26">
        <v>0.393866412037037</v>
      </c>
      <c r="F209" s="33">
        <f t="shared" si="1"/>
        <v>0.2346166667</v>
      </c>
      <c r="G209" s="8"/>
      <c r="H209" s="8"/>
      <c r="I209" s="8"/>
    </row>
    <row r="210" ht="15.75" customHeight="1">
      <c r="A210" s="19"/>
      <c r="B210" s="21">
        <v>208.0</v>
      </c>
      <c r="C210" s="23">
        <v>46260.0</v>
      </c>
      <c r="D210" s="26">
        <v>0.3945235300925926</v>
      </c>
      <c r="E210" s="26">
        <v>0.3940293402777778</v>
      </c>
      <c r="F210" s="33">
        <f t="shared" si="1"/>
        <v>0.7116333333</v>
      </c>
      <c r="G210" s="8"/>
      <c r="H210" s="8"/>
      <c r="I210" s="8"/>
    </row>
    <row r="211" ht="15.75" customHeight="1">
      <c r="A211" s="19"/>
      <c r="B211" s="21">
        <v>209.0</v>
      </c>
      <c r="C211" s="23">
        <v>46260.0</v>
      </c>
      <c r="D211" s="26">
        <v>0.3947045486111111</v>
      </c>
      <c r="E211" s="26">
        <v>0.3945235300925926</v>
      </c>
      <c r="F211" s="33">
        <f t="shared" si="1"/>
        <v>0.2606666667</v>
      </c>
      <c r="G211" s="8"/>
      <c r="H211" s="8"/>
      <c r="I211" s="8"/>
    </row>
    <row r="212" ht="15.75" customHeight="1">
      <c r="A212" s="19"/>
      <c r="B212" s="21">
        <v>210.0</v>
      </c>
      <c r="C212" s="23">
        <v>46260.0</v>
      </c>
      <c r="D212" s="26">
        <v>0.3949254282407407</v>
      </c>
      <c r="E212" s="26">
        <v>0.3947045486111111</v>
      </c>
      <c r="F212" s="33">
        <f t="shared" si="1"/>
        <v>0.3180666667</v>
      </c>
      <c r="G212" s="8"/>
      <c r="H212" s="8"/>
      <c r="I212" s="8"/>
    </row>
    <row r="213" ht="15.75" customHeight="1">
      <c r="A213" s="19"/>
      <c r="B213" s="21">
        <v>211.0</v>
      </c>
      <c r="C213" s="23">
        <v>46260.0</v>
      </c>
      <c r="D213" s="26">
        <v>0.3950346527777778</v>
      </c>
      <c r="E213" s="26">
        <v>0.3949254282407407</v>
      </c>
      <c r="F213" s="33">
        <f t="shared" si="1"/>
        <v>0.1572833333</v>
      </c>
      <c r="G213" s="8"/>
      <c r="H213" s="8"/>
      <c r="I213" s="8"/>
    </row>
    <row r="214" ht="15.75" customHeight="1">
      <c r="A214" s="19"/>
      <c r="B214" s="21">
        <v>212.0</v>
      </c>
      <c r="C214" s="23">
        <v>46260.0</v>
      </c>
      <c r="D214" s="26">
        <v>0.3961286111111111</v>
      </c>
      <c r="E214" s="26">
        <v>0.3950346527777778</v>
      </c>
      <c r="F214" s="33">
        <f t="shared" si="1"/>
        <v>1.5753</v>
      </c>
      <c r="G214" s="8"/>
      <c r="H214" s="8"/>
      <c r="I214" s="8"/>
    </row>
    <row r="215" ht="15.75" customHeight="1">
      <c r="A215" s="19"/>
      <c r="B215" s="21">
        <v>213.0</v>
      </c>
      <c r="C215" s="23">
        <v>46260.0</v>
      </c>
      <c r="D215" s="26">
        <v>0.3963975</v>
      </c>
      <c r="E215" s="26">
        <v>0.3961286111111111</v>
      </c>
      <c r="F215" s="33">
        <f t="shared" si="1"/>
        <v>0.3872</v>
      </c>
      <c r="G215" s="8"/>
      <c r="H215" s="8"/>
      <c r="I215" s="8"/>
    </row>
    <row r="216" ht="15.75" customHeight="1">
      <c r="A216" s="19"/>
      <c r="B216" s="21">
        <v>214.0</v>
      </c>
      <c r="C216" s="23">
        <v>46260.0</v>
      </c>
      <c r="D216" s="26">
        <v>0.396503599537037</v>
      </c>
      <c r="E216" s="26">
        <v>0.3963975</v>
      </c>
      <c r="F216" s="33">
        <f t="shared" si="1"/>
        <v>0.1527833333</v>
      </c>
      <c r="G216" s="8"/>
      <c r="H216" s="8"/>
      <c r="I216" s="8"/>
    </row>
    <row r="217" ht="15.75" customHeight="1">
      <c r="A217" s="19"/>
      <c r="B217" s="21">
        <v>215.0</v>
      </c>
      <c r="C217" s="23">
        <v>46260.0</v>
      </c>
      <c r="D217" s="26">
        <v>0.3973797337962963</v>
      </c>
      <c r="E217" s="26">
        <v>0.396503599537037</v>
      </c>
      <c r="F217" s="33">
        <f t="shared" si="1"/>
        <v>1.261633333</v>
      </c>
      <c r="G217" s="8"/>
      <c r="H217" s="8"/>
      <c r="I217" s="8"/>
    </row>
    <row r="218" ht="15.75" customHeight="1">
      <c r="A218" s="19"/>
      <c r="B218" s="21">
        <v>216.0</v>
      </c>
      <c r="C218" s="23">
        <v>46260.0</v>
      </c>
      <c r="D218" s="26">
        <v>0.3976986921296297</v>
      </c>
      <c r="E218" s="26">
        <v>0.3973797337962963</v>
      </c>
      <c r="F218" s="33">
        <f t="shared" si="1"/>
        <v>0.4593</v>
      </c>
      <c r="G218" s="8"/>
      <c r="H218" s="8"/>
      <c r="I218" s="8"/>
    </row>
    <row r="219" ht="15.75" customHeight="1">
      <c r="A219" s="19"/>
      <c r="B219" s="21">
        <v>217.0</v>
      </c>
      <c r="C219" s="23">
        <v>46260.0</v>
      </c>
      <c r="D219" s="26">
        <v>0.3978834259259259</v>
      </c>
      <c r="E219" s="26">
        <v>0.3976986921296297</v>
      </c>
      <c r="F219" s="33">
        <f t="shared" si="1"/>
        <v>0.2660166667</v>
      </c>
      <c r="G219" s="8"/>
      <c r="H219" s="8"/>
      <c r="I219" s="8"/>
    </row>
    <row r="220" ht="15.75" customHeight="1">
      <c r="A220" s="19"/>
      <c r="B220" s="21">
        <v>218.0</v>
      </c>
      <c r="C220" s="23">
        <v>46260.0</v>
      </c>
      <c r="D220" s="26">
        <v>0.3980499305555556</v>
      </c>
      <c r="E220" s="26">
        <v>0.3978834259259259</v>
      </c>
      <c r="F220" s="33">
        <f t="shared" si="1"/>
        <v>0.2397666667</v>
      </c>
      <c r="G220" s="8"/>
      <c r="H220" s="8"/>
      <c r="I220" s="8"/>
    </row>
    <row r="221" ht="15.75" customHeight="1">
      <c r="A221" s="19"/>
      <c r="B221" s="21">
        <v>219.0</v>
      </c>
      <c r="C221" s="23">
        <v>46260.0</v>
      </c>
      <c r="D221" s="26">
        <v>0.3981630439814814</v>
      </c>
      <c r="E221" s="26">
        <v>0.3980499305555556</v>
      </c>
      <c r="F221" s="33">
        <f t="shared" si="1"/>
        <v>0.1628833333</v>
      </c>
      <c r="G221" s="8"/>
      <c r="H221" s="8"/>
      <c r="I221" s="8"/>
    </row>
    <row r="222" ht="15.75" customHeight="1">
      <c r="A222" s="19"/>
      <c r="B222" s="21">
        <v>220.0</v>
      </c>
      <c r="C222" s="23">
        <v>46260.0</v>
      </c>
      <c r="D222" s="26">
        <v>0.3991502662037037</v>
      </c>
      <c r="E222" s="26">
        <v>0.3981630439814814</v>
      </c>
      <c r="F222" s="33">
        <f t="shared" si="1"/>
        <v>1.4216</v>
      </c>
      <c r="G222" s="8"/>
      <c r="H222" s="8"/>
      <c r="I222" s="8"/>
    </row>
    <row r="223" ht="15.75" customHeight="1">
      <c r="A223" s="19"/>
      <c r="B223" s="21">
        <v>221.0</v>
      </c>
      <c r="C223" s="23">
        <v>46260.0</v>
      </c>
      <c r="D223" s="26">
        <v>0.3993086458333333</v>
      </c>
      <c r="E223" s="26">
        <v>0.3991502662037037</v>
      </c>
      <c r="F223" s="33">
        <f t="shared" si="1"/>
        <v>0.2280666667</v>
      </c>
      <c r="G223" s="8"/>
      <c r="H223" s="8"/>
      <c r="I223" s="8"/>
    </row>
    <row r="224" ht="15.75" customHeight="1">
      <c r="A224" s="19"/>
      <c r="B224" s="21">
        <v>222.0</v>
      </c>
      <c r="C224" s="23">
        <v>46260.0</v>
      </c>
      <c r="D224" s="26">
        <v>0.3993334837962963</v>
      </c>
      <c r="E224" s="26">
        <v>0.3993086458333333</v>
      </c>
      <c r="F224" s="33">
        <f t="shared" si="1"/>
        <v>0.03576666667</v>
      </c>
      <c r="G224" s="8"/>
      <c r="H224" s="8"/>
      <c r="I224" s="8"/>
    </row>
    <row r="225" ht="15.75" customHeight="1">
      <c r="A225" s="19"/>
      <c r="B225" s="21">
        <v>223.0</v>
      </c>
      <c r="C225" s="23">
        <v>46260.0</v>
      </c>
      <c r="D225" s="26">
        <v>0.4001334953703704</v>
      </c>
      <c r="E225" s="26">
        <v>0.3993334837962963</v>
      </c>
      <c r="F225" s="33">
        <f t="shared" si="1"/>
        <v>1.152016667</v>
      </c>
      <c r="G225" s="8"/>
      <c r="H225" s="8"/>
      <c r="I225" s="8"/>
    </row>
    <row r="226" ht="15.75" customHeight="1">
      <c r="A226" s="19"/>
      <c r="B226" s="21">
        <v>224.0</v>
      </c>
      <c r="C226" s="23">
        <v>46260.0</v>
      </c>
      <c r="D226" s="26">
        <v>0.4002915740740741</v>
      </c>
      <c r="E226" s="26">
        <v>0.4001334953703704</v>
      </c>
      <c r="F226" s="33">
        <f t="shared" si="1"/>
        <v>0.2276333333</v>
      </c>
      <c r="G226" s="8"/>
      <c r="H226" s="8"/>
      <c r="I226" s="8"/>
    </row>
    <row r="227" ht="15.75" customHeight="1">
      <c r="A227" s="19"/>
      <c r="B227" s="21">
        <v>225.0</v>
      </c>
      <c r="C227" s="23">
        <v>46260.0</v>
      </c>
      <c r="D227" s="26">
        <v>0.4010465277777778</v>
      </c>
      <c r="E227" s="26">
        <v>0.4002915740740741</v>
      </c>
      <c r="F227" s="33">
        <f t="shared" si="1"/>
        <v>1.087133333</v>
      </c>
      <c r="G227" s="8"/>
      <c r="H227" s="8"/>
      <c r="I227" s="8"/>
    </row>
    <row r="228" ht="15.75" customHeight="1">
      <c r="A228" s="19"/>
      <c r="B228" s="21">
        <v>226.0</v>
      </c>
      <c r="C228" s="23">
        <v>46260.0</v>
      </c>
      <c r="D228" s="26">
        <v>0.4018096643518519</v>
      </c>
      <c r="E228" s="26">
        <v>0.4010465277777778</v>
      </c>
      <c r="F228" s="33">
        <f t="shared" si="1"/>
        <v>1.098916667</v>
      </c>
      <c r="G228" s="8"/>
      <c r="H228" s="8"/>
      <c r="I228" s="8"/>
    </row>
    <row r="229" ht="15.75" customHeight="1">
      <c r="A229" s="19"/>
      <c r="B229" s="21">
        <v>227.0</v>
      </c>
      <c r="C229" s="23">
        <v>46260.0</v>
      </c>
      <c r="D229" s="26">
        <v>0.4022425347222222</v>
      </c>
      <c r="E229" s="26">
        <v>0.4018096643518519</v>
      </c>
      <c r="F229" s="33">
        <f t="shared" si="1"/>
        <v>0.6233333333</v>
      </c>
      <c r="G229" s="8"/>
      <c r="H229" s="8"/>
      <c r="I229" s="8"/>
    </row>
    <row r="230" ht="15.75" customHeight="1">
      <c r="A230" s="19"/>
      <c r="B230" s="21">
        <v>228.0</v>
      </c>
      <c r="C230" s="23">
        <v>46260.0</v>
      </c>
      <c r="D230" s="26">
        <v>0.4032903819444444</v>
      </c>
      <c r="E230" s="26">
        <v>0.4022425347222222</v>
      </c>
      <c r="F230" s="33">
        <f t="shared" si="1"/>
        <v>1.5089</v>
      </c>
      <c r="G230" s="8"/>
      <c r="H230" s="8"/>
      <c r="I230" s="8"/>
    </row>
    <row r="231" ht="15.75" customHeight="1">
      <c r="A231" s="19"/>
      <c r="B231" s="21">
        <v>229.0</v>
      </c>
      <c r="C231" s="23">
        <v>46260.0</v>
      </c>
      <c r="D231" s="26">
        <v>0.4034721990740741</v>
      </c>
      <c r="E231" s="26">
        <v>0.4032903819444444</v>
      </c>
      <c r="F231" s="33">
        <f t="shared" si="1"/>
        <v>0.2618166667</v>
      </c>
      <c r="G231" s="8"/>
      <c r="H231" s="8"/>
      <c r="I231" s="8"/>
    </row>
    <row r="232" ht="15.75" customHeight="1">
      <c r="A232" s="19"/>
      <c r="B232" s="21">
        <v>230.0</v>
      </c>
      <c r="C232" s="23">
        <v>46260.0</v>
      </c>
      <c r="D232" s="26">
        <v>0.4034805092592593</v>
      </c>
      <c r="E232" s="26">
        <v>0.4034721990740741</v>
      </c>
      <c r="F232" s="33">
        <f t="shared" si="1"/>
        <v>0.01196666667</v>
      </c>
      <c r="G232" s="8"/>
      <c r="H232" s="8"/>
      <c r="I232" s="8"/>
    </row>
    <row r="233" ht="15.75" customHeight="1">
      <c r="A233" s="19"/>
      <c r="B233" s="21">
        <v>231.0</v>
      </c>
      <c r="C233" s="23">
        <v>46260.0</v>
      </c>
      <c r="D233" s="26">
        <v>0.4037022222222222</v>
      </c>
      <c r="E233" s="26">
        <v>0.4034805092592593</v>
      </c>
      <c r="F233" s="33">
        <f t="shared" si="1"/>
        <v>0.3192666667</v>
      </c>
      <c r="G233" s="8"/>
      <c r="H233" s="8"/>
      <c r="I233" s="8"/>
    </row>
    <row r="234" ht="15.75" customHeight="1">
      <c r="A234" s="19"/>
      <c r="B234" s="21">
        <v>232.0</v>
      </c>
      <c r="C234" s="23">
        <v>46260.0</v>
      </c>
      <c r="D234" s="26">
        <v>0.4038854861111111</v>
      </c>
      <c r="E234" s="26">
        <v>0.4037022222222222</v>
      </c>
      <c r="F234" s="33">
        <f t="shared" si="1"/>
        <v>0.2639</v>
      </c>
      <c r="G234" s="8"/>
      <c r="H234" s="8"/>
      <c r="I234" s="8"/>
    </row>
    <row r="235" ht="15.75" customHeight="1">
      <c r="A235" s="19"/>
      <c r="B235" s="21">
        <v>233.0</v>
      </c>
      <c r="C235" s="23">
        <v>46260.0</v>
      </c>
      <c r="D235" s="26">
        <v>0.4042694907407407</v>
      </c>
      <c r="E235" s="26">
        <v>0.4038854861111111</v>
      </c>
      <c r="F235" s="33">
        <f t="shared" si="1"/>
        <v>0.5529666667</v>
      </c>
      <c r="G235" s="8"/>
      <c r="H235" s="8"/>
      <c r="I235" s="8"/>
    </row>
    <row r="236" ht="15.75" customHeight="1">
      <c r="A236" s="19"/>
      <c r="B236" s="21">
        <v>234.0</v>
      </c>
      <c r="C236" s="23">
        <v>46260.0</v>
      </c>
      <c r="D236" s="26">
        <v>0.4045345486111112</v>
      </c>
      <c r="E236" s="26">
        <v>0.4042694907407407</v>
      </c>
      <c r="F236" s="33">
        <f t="shared" si="1"/>
        <v>0.3816833333</v>
      </c>
      <c r="G236" s="8"/>
      <c r="H236" s="8"/>
      <c r="I236" s="8"/>
    </row>
    <row r="237" ht="15.75" customHeight="1">
      <c r="A237" s="19"/>
      <c r="B237" s="21">
        <v>235.0</v>
      </c>
      <c r="C237" s="23">
        <v>46260.0</v>
      </c>
      <c r="D237" s="26">
        <v>0.4045386689814815</v>
      </c>
      <c r="E237" s="26">
        <v>0.4045345486111112</v>
      </c>
      <c r="F237" s="33">
        <f t="shared" si="1"/>
        <v>0.005933333333</v>
      </c>
      <c r="G237" s="8"/>
      <c r="H237" s="8"/>
      <c r="I237" s="8"/>
    </row>
    <row r="238" ht="15.75" customHeight="1">
      <c r="A238" s="19"/>
      <c r="B238" s="21">
        <v>236.0</v>
      </c>
      <c r="C238" s="23">
        <v>46260.0</v>
      </c>
      <c r="D238" s="26">
        <v>0.4053265972222223</v>
      </c>
      <c r="E238" s="26">
        <v>0.4045386689814815</v>
      </c>
      <c r="F238" s="33">
        <f t="shared" si="1"/>
        <v>1.134616667</v>
      </c>
      <c r="G238" s="8"/>
      <c r="H238" s="8"/>
      <c r="I238" s="8"/>
    </row>
    <row r="239" ht="15.75" customHeight="1">
      <c r="A239" s="19"/>
      <c r="B239" s="21">
        <v>237.0</v>
      </c>
      <c r="C239" s="23">
        <v>46260.0</v>
      </c>
      <c r="D239" s="26">
        <v>0.4059687731481481</v>
      </c>
      <c r="E239" s="26">
        <v>0.4053265972222223</v>
      </c>
      <c r="F239" s="33">
        <f t="shared" si="1"/>
        <v>0.9247333333</v>
      </c>
      <c r="G239" s="8"/>
      <c r="H239" s="8"/>
      <c r="I239" s="8"/>
    </row>
    <row r="240" ht="15.75" customHeight="1">
      <c r="A240" s="19"/>
      <c r="B240" s="21">
        <v>238.0</v>
      </c>
      <c r="C240" s="23">
        <v>46260.0</v>
      </c>
      <c r="D240" s="26">
        <v>0.4069522337962963</v>
      </c>
      <c r="E240" s="26">
        <v>0.4059687731481481</v>
      </c>
      <c r="F240" s="33">
        <f t="shared" si="1"/>
        <v>1.416183333</v>
      </c>
      <c r="G240" s="8"/>
      <c r="H240" s="8"/>
      <c r="I240" s="8"/>
    </row>
    <row r="241" ht="15.75" customHeight="1">
      <c r="A241" s="19"/>
      <c r="B241" s="21">
        <v>239.0</v>
      </c>
      <c r="C241" s="23">
        <v>46260.0</v>
      </c>
      <c r="D241" s="26">
        <v>0.4078565046296297</v>
      </c>
      <c r="E241" s="26">
        <v>0.4069522337962963</v>
      </c>
      <c r="F241" s="33">
        <f t="shared" si="1"/>
        <v>1.30215</v>
      </c>
      <c r="G241" s="8"/>
      <c r="H241" s="8"/>
      <c r="I241" s="8"/>
    </row>
    <row r="242" ht="15.75" customHeight="1">
      <c r="A242" s="19"/>
      <c r="B242" s="21">
        <v>240.0</v>
      </c>
      <c r="C242" s="23">
        <v>46260.0</v>
      </c>
      <c r="D242" s="26">
        <v>0.4088340277777778</v>
      </c>
      <c r="E242" s="26">
        <v>0.4078565046296297</v>
      </c>
      <c r="F242" s="33">
        <f t="shared" si="1"/>
        <v>1.407633333</v>
      </c>
      <c r="G242" s="8"/>
      <c r="H242" s="8"/>
      <c r="I242" s="8"/>
    </row>
    <row r="243" ht="15.75" customHeight="1">
      <c r="A243" s="19"/>
      <c r="B243" s="21">
        <v>241.0</v>
      </c>
      <c r="C243" s="23">
        <v>46260.0</v>
      </c>
      <c r="D243" s="26">
        <v>0.4089979745370371</v>
      </c>
      <c r="E243" s="26">
        <v>0.4088340277777778</v>
      </c>
      <c r="F243" s="33">
        <f t="shared" si="1"/>
        <v>0.2360833333</v>
      </c>
      <c r="G243" s="8"/>
      <c r="H243" s="8"/>
      <c r="I243" s="8"/>
    </row>
    <row r="244" ht="15.75" customHeight="1">
      <c r="A244" s="19"/>
      <c r="B244" s="21">
        <v>242.0</v>
      </c>
      <c r="C244" s="23">
        <v>46260.0</v>
      </c>
      <c r="D244" s="26">
        <v>0.4092690162037037</v>
      </c>
      <c r="E244" s="26">
        <v>0.4089979745370371</v>
      </c>
      <c r="F244" s="33">
        <f t="shared" si="1"/>
        <v>0.3903</v>
      </c>
      <c r="G244" s="8"/>
      <c r="H244" s="8"/>
      <c r="I244" s="8"/>
    </row>
    <row r="245" ht="15.75" customHeight="1">
      <c r="A245" s="19"/>
      <c r="B245" s="21">
        <v>243.0</v>
      </c>
      <c r="C245" s="23">
        <v>46260.0</v>
      </c>
      <c r="D245" s="26">
        <v>0.4099414814814815</v>
      </c>
      <c r="E245" s="26">
        <v>0.4092690162037037</v>
      </c>
      <c r="F245" s="33">
        <f t="shared" si="1"/>
        <v>0.96835</v>
      </c>
      <c r="G245" s="8"/>
      <c r="H245" s="8"/>
      <c r="I245" s="8"/>
    </row>
    <row r="246" ht="15.75" customHeight="1">
      <c r="A246" s="19"/>
      <c r="B246" s="21">
        <v>244.0</v>
      </c>
      <c r="C246" s="23">
        <v>46260.0</v>
      </c>
      <c r="D246" s="26">
        <v>0.4110419212962962</v>
      </c>
      <c r="E246" s="26">
        <v>0.4099414814814815</v>
      </c>
      <c r="F246" s="33">
        <f t="shared" si="1"/>
        <v>1.584633333</v>
      </c>
      <c r="G246" s="8"/>
      <c r="H246" s="8"/>
      <c r="I246" s="8"/>
    </row>
    <row r="247" ht="15.75" customHeight="1">
      <c r="A247" s="19"/>
      <c r="B247" s="21">
        <v>245.0</v>
      </c>
      <c r="C247" s="23">
        <v>46260.0</v>
      </c>
      <c r="D247" s="26">
        <v>0.4112402777777778</v>
      </c>
      <c r="E247" s="26">
        <v>0.4110419212962962</v>
      </c>
      <c r="F247" s="33">
        <f t="shared" si="1"/>
        <v>0.2856333333</v>
      </c>
      <c r="G247" s="8"/>
      <c r="H247" s="8"/>
      <c r="I247" s="8"/>
    </row>
    <row r="248" ht="15.75" customHeight="1">
      <c r="A248" s="19"/>
      <c r="B248" s="21">
        <v>246.0</v>
      </c>
      <c r="C248" s="23">
        <v>46260.0</v>
      </c>
      <c r="D248" s="26">
        <v>0.4115668055555556</v>
      </c>
      <c r="E248" s="26">
        <v>0.4112402777777778</v>
      </c>
      <c r="F248" s="33">
        <f t="shared" si="1"/>
        <v>0.4702</v>
      </c>
      <c r="G248" s="8"/>
      <c r="H248" s="8"/>
      <c r="I248" s="8"/>
    </row>
    <row r="249" ht="15.75" customHeight="1">
      <c r="A249" s="19"/>
      <c r="B249" s="21">
        <v>247.0</v>
      </c>
      <c r="C249" s="23">
        <v>46260.0</v>
      </c>
      <c r="D249" s="26">
        <v>0.4122872685185185</v>
      </c>
      <c r="E249" s="26">
        <v>0.4115668055555556</v>
      </c>
      <c r="F249" s="33">
        <f t="shared" si="1"/>
        <v>1.037466667</v>
      </c>
      <c r="G249" s="8"/>
      <c r="H249" s="8"/>
      <c r="I249" s="8"/>
    </row>
    <row r="250" ht="15.75" customHeight="1">
      <c r="A250" s="19"/>
      <c r="B250" s="21">
        <v>248.0</v>
      </c>
      <c r="C250" s="23">
        <v>46260.0</v>
      </c>
      <c r="D250" s="26">
        <v>0.4127065856481482</v>
      </c>
      <c r="E250" s="26">
        <v>0.4122872685185185</v>
      </c>
      <c r="F250" s="33">
        <f t="shared" si="1"/>
        <v>0.6038166667</v>
      </c>
      <c r="G250" s="8"/>
      <c r="H250" s="8"/>
      <c r="I250" s="8"/>
    </row>
    <row r="251" ht="15.75" customHeight="1">
      <c r="A251" s="19"/>
      <c r="B251" s="21">
        <v>249.0</v>
      </c>
      <c r="C251" s="23">
        <v>46260.0</v>
      </c>
      <c r="D251" s="26">
        <v>0.4132582175925926</v>
      </c>
      <c r="E251" s="26">
        <v>0.4127065856481482</v>
      </c>
      <c r="F251" s="33">
        <f t="shared" si="1"/>
        <v>0.79435</v>
      </c>
      <c r="G251" s="8"/>
      <c r="H251" s="8"/>
      <c r="I251" s="8"/>
    </row>
    <row r="252" ht="15.75" customHeight="1">
      <c r="A252" s="19"/>
      <c r="B252" s="21">
        <v>250.0</v>
      </c>
      <c r="C252" s="23">
        <v>46260.0</v>
      </c>
      <c r="D252" s="26">
        <v>0.4141772106481482</v>
      </c>
      <c r="E252" s="26">
        <v>0.4132582175925926</v>
      </c>
      <c r="F252" s="33">
        <f t="shared" si="1"/>
        <v>1.32335</v>
      </c>
      <c r="G252" s="8"/>
      <c r="H252" s="8"/>
      <c r="I252" s="8"/>
    </row>
    <row r="253" ht="15.75" customHeight="1">
      <c r="A253" s="19"/>
      <c r="B253" s="21">
        <v>251.0</v>
      </c>
      <c r="C253" s="23">
        <v>46260.0</v>
      </c>
      <c r="D253" s="26">
        <v>0.4145292708333333</v>
      </c>
      <c r="E253" s="26">
        <v>0.4141772106481482</v>
      </c>
      <c r="F253" s="33">
        <f t="shared" si="1"/>
        <v>0.5069666667</v>
      </c>
      <c r="G253" s="8"/>
      <c r="H253" s="8"/>
      <c r="I253" s="8"/>
    </row>
    <row r="254" ht="15.75" customHeight="1">
      <c r="A254" s="19"/>
      <c r="B254" s="21">
        <v>252.0</v>
      </c>
      <c r="C254" s="23">
        <v>46260.0</v>
      </c>
      <c r="D254" s="26">
        <v>0.4146588425925926</v>
      </c>
      <c r="E254" s="26">
        <v>0.4145292708333333</v>
      </c>
      <c r="F254" s="33">
        <f t="shared" si="1"/>
        <v>0.1865833333</v>
      </c>
      <c r="G254" s="8"/>
      <c r="H254" s="8"/>
      <c r="I254" s="8"/>
    </row>
    <row r="255" ht="15.75" customHeight="1">
      <c r="A255" s="19"/>
      <c r="B255" s="21">
        <v>253.0</v>
      </c>
      <c r="C255" s="23">
        <v>46260.0</v>
      </c>
      <c r="D255" s="26">
        <v>0.4146821412037037</v>
      </c>
      <c r="E255" s="26">
        <v>0.4146588425925926</v>
      </c>
      <c r="F255" s="33">
        <f t="shared" si="1"/>
        <v>0.03355</v>
      </c>
      <c r="G255" s="8"/>
      <c r="H255" s="8"/>
      <c r="I255" s="8"/>
    </row>
    <row r="256" ht="15.75" customHeight="1">
      <c r="A256" s="19"/>
      <c r="B256" s="21">
        <v>254.0</v>
      </c>
      <c r="C256" s="23">
        <v>46260.0</v>
      </c>
      <c r="D256" s="26">
        <v>0.415481863425926</v>
      </c>
      <c r="E256" s="26">
        <v>0.4146821412037037</v>
      </c>
      <c r="F256" s="33">
        <f t="shared" si="1"/>
        <v>1.1516</v>
      </c>
      <c r="G256" s="8"/>
      <c r="H256" s="8"/>
      <c r="I256" s="8"/>
    </row>
    <row r="257" ht="15.75" customHeight="1">
      <c r="A257" s="19"/>
      <c r="B257" s="21">
        <v>255.0</v>
      </c>
      <c r="C257" s="23">
        <v>46260.0</v>
      </c>
      <c r="D257" s="26">
        <v>0.4155578472222222</v>
      </c>
      <c r="E257" s="26">
        <v>0.415481863425926</v>
      </c>
      <c r="F257" s="33">
        <f t="shared" si="1"/>
        <v>0.1094166667</v>
      </c>
      <c r="G257" s="8"/>
      <c r="H257" s="8"/>
      <c r="I257" s="8"/>
    </row>
    <row r="258" ht="15.75" customHeight="1">
      <c r="A258" s="19"/>
      <c r="B258" s="21">
        <v>256.0</v>
      </c>
      <c r="C258" s="23">
        <v>46260.0</v>
      </c>
      <c r="D258" s="26">
        <v>0.415848125</v>
      </c>
      <c r="E258" s="26">
        <v>0.4155578472222222</v>
      </c>
      <c r="F258" s="33">
        <f t="shared" si="1"/>
        <v>0.418</v>
      </c>
      <c r="G258" s="8"/>
      <c r="H258" s="8"/>
      <c r="I258" s="8"/>
    </row>
    <row r="259" ht="15.75" customHeight="1">
      <c r="A259" s="19"/>
      <c r="B259" s="21">
        <v>257.0</v>
      </c>
      <c r="C259" s="23">
        <v>46260.0</v>
      </c>
      <c r="D259" s="26">
        <v>0.4160953009259259</v>
      </c>
      <c r="E259" s="26">
        <v>0.415848125</v>
      </c>
      <c r="F259" s="33">
        <f t="shared" si="1"/>
        <v>0.3559333333</v>
      </c>
      <c r="G259" s="8"/>
      <c r="H259" s="8"/>
      <c r="I259" s="8"/>
    </row>
    <row r="260" ht="15.75" customHeight="1">
      <c r="A260" s="19"/>
      <c r="B260" s="21">
        <v>258.0</v>
      </c>
      <c r="C260" s="23">
        <v>46260.0</v>
      </c>
      <c r="D260" s="26">
        <v>0.4164135069444445</v>
      </c>
      <c r="E260" s="26">
        <v>0.4160953009259259</v>
      </c>
      <c r="F260" s="33">
        <f t="shared" si="1"/>
        <v>0.4582166667</v>
      </c>
      <c r="G260" s="8"/>
      <c r="H260" s="8"/>
      <c r="I260" s="8"/>
    </row>
    <row r="261" ht="15.75" customHeight="1">
      <c r="A261" s="19"/>
      <c r="B261" s="21">
        <v>259.0</v>
      </c>
      <c r="C261" s="23">
        <v>46260.0</v>
      </c>
      <c r="D261" s="26">
        <v>0.4166103472222222</v>
      </c>
      <c r="E261" s="26">
        <v>0.4164135069444445</v>
      </c>
      <c r="F261" s="33">
        <f t="shared" si="1"/>
        <v>0.28345</v>
      </c>
      <c r="G261" s="8"/>
      <c r="H261" s="8"/>
      <c r="I261" s="8"/>
    </row>
    <row r="262" ht="15.75" customHeight="1">
      <c r="A262" s="19"/>
      <c r="B262" s="21">
        <v>260.0</v>
      </c>
      <c r="C262" s="23">
        <v>46261.0</v>
      </c>
      <c r="D262" s="26">
        <v>0.375386412037037</v>
      </c>
      <c r="E262" s="26">
        <v>0.3752848148148148</v>
      </c>
      <c r="F262" s="33">
        <f t="shared" si="1"/>
        <v>0.1463</v>
      </c>
      <c r="G262" s="8"/>
      <c r="H262" s="8"/>
      <c r="I262" s="8"/>
    </row>
    <row r="263" ht="15.75" customHeight="1">
      <c r="A263" s="19"/>
      <c r="B263" s="21">
        <v>261.0</v>
      </c>
      <c r="C263" s="23">
        <v>46261.0</v>
      </c>
      <c r="D263" s="26">
        <v>0.3757549537037037</v>
      </c>
      <c r="E263" s="26">
        <v>0.375386412037037</v>
      </c>
      <c r="F263" s="33">
        <f t="shared" si="1"/>
        <v>0.5307</v>
      </c>
      <c r="G263" s="8"/>
      <c r="H263" s="8"/>
      <c r="I263" s="8"/>
    </row>
    <row r="264" ht="15.75" customHeight="1">
      <c r="A264" s="19"/>
      <c r="B264" s="21">
        <v>262.0</v>
      </c>
      <c r="C264" s="23">
        <v>46261.0</v>
      </c>
      <c r="D264" s="26">
        <v>0.3773119097222222</v>
      </c>
      <c r="E264" s="26">
        <v>0.3757549537037037</v>
      </c>
      <c r="F264" s="33">
        <f t="shared" si="1"/>
        <v>2.242016667</v>
      </c>
      <c r="G264" s="8"/>
      <c r="H264" s="8"/>
      <c r="I264" s="8"/>
    </row>
    <row r="265" ht="15.75" customHeight="1">
      <c r="A265" s="19"/>
      <c r="B265" s="21">
        <v>263.0</v>
      </c>
      <c r="C265" s="23">
        <v>46261.0</v>
      </c>
      <c r="D265" s="26">
        <v>0.3781774305555555</v>
      </c>
      <c r="E265" s="26">
        <v>0.3773119097222222</v>
      </c>
      <c r="F265" s="33">
        <f t="shared" si="1"/>
        <v>1.24635</v>
      </c>
      <c r="G265" s="8"/>
      <c r="H265" s="8"/>
      <c r="I265" s="8"/>
    </row>
    <row r="266" ht="15.75" customHeight="1">
      <c r="A266" s="19"/>
      <c r="B266" s="21">
        <v>264.0</v>
      </c>
      <c r="C266" s="23">
        <v>46261.0</v>
      </c>
      <c r="D266" s="26">
        <v>0.3784899189814815</v>
      </c>
      <c r="E266" s="26">
        <v>0.3781774305555555</v>
      </c>
      <c r="F266" s="33">
        <f t="shared" si="1"/>
        <v>0.4499833333</v>
      </c>
      <c r="G266" s="8"/>
      <c r="H266" s="8"/>
      <c r="I266" s="8"/>
    </row>
    <row r="267" ht="15.75" customHeight="1">
      <c r="A267" s="19"/>
      <c r="B267" s="21">
        <v>265.0</v>
      </c>
      <c r="C267" s="23">
        <v>46261.0</v>
      </c>
      <c r="D267" s="26">
        <v>0.3786963078703704</v>
      </c>
      <c r="E267" s="26">
        <v>0.3784899189814815</v>
      </c>
      <c r="F267" s="33">
        <f t="shared" si="1"/>
        <v>0.2972</v>
      </c>
      <c r="G267" s="8"/>
      <c r="H267" s="8"/>
      <c r="I267" s="8"/>
    </row>
    <row r="268" ht="15.75" customHeight="1">
      <c r="A268" s="19"/>
      <c r="B268" s="21">
        <v>266.0</v>
      </c>
      <c r="C268" s="23">
        <v>46261.0</v>
      </c>
      <c r="D268" s="26">
        <v>0.3790227083333333</v>
      </c>
      <c r="E268" s="26">
        <v>0.3786963078703704</v>
      </c>
      <c r="F268" s="33">
        <f t="shared" si="1"/>
        <v>0.4700166667</v>
      </c>
      <c r="G268" s="8"/>
      <c r="H268" s="8"/>
      <c r="I268" s="8"/>
    </row>
    <row r="269" ht="15.75" customHeight="1">
      <c r="A269" s="19"/>
      <c r="B269" s="21">
        <v>267.0</v>
      </c>
      <c r="C269" s="23">
        <v>46261.0</v>
      </c>
      <c r="D269" s="26">
        <v>0.379265925925926</v>
      </c>
      <c r="E269" s="26">
        <v>0.3790227083333333</v>
      </c>
      <c r="F269" s="33">
        <f t="shared" si="1"/>
        <v>0.3502333333</v>
      </c>
      <c r="G269" s="8"/>
      <c r="H269" s="8"/>
      <c r="I269" s="8"/>
    </row>
    <row r="270" ht="15.75" customHeight="1">
      <c r="A270" s="19"/>
      <c r="B270" s="21">
        <v>268.0</v>
      </c>
      <c r="C270" s="23">
        <v>46261.0</v>
      </c>
      <c r="D270" s="26">
        <v>0.380026550925926</v>
      </c>
      <c r="E270" s="26">
        <v>0.379265925925926</v>
      </c>
      <c r="F270" s="33">
        <f t="shared" si="1"/>
        <v>1.0953</v>
      </c>
      <c r="G270" s="8"/>
      <c r="H270" s="8"/>
      <c r="I270" s="8"/>
    </row>
    <row r="271" ht="15.75" customHeight="1">
      <c r="A271" s="19"/>
      <c r="B271" s="21">
        <v>269.0</v>
      </c>
      <c r="C271" s="23">
        <v>46261.0</v>
      </c>
      <c r="D271" s="26">
        <v>0.3809313194444445</v>
      </c>
      <c r="E271" s="26">
        <v>0.380026550925926</v>
      </c>
      <c r="F271" s="33">
        <f t="shared" si="1"/>
        <v>1.302866667</v>
      </c>
      <c r="G271" s="8"/>
      <c r="H271" s="8"/>
      <c r="I271" s="8"/>
    </row>
    <row r="272" ht="15.75" customHeight="1">
      <c r="A272" s="19"/>
      <c r="B272" s="21">
        <v>270.0</v>
      </c>
      <c r="C272" s="23">
        <v>46261.0</v>
      </c>
      <c r="D272" s="26">
        <v>0.3810288657407407</v>
      </c>
      <c r="E272" s="26">
        <v>0.3809313194444445</v>
      </c>
      <c r="F272" s="33">
        <f t="shared" si="1"/>
        <v>0.1404666667</v>
      </c>
      <c r="G272" s="8"/>
      <c r="H272" s="8"/>
      <c r="I272" s="8"/>
    </row>
    <row r="273" ht="15.75" customHeight="1">
      <c r="A273" s="19"/>
      <c r="B273" s="21">
        <v>271.0</v>
      </c>
      <c r="C273" s="23">
        <v>46261.0</v>
      </c>
      <c r="D273" s="26">
        <v>0.3815999074074075</v>
      </c>
      <c r="E273" s="26">
        <v>0.3810288657407407</v>
      </c>
      <c r="F273" s="33">
        <f t="shared" si="1"/>
        <v>0.8223</v>
      </c>
      <c r="G273" s="8"/>
      <c r="H273" s="8"/>
      <c r="I273" s="8"/>
    </row>
    <row r="274" ht="15.75" customHeight="1">
      <c r="A274" s="19"/>
      <c r="B274" s="21">
        <v>272.0</v>
      </c>
      <c r="C274" s="23">
        <v>46261.0</v>
      </c>
      <c r="D274" s="26">
        <v>0.3827634606481481</v>
      </c>
      <c r="E274" s="26">
        <v>0.3815999074074075</v>
      </c>
      <c r="F274" s="33">
        <f t="shared" si="1"/>
        <v>1.675516667</v>
      </c>
      <c r="G274" s="8"/>
      <c r="H274" s="8"/>
      <c r="I274" s="8"/>
    </row>
    <row r="275" ht="15.75" customHeight="1">
      <c r="A275" s="19"/>
      <c r="B275" s="21">
        <v>273.0</v>
      </c>
      <c r="C275" s="23">
        <v>46261.0</v>
      </c>
      <c r="D275" s="26">
        <v>0.3831056134259259</v>
      </c>
      <c r="E275" s="26">
        <v>0.3827634606481481</v>
      </c>
      <c r="F275" s="33">
        <f t="shared" si="1"/>
        <v>0.4927</v>
      </c>
      <c r="G275" s="8"/>
      <c r="H275" s="8"/>
      <c r="I275" s="8"/>
    </row>
    <row r="276" ht="15.75" customHeight="1">
      <c r="A276" s="19"/>
      <c r="B276" s="21">
        <v>274.0</v>
      </c>
      <c r="C276" s="23">
        <v>46261.0</v>
      </c>
      <c r="D276" s="26">
        <v>0.3831924768518519</v>
      </c>
      <c r="E276" s="26">
        <v>0.3831056134259259</v>
      </c>
      <c r="F276" s="33">
        <f t="shared" si="1"/>
        <v>0.1250833333</v>
      </c>
      <c r="G276" s="8"/>
      <c r="H276" s="8"/>
      <c r="I276" s="8"/>
    </row>
    <row r="277" ht="15.75" customHeight="1">
      <c r="A277" s="19"/>
      <c r="B277" s="21">
        <v>275.0</v>
      </c>
      <c r="C277" s="23">
        <v>46261.0</v>
      </c>
      <c r="D277" s="26">
        <v>0.3840856597222222</v>
      </c>
      <c r="E277" s="26">
        <v>0.3831924768518519</v>
      </c>
      <c r="F277" s="33">
        <f t="shared" si="1"/>
        <v>1.286183333</v>
      </c>
      <c r="G277" s="8"/>
      <c r="H277" s="8"/>
      <c r="I277" s="8"/>
    </row>
    <row r="278" ht="15.75" customHeight="1">
      <c r="A278" s="19"/>
      <c r="B278" s="21">
        <v>276.0</v>
      </c>
      <c r="C278" s="23">
        <v>46261.0</v>
      </c>
      <c r="D278" s="26">
        <v>0.3842752083333333</v>
      </c>
      <c r="E278" s="26">
        <v>0.3840856597222222</v>
      </c>
      <c r="F278" s="33">
        <f t="shared" si="1"/>
        <v>0.27295</v>
      </c>
      <c r="G278" s="8"/>
      <c r="H278" s="8"/>
      <c r="I278" s="8"/>
    </row>
    <row r="279" ht="15.75" customHeight="1">
      <c r="A279" s="19"/>
      <c r="B279" s="21">
        <v>277.0</v>
      </c>
      <c r="C279" s="23">
        <v>46261.0</v>
      </c>
      <c r="D279" s="26">
        <v>0.3847836574074074</v>
      </c>
      <c r="E279" s="26">
        <v>0.3842752083333333</v>
      </c>
      <c r="F279" s="33">
        <f t="shared" si="1"/>
        <v>0.7321666667</v>
      </c>
      <c r="G279" s="8"/>
      <c r="H279" s="8"/>
      <c r="I279" s="8"/>
    </row>
    <row r="280" ht="15.75" customHeight="1">
      <c r="A280" s="19"/>
      <c r="B280" s="21">
        <v>278.0</v>
      </c>
      <c r="C280" s="23">
        <v>46261.0</v>
      </c>
      <c r="D280" s="26">
        <v>0.3852000925925926</v>
      </c>
      <c r="E280" s="26">
        <v>0.3847836574074074</v>
      </c>
      <c r="F280" s="33">
        <f t="shared" si="1"/>
        <v>0.5996666667</v>
      </c>
      <c r="G280" s="8"/>
      <c r="H280" s="8"/>
      <c r="I280" s="8"/>
    </row>
    <row r="281" ht="15.75" customHeight="1">
      <c r="A281" s="19"/>
      <c r="B281" s="21">
        <v>279.0</v>
      </c>
      <c r="C281" s="23">
        <v>46261.0</v>
      </c>
      <c r="D281" s="26">
        <v>0.385777962962963</v>
      </c>
      <c r="E281" s="26">
        <v>0.3852000925925926</v>
      </c>
      <c r="F281" s="33">
        <f t="shared" si="1"/>
        <v>0.8321333333</v>
      </c>
      <c r="G281" s="8"/>
      <c r="H281" s="8"/>
      <c r="I281" s="8"/>
    </row>
    <row r="282" ht="15.75" customHeight="1">
      <c r="A282" s="19"/>
      <c r="B282" s="21">
        <v>280.0</v>
      </c>
      <c r="C282" s="23">
        <v>46261.0</v>
      </c>
      <c r="D282" s="26">
        <v>0.385905462962963</v>
      </c>
      <c r="E282" s="26">
        <v>0.385777962962963</v>
      </c>
      <c r="F282" s="33">
        <f t="shared" si="1"/>
        <v>0.1836</v>
      </c>
      <c r="G282" s="8"/>
      <c r="H282" s="8"/>
      <c r="I282" s="8"/>
    </row>
    <row r="283" ht="15.75" customHeight="1">
      <c r="A283" s="19"/>
      <c r="B283" s="21">
        <v>281.0</v>
      </c>
      <c r="C283" s="23">
        <v>46261.0</v>
      </c>
      <c r="D283" s="26">
        <v>0.3860193981481482</v>
      </c>
      <c r="E283" s="26">
        <v>0.385905462962963</v>
      </c>
      <c r="F283" s="33">
        <f t="shared" si="1"/>
        <v>0.1640666667</v>
      </c>
      <c r="G283" s="8"/>
      <c r="H283" s="8"/>
      <c r="I283" s="8"/>
    </row>
    <row r="284" ht="15.75" customHeight="1">
      <c r="A284" s="19"/>
      <c r="B284" s="21">
        <v>282.0</v>
      </c>
      <c r="C284" s="23">
        <v>46261.0</v>
      </c>
      <c r="D284" s="26">
        <v>0.3864265972222222</v>
      </c>
      <c r="E284" s="26">
        <v>0.3860193981481482</v>
      </c>
      <c r="F284" s="33">
        <f t="shared" si="1"/>
        <v>0.5863666667</v>
      </c>
      <c r="G284" s="8"/>
      <c r="H284" s="8"/>
      <c r="I284" s="8"/>
    </row>
    <row r="285" ht="15.75" customHeight="1">
      <c r="A285" s="19"/>
      <c r="B285" s="21">
        <v>283.0</v>
      </c>
      <c r="C285" s="23">
        <v>46261.0</v>
      </c>
      <c r="D285" s="26">
        <v>0.3870325</v>
      </c>
      <c r="E285" s="26">
        <v>0.3864265972222222</v>
      </c>
      <c r="F285" s="33">
        <f t="shared" si="1"/>
        <v>0.8725</v>
      </c>
      <c r="G285" s="8"/>
      <c r="H285" s="8"/>
      <c r="I285" s="8"/>
    </row>
    <row r="286" ht="15.75" customHeight="1">
      <c r="A286" s="19"/>
      <c r="B286" s="21">
        <v>284.0</v>
      </c>
      <c r="C286" s="23">
        <v>46261.0</v>
      </c>
      <c r="D286" s="26">
        <v>0.3872017013888889</v>
      </c>
      <c r="E286" s="26">
        <v>0.3870325</v>
      </c>
      <c r="F286" s="33">
        <f t="shared" si="1"/>
        <v>0.24365</v>
      </c>
      <c r="G286" s="8"/>
      <c r="H286" s="8"/>
      <c r="I286" s="8"/>
    </row>
    <row r="287" ht="15.75" customHeight="1">
      <c r="A287" s="19"/>
      <c r="B287" s="21">
        <v>285.0</v>
      </c>
      <c r="C287" s="23">
        <v>46261.0</v>
      </c>
      <c r="D287" s="26">
        <v>0.3880891203703704</v>
      </c>
      <c r="E287" s="26">
        <v>0.3872017013888889</v>
      </c>
      <c r="F287" s="33">
        <f t="shared" si="1"/>
        <v>1.277883333</v>
      </c>
      <c r="G287" s="8"/>
      <c r="H287" s="8"/>
      <c r="I287" s="8"/>
    </row>
    <row r="288" ht="15.75" customHeight="1">
      <c r="A288" s="19"/>
      <c r="B288" s="21">
        <v>286.0</v>
      </c>
      <c r="C288" s="23">
        <v>46261.0</v>
      </c>
      <c r="D288" s="26">
        <v>0.3890066898148148</v>
      </c>
      <c r="E288" s="26">
        <v>0.3880891203703704</v>
      </c>
      <c r="F288" s="33">
        <f t="shared" si="1"/>
        <v>1.3213</v>
      </c>
      <c r="G288" s="8"/>
      <c r="H288" s="8"/>
      <c r="I288" s="8"/>
    </row>
    <row r="289" ht="15.75" customHeight="1">
      <c r="A289" s="19"/>
      <c r="B289" s="21">
        <v>287.0</v>
      </c>
      <c r="C289" s="23">
        <v>46261.0</v>
      </c>
      <c r="D289" s="26">
        <v>0.389896724537037</v>
      </c>
      <c r="E289" s="26">
        <v>0.3890066898148148</v>
      </c>
      <c r="F289" s="33">
        <f t="shared" si="1"/>
        <v>1.28165</v>
      </c>
      <c r="G289" s="8"/>
      <c r="H289" s="8"/>
      <c r="I289" s="8"/>
    </row>
    <row r="290" ht="15.75" customHeight="1">
      <c r="A290" s="19"/>
      <c r="B290" s="21">
        <v>288.0</v>
      </c>
      <c r="C290" s="23">
        <v>46261.0</v>
      </c>
      <c r="D290" s="26">
        <v>0.3901458217592593</v>
      </c>
      <c r="E290" s="26">
        <v>0.389896724537037</v>
      </c>
      <c r="F290" s="33">
        <f t="shared" si="1"/>
        <v>0.3587</v>
      </c>
      <c r="G290" s="8"/>
      <c r="H290" s="8"/>
      <c r="I290" s="8"/>
    </row>
    <row r="291" ht="15.75" customHeight="1">
      <c r="A291" s="19"/>
      <c r="B291" s="21">
        <v>289.0</v>
      </c>
      <c r="C291" s="23">
        <v>46261.0</v>
      </c>
      <c r="D291" s="26">
        <v>0.3914771527777777</v>
      </c>
      <c r="E291" s="26">
        <v>0.3901458217592593</v>
      </c>
      <c r="F291" s="33">
        <f t="shared" si="1"/>
        <v>1.917116667</v>
      </c>
      <c r="G291" s="8"/>
      <c r="H291" s="8"/>
      <c r="I291" s="8"/>
    </row>
    <row r="292" ht="15.75" customHeight="1">
      <c r="A292" s="19"/>
      <c r="B292" s="21">
        <v>290.0</v>
      </c>
      <c r="C292" s="23">
        <v>46261.0</v>
      </c>
      <c r="D292" s="26">
        <v>0.3918857986111111</v>
      </c>
      <c r="E292" s="26">
        <v>0.3914771527777777</v>
      </c>
      <c r="F292" s="33">
        <f t="shared" si="1"/>
        <v>0.58845</v>
      </c>
      <c r="G292" s="8"/>
      <c r="H292" s="8"/>
      <c r="I292" s="8"/>
    </row>
    <row r="293" ht="15.75" customHeight="1">
      <c r="A293" s="19"/>
      <c r="B293" s="21">
        <v>291.0</v>
      </c>
      <c r="C293" s="23">
        <v>46261.0</v>
      </c>
      <c r="D293" s="26">
        <v>0.3919103356481481</v>
      </c>
      <c r="E293" s="26">
        <v>0.3918857986111111</v>
      </c>
      <c r="F293" s="33">
        <f t="shared" si="1"/>
        <v>0.03533333333</v>
      </c>
      <c r="G293" s="8"/>
      <c r="H293" s="8"/>
      <c r="I293" s="8"/>
    </row>
    <row r="294" ht="15.75" customHeight="1">
      <c r="A294" s="19"/>
      <c r="B294" s="21">
        <v>292.0</v>
      </c>
      <c r="C294" s="23">
        <v>46261.0</v>
      </c>
      <c r="D294" s="26">
        <v>0.3930155902777778</v>
      </c>
      <c r="E294" s="26">
        <v>0.3919103356481481</v>
      </c>
      <c r="F294" s="33">
        <f t="shared" si="1"/>
        <v>1.591566667</v>
      </c>
      <c r="G294" s="8"/>
      <c r="H294" s="8"/>
      <c r="I294" s="8"/>
    </row>
    <row r="295" ht="15.75" customHeight="1">
      <c r="A295" s="19"/>
      <c r="B295" s="21">
        <v>293.0</v>
      </c>
      <c r="C295" s="23">
        <v>46261.0</v>
      </c>
      <c r="D295" s="26">
        <v>0.3930384606481482</v>
      </c>
      <c r="E295" s="26">
        <v>0.3930155902777778</v>
      </c>
      <c r="F295" s="33">
        <f t="shared" si="1"/>
        <v>0.03293333333</v>
      </c>
      <c r="G295" s="8"/>
      <c r="H295" s="8"/>
      <c r="I295" s="8"/>
    </row>
    <row r="296" ht="15.75" customHeight="1">
      <c r="A296" s="19"/>
      <c r="B296" s="21">
        <v>294.0</v>
      </c>
      <c r="C296" s="23">
        <v>46261.0</v>
      </c>
      <c r="D296" s="26">
        <v>0.3938375578703704</v>
      </c>
      <c r="E296" s="26">
        <v>0.3930384606481482</v>
      </c>
      <c r="F296" s="33">
        <f t="shared" si="1"/>
        <v>1.1507</v>
      </c>
      <c r="G296" s="8"/>
      <c r="H296" s="8"/>
      <c r="I296" s="8"/>
    </row>
    <row r="297" ht="15.75" customHeight="1">
      <c r="A297" s="19"/>
      <c r="B297" s="21">
        <v>295.0</v>
      </c>
      <c r="C297" s="23">
        <v>46261.0</v>
      </c>
      <c r="D297" s="26">
        <v>0.3939515046296297</v>
      </c>
      <c r="E297" s="26">
        <v>0.3938375578703704</v>
      </c>
      <c r="F297" s="33">
        <f t="shared" si="1"/>
        <v>0.1640833333</v>
      </c>
      <c r="G297" s="8"/>
      <c r="H297" s="8"/>
      <c r="I297" s="8"/>
    </row>
    <row r="298" ht="15.75" customHeight="1">
      <c r="A298" s="19"/>
      <c r="B298" s="21">
        <v>296.0</v>
      </c>
      <c r="C298" s="23">
        <v>46261.0</v>
      </c>
      <c r="D298" s="26">
        <v>0.3950910069444444</v>
      </c>
      <c r="E298" s="26">
        <v>0.3939515046296297</v>
      </c>
      <c r="F298" s="33">
        <f t="shared" si="1"/>
        <v>1.640883333</v>
      </c>
      <c r="G298" s="8"/>
      <c r="H298" s="8"/>
      <c r="I298" s="8"/>
    </row>
    <row r="299" ht="15.75" customHeight="1">
      <c r="A299" s="19"/>
      <c r="B299" s="21">
        <v>297.0</v>
      </c>
      <c r="C299" s="23">
        <v>46261.0</v>
      </c>
      <c r="D299" s="26">
        <v>0.3951157291666667</v>
      </c>
      <c r="E299" s="26">
        <v>0.3950910069444444</v>
      </c>
      <c r="F299" s="33">
        <f t="shared" si="1"/>
        <v>0.0356</v>
      </c>
      <c r="G299" s="8"/>
      <c r="H299" s="8"/>
      <c r="I299" s="8"/>
    </row>
    <row r="300" ht="15.75" customHeight="1">
      <c r="A300" s="19"/>
      <c r="B300" s="21">
        <v>298.0</v>
      </c>
      <c r="C300" s="23">
        <v>46261.0</v>
      </c>
      <c r="D300" s="26">
        <v>0.3954714814814814</v>
      </c>
      <c r="E300" s="26">
        <v>0.3951157291666667</v>
      </c>
      <c r="F300" s="33">
        <f t="shared" si="1"/>
        <v>0.5122833333</v>
      </c>
      <c r="G300" s="8"/>
      <c r="H300" s="8"/>
      <c r="I300" s="8"/>
    </row>
    <row r="301" ht="15.75" customHeight="1">
      <c r="A301" s="19"/>
      <c r="B301" s="21">
        <v>299.0</v>
      </c>
      <c r="C301" s="23">
        <v>46261.0</v>
      </c>
      <c r="D301" s="26">
        <v>0.395885625</v>
      </c>
      <c r="E301" s="26">
        <v>0.3954714814814814</v>
      </c>
      <c r="F301" s="33">
        <f t="shared" si="1"/>
        <v>0.5963666667</v>
      </c>
      <c r="G301" s="8"/>
      <c r="H301" s="8"/>
      <c r="I301" s="8"/>
    </row>
    <row r="302" ht="15.75" customHeight="1">
      <c r="A302" s="19"/>
      <c r="B302" s="21">
        <v>300.0</v>
      </c>
      <c r="C302" s="23">
        <v>46261.0</v>
      </c>
      <c r="D302" s="26">
        <v>0.3977878356481481</v>
      </c>
      <c r="E302" s="26">
        <v>0.395885625</v>
      </c>
      <c r="F302" s="33">
        <f t="shared" si="1"/>
        <v>2.739183333</v>
      </c>
      <c r="G302" s="8"/>
      <c r="H302" s="8"/>
      <c r="I302" s="8"/>
    </row>
    <row r="303" ht="15.75" customHeight="1">
      <c r="A303" s="19"/>
      <c r="B303" s="21">
        <v>301.0</v>
      </c>
      <c r="C303" s="23">
        <v>46261.0</v>
      </c>
      <c r="D303" s="26">
        <v>0.3990094907407407</v>
      </c>
      <c r="E303" s="26">
        <v>0.3977878356481481</v>
      </c>
      <c r="F303" s="33">
        <f t="shared" si="1"/>
        <v>1.759183333</v>
      </c>
      <c r="G303" s="8"/>
      <c r="H303" s="8"/>
      <c r="I303" s="8"/>
    </row>
    <row r="304" ht="15.75" customHeight="1">
      <c r="A304" s="19"/>
      <c r="B304" s="21">
        <v>302.0</v>
      </c>
      <c r="C304" s="23">
        <v>46261.0</v>
      </c>
      <c r="D304" s="26">
        <v>0.3991353819444444</v>
      </c>
      <c r="E304" s="26">
        <v>0.3990094907407407</v>
      </c>
      <c r="F304" s="33">
        <f t="shared" si="1"/>
        <v>0.1812833333</v>
      </c>
      <c r="G304" s="8"/>
      <c r="H304" s="8"/>
      <c r="I304" s="8"/>
    </row>
    <row r="305" ht="15.75" customHeight="1">
      <c r="A305" s="19"/>
      <c r="B305" s="21">
        <v>303.0</v>
      </c>
      <c r="C305" s="23">
        <v>46261.0</v>
      </c>
      <c r="D305" s="26">
        <v>0.3992966087962963</v>
      </c>
      <c r="E305" s="26">
        <v>0.3991353819444444</v>
      </c>
      <c r="F305" s="33">
        <f t="shared" si="1"/>
        <v>0.2321666667</v>
      </c>
      <c r="G305" s="8"/>
      <c r="H305" s="8"/>
      <c r="I305" s="8"/>
    </row>
    <row r="306" ht="15.75" customHeight="1">
      <c r="A306" s="19"/>
      <c r="B306" s="21">
        <v>304.0</v>
      </c>
      <c r="C306" s="23">
        <v>46261.0</v>
      </c>
      <c r="D306" s="26">
        <v>0.3994158912037037</v>
      </c>
      <c r="E306" s="26">
        <v>0.3992966087962963</v>
      </c>
      <c r="F306" s="33">
        <f t="shared" si="1"/>
        <v>0.1717666667</v>
      </c>
      <c r="G306" s="8"/>
      <c r="H306" s="8"/>
      <c r="I306" s="8"/>
    </row>
    <row r="307" ht="15.75" customHeight="1">
      <c r="A307" s="19"/>
      <c r="B307" s="21">
        <v>305.0</v>
      </c>
      <c r="C307" s="23">
        <v>46261.0</v>
      </c>
      <c r="D307" s="26">
        <v>0.3997176273148149</v>
      </c>
      <c r="E307" s="26">
        <v>0.3994158912037037</v>
      </c>
      <c r="F307" s="33">
        <f t="shared" si="1"/>
        <v>0.4345</v>
      </c>
      <c r="G307" s="8"/>
      <c r="H307" s="8"/>
      <c r="I307" s="8"/>
    </row>
    <row r="308" ht="15.75" customHeight="1">
      <c r="A308" s="19"/>
      <c r="B308" s="21">
        <v>306.0</v>
      </c>
      <c r="C308" s="23">
        <v>46261.0</v>
      </c>
      <c r="D308" s="26">
        <v>0.3998598032407408</v>
      </c>
      <c r="E308" s="26">
        <v>0.3997176273148149</v>
      </c>
      <c r="F308" s="33">
        <f t="shared" si="1"/>
        <v>0.2047333333</v>
      </c>
      <c r="G308" s="8"/>
      <c r="H308" s="8"/>
      <c r="I308" s="8"/>
    </row>
    <row r="309" ht="15.75" customHeight="1">
      <c r="A309" s="19"/>
      <c r="B309" s="21">
        <v>307.0</v>
      </c>
      <c r="C309" s="23">
        <v>46261.0</v>
      </c>
      <c r="D309" s="26">
        <v>0.4003008796296296</v>
      </c>
      <c r="E309" s="26">
        <v>0.3998598032407408</v>
      </c>
      <c r="F309" s="33">
        <f t="shared" si="1"/>
        <v>0.63515</v>
      </c>
      <c r="G309" s="8"/>
      <c r="H309" s="8"/>
      <c r="I309" s="8"/>
    </row>
    <row r="310" ht="15.75" customHeight="1">
      <c r="A310" s="19"/>
      <c r="B310" s="21">
        <v>308.0</v>
      </c>
      <c r="C310" s="23">
        <v>46261.0</v>
      </c>
      <c r="D310" s="26">
        <v>0.4006224189814815</v>
      </c>
      <c r="E310" s="26">
        <v>0.4003008796296296</v>
      </c>
      <c r="F310" s="33">
        <f t="shared" si="1"/>
        <v>0.4630166667</v>
      </c>
      <c r="G310" s="8"/>
      <c r="H310" s="8"/>
      <c r="I310" s="8"/>
    </row>
    <row r="311" ht="15.75" customHeight="1">
      <c r="A311" s="19"/>
      <c r="B311" s="21">
        <v>309.0</v>
      </c>
      <c r="C311" s="23">
        <v>46261.0</v>
      </c>
      <c r="D311" s="26">
        <v>0.4008083912037037</v>
      </c>
      <c r="E311" s="26">
        <v>0.4006224189814815</v>
      </c>
      <c r="F311" s="33">
        <f t="shared" si="1"/>
        <v>0.2678</v>
      </c>
      <c r="G311" s="8"/>
      <c r="H311" s="8"/>
      <c r="I311" s="8"/>
    </row>
    <row r="312" ht="15.75" customHeight="1">
      <c r="A312" s="19"/>
      <c r="B312" s="21">
        <v>310.0</v>
      </c>
      <c r="C312" s="23">
        <v>46261.0</v>
      </c>
      <c r="D312" s="26">
        <v>0.4017228819444445</v>
      </c>
      <c r="E312" s="26">
        <v>0.4008083912037037</v>
      </c>
      <c r="F312" s="33">
        <f t="shared" si="1"/>
        <v>1.316866667</v>
      </c>
      <c r="G312" s="8"/>
      <c r="H312" s="8"/>
      <c r="I312" s="8"/>
    </row>
    <row r="313" ht="15.75" customHeight="1">
      <c r="A313" s="19"/>
      <c r="B313" s="21">
        <v>311.0</v>
      </c>
      <c r="C313" s="23">
        <v>46261.0</v>
      </c>
      <c r="D313" s="26">
        <v>0.404217974537037</v>
      </c>
      <c r="E313" s="26">
        <v>0.4017228819444445</v>
      </c>
      <c r="F313" s="33">
        <f t="shared" si="1"/>
        <v>3.592933333</v>
      </c>
      <c r="G313" s="8"/>
      <c r="H313" s="8"/>
      <c r="I313" s="8"/>
    </row>
    <row r="314" ht="15.75" customHeight="1">
      <c r="A314" s="19"/>
      <c r="B314" s="21">
        <v>312.0</v>
      </c>
      <c r="C314" s="23">
        <v>46261.0</v>
      </c>
      <c r="D314" s="26">
        <v>0.4043621990740741</v>
      </c>
      <c r="E314" s="26">
        <v>0.404217974537037</v>
      </c>
      <c r="F314" s="33">
        <f t="shared" si="1"/>
        <v>0.2076833333</v>
      </c>
      <c r="G314" s="8"/>
      <c r="H314" s="8"/>
      <c r="I314" s="8"/>
    </row>
    <row r="315" ht="15.75" customHeight="1">
      <c r="A315" s="19"/>
      <c r="B315" s="21">
        <v>313.0</v>
      </c>
      <c r="C315" s="23">
        <v>46261.0</v>
      </c>
      <c r="D315" s="26">
        <v>0.4046149421296296</v>
      </c>
      <c r="E315" s="26">
        <v>0.4043621990740741</v>
      </c>
      <c r="F315" s="33">
        <f t="shared" si="1"/>
        <v>0.36395</v>
      </c>
      <c r="G315" s="8"/>
      <c r="H315" s="8"/>
      <c r="I315" s="8"/>
    </row>
    <row r="316" ht="15.75" customHeight="1">
      <c r="A316" s="19"/>
      <c r="B316" s="21">
        <v>314.0</v>
      </c>
      <c r="C316" s="23">
        <v>46261.0</v>
      </c>
      <c r="D316" s="26">
        <v>0.4049434027777778</v>
      </c>
      <c r="E316" s="26">
        <v>0.4046149421296296</v>
      </c>
      <c r="F316" s="33">
        <f t="shared" si="1"/>
        <v>0.4729833333</v>
      </c>
      <c r="G316" s="8"/>
      <c r="H316" s="8"/>
      <c r="I316" s="8"/>
    </row>
    <row r="317" ht="15.75" customHeight="1">
      <c r="A317" s="19"/>
      <c r="B317" s="21">
        <v>315.0</v>
      </c>
      <c r="C317" s="23">
        <v>46261.0</v>
      </c>
      <c r="D317" s="26">
        <v>0.4054686226851852</v>
      </c>
      <c r="E317" s="26">
        <v>0.4049434027777778</v>
      </c>
      <c r="F317" s="33">
        <f t="shared" si="1"/>
        <v>0.7563166667</v>
      </c>
      <c r="G317" s="8"/>
      <c r="H317" s="8"/>
      <c r="I317" s="8"/>
    </row>
    <row r="318" ht="15.75" customHeight="1">
      <c r="A318" s="19"/>
      <c r="B318" s="21">
        <v>316.0</v>
      </c>
      <c r="C318" s="23">
        <v>46261.0</v>
      </c>
      <c r="D318" s="26">
        <v>0.4056048842592593</v>
      </c>
      <c r="E318" s="26">
        <v>0.4054686226851852</v>
      </c>
      <c r="F318" s="33">
        <f t="shared" si="1"/>
        <v>0.1962166667</v>
      </c>
      <c r="G318" s="8"/>
      <c r="H318" s="8"/>
      <c r="I318" s="8"/>
    </row>
    <row r="319" ht="15.75" customHeight="1">
      <c r="A319" s="19"/>
      <c r="B319" s="21">
        <v>317.0</v>
      </c>
      <c r="C319" s="23">
        <v>46261.0</v>
      </c>
      <c r="D319" s="26">
        <v>0.4056139351851852</v>
      </c>
      <c r="E319" s="26">
        <v>0.4056048842592593</v>
      </c>
      <c r="F319" s="33">
        <f t="shared" si="1"/>
        <v>0.01303333333</v>
      </c>
      <c r="G319" s="8"/>
      <c r="H319" s="8"/>
      <c r="I319" s="8"/>
    </row>
    <row r="320" ht="15.75" customHeight="1">
      <c r="A320" s="19"/>
      <c r="B320" s="21">
        <v>318.0</v>
      </c>
      <c r="C320" s="23">
        <v>46261.0</v>
      </c>
      <c r="D320" s="26">
        <v>0.4057710532407408</v>
      </c>
      <c r="E320" s="26">
        <v>0.4056139351851852</v>
      </c>
      <c r="F320" s="33">
        <f t="shared" si="1"/>
        <v>0.22625</v>
      </c>
      <c r="G320" s="8"/>
      <c r="H320" s="8"/>
      <c r="I320" s="8"/>
    </row>
    <row r="321" ht="15.75" customHeight="1">
      <c r="A321" s="19"/>
      <c r="B321" s="21">
        <v>319.0</v>
      </c>
      <c r="C321" s="23">
        <v>46261.0</v>
      </c>
      <c r="D321" s="26">
        <v>0.4058126388888889</v>
      </c>
      <c r="E321" s="26">
        <v>0.4057710532407408</v>
      </c>
      <c r="F321" s="33">
        <f t="shared" si="1"/>
        <v>0.05988333333</v>
      </c>
      <c r="G321" s="8"/>
      <c r="H321" s="8"/>
      <c r="I321" s="8"/>
    </row>
    <row r="322" ht="15.75" customHeight="1">
      <c r="A322" s="19"/>
      <c r="B322" s="21">
        <v>320.0</v>
      </c>
      <c r="C322" s="23">
        <v>46261.0</v>
      </c>
      <c r="D322" s="26">
        <v>0.4062691203703704</v>
      </c>
      <c r="E322" s="26">
        <v>0.4058126388888889</v>
      </c>
      <c r="F322" s="33">
        <f t="shared" si="1"/>
        <v>0.6573333333</v>
      </c>
      <c r="G322" s="8"/>
      <c r="H322" s="8"/>
      <c r="I322" s="8"/>
    </row>
    <row r="323" ht="15.75" customHeight="1">
      <c r="A323" s="19"/>
      <c r="B323" s="21">
        <v>321.0</v>
      </c>
      <c r="C323" s="23">
        <v>46261.0</v>
      </c>
      <c r="D323" s="26">
        <v>0.4090717939814815</v>
      </c>
      <c r="E323" s="26">
        <v>0.4062691203703704</v>
      </c>
      <c r="F323" s="33">
        <f t="shared" si="1"/>
        <v>4.03585</v>
      </c>
      <c r="G323" s="8"/>
      <c r="H323" s="8"/>
      <c r="I323" s="8"/>
    </row>
    <row r="324" ht="15.75" customHeight="1">
      <c r="A324" s="19"/>
      <c r="B324" s="21">
        <v>322.0</v>
      </c>
      <c r="C324" s="23">
        <v>46261.0</v>
      </c>
      <c r="D324" s="26">
        <v>0.4091138425925926</v>
      </c>
      <c r="E324" s="26">
        <v>0.4090717939814815</v>
      </c>
      <c r="F324" s="33">
        <f t="shared" si="1"/>
        <v>0.06055</v>
      </c>
      <c r="G324" s="8"/>
      <c r="H324" s="8"/>
      <c r="I324" s="8"/>
    </row>
    <row r="325" ht="15.75" customHeight="1">
      <c r="A325" s="19"/>
      <c r="B325" s="21">
        <v>323.0</v>
      </c>
      <c r="C325" s="23">
        <v>46261.0</v>
      </c>
      <c r="D325" s="26">
        <v>0.4094970138888889</v>
      </c>
      <c r="E325" s="26">
        <v>0.4091138425925926</v>
      </c>
      <c r="F325" s="33">
        <f t="shared" si="1"/>
        <v>0.5517666667</v>
      </c>
      <c r="G325" s="8"/>
      <c r="H325" s="8"/>
      <c r="I325" s="8"/>
    </row>
    <row r="326" ht="15.75" customHeight="1">
      <c r="A326" s="19"/>
      <c r="B326" s="21">
        <v>324.0</v>
      </c>
      <c r="C326" s="23">
        <v>46261.0</v>
      </c>
      <c r="D326" s="26">
        <v>0.4098554282407407</v>
      </c>
      <c r="E326" s="26">
        <v>0.4094970138888889</v>
      </c>
      <c r="F326" s="33">
        <f t="shared" si="1"/>
        <v>0.5161166667</v>
      </c>
      <c r="G326" s="8"/>
      <c r="H326" s="8"/>
      <c r="I326" s="8"/>
    </row>
    <row r="327" ht="15.75" customHeight="1">
      <c r="A327" s="19"/>
      <c r="B327" s="21">
        <v>325.0</v>
      </c>
      <c r="C327" s="23">
        <v>46261.0</v>
      </c>
      <c r="D327" s="26">
        <v>0.4098707638888889</v>
      </c>
      <c r="E327" s="26">
        <v>0.4098554282407407</v>
      </c>
      <c r="F327" s="33">
        <f t="shared" si="1"/>
        <v>0.02208333333</v>
      </c>
      <c r="G327" s="8"/>
      <c r="H327" s="8"/>
      <c r="I327" s="8"/>
    </row>
    <row r="328" ht="15.75" customHeight="1">
      <c r="A328" s="19"/>
      <c r="B328" s="21">
        <v>326.0</v>
      </c>
      <c r="C328" s="23">
        <v>46261.0</v>
      </c>
      <c r="D328" s="26">
        <v>0.4103086342592592</v>
      </c>
      <c r="E328" s="26">
        <v>0.4098707638888889</v>
      </c>
      <c r="F328" s="33">
        <f t="shared" si="1"/>
        <v>0.6305333333</v>
      </c>
      <c r="G328" s="8"/>
      <c r="H328" s="8"/>
      <c r="I328" s="8"/>
    </row>
    <row r="329" ht="15.75" customHeight="1">
      <c r="A329" s="19"/>
      <c r="B329" s="21">
        <v>327.0</v>
      </c>
      <c r="C329" s="23">
        <v>46261.0</v>
      </c>
      <c r="D329" s="26">
        <v>0.4108962384259259</v>
      </c>
      <c r="E329" s="26">
        <v>0.4103086342592592</v>
      </c>
      <c r="F329" s="33">
        <f t="shared" si="1"/>
        <v>0.84615</v>
      </c>
      <c r="G329" s="8"/>
      <c r="H329" s="8"/>
      <c r="I329" s="8"/>
    </row>
    <row r="330" ht="15.75" customHeight="1">
      <c r="A330" s="19"/>
      <c r="B330" s="21">
        <v>328.0</v>
      </c>
      <c r="C330" s="23">
        <v>46261.0</v>
      </c>
      <c r="D330" s="26">
        <v>0.4118512962962962</v>
      </c>
      <c r="E330" s="26">
        <v>0.4108962384259259</v>
      </c>
      <c r="F330" s="33">
        <f t="shared" si="1"/>
        <v>1.375283333</v>
      </c>
      <c r="G330" s="8"/>
      <c r="H330" s="8"/>
      <c r="I330" s="8"/>
    </row>
    <row r="331" ht="15.75" customHeight="1">
      <c r="A331" s="19"/>
      <c r="B331" s="21">
        <v>329.0</v>
      </c>
      <c r="C331" s="23">
        <v>46261.0</v>
      </c>
      <c r="D331" s="26">
        <v>0.4118905555555555</v>
      </c>
      <c r="E331" s="26">
        <v>0.4118512962962962</v>
      </c>
      <c r="F331" s="33">
        <f t="shared" si="1"/>
        <v>0.05653333333</v>
      </c>
      <c r="G331" s="8"/>
      <c r="H331" s="8"/>
      <c r="I331" s="8"/>
    </row>
    <row r="332" ht="15.75" customHeight="1">
      <c r="A332" s="19"/>
      <c r="B332" s="21">
        <v>330.0</v>
      </c>
      <c r="C332" s="23">
        <v>46261.0</v>
      </c>
      <c r="D332" s="26">
        <v>0.4121479745370371</v>
      </c>
      <c r="E332" s="26">
        <v>0.4118905555555555</v>
      </c>
      <c r="F332" s="33">
        <f t="shared" si="1"/>
        <v>0.3706833333</v>
      </c>
      <c r="G332" s="8"/>
      <c r="H332" s="8"/>
      <c r="I332" s="8"/>
    </row>
    <row r="333" ht="15.75" customHeight="1">
      <c r="A333" s="19"/>
      <c r="B333" s="21">
        <v>331.0</v>
      </c>
      <c r="C333" s="23">
        <v>46261.0</v>
      </c>
      <c r="D333" s="26">
        <v>0.4121738773148148</v>
      </c>
      <c r="E333" s="26">
        <v>0.4121479745370371</v>
      </c>
      <c r="F333" s="33">
        <f t="shared" si="1"/>
        <v>0.0373</v>
      </c>
      <c r="G333" s="8"/>
      <c r="H333" s="8"/>
      <c r="I333" s="8"/>
    </row>
    <row r="334" ht="15.75" customHeight="1">
      <c r="A334" s="19"/>
      <c r="B334" s="21">
        <v>332.0</v>
      </c>
      <c r="C334" s="23">
        <v>46261.0</v>
      </c>
      <c r="D334" s="26">
        <v>0.4123201041666667</v>
      </c>
      <c r="E334" s="26">
        <v>0.4121738773148148</v>
      </c>
      <c r="F334" s="33">
        <f t="shared" si="1"/>
        <v>0.2105666667</v>
      </c>
      <c r="G334" s="8"/>
      <c r="H334" s="8"/>
      <c r="I334" s="8"/>
    </row>
    <row r="335" ht="15.75" customHeight="1">
      <c r="A335" s="19"/>
      <c r="B335" s="21">
        <v>333.0</v>
      </c>
      <c r="C335" s="23">
        <v>46261.0</v>
      </c>
      <c r="D335" s="26">
        <v>0.4126538078703703</v>
      </c>
      <c r="E335" s="26">
        <v>0.4123201041666667</v>
      </c>
      <c r="F335" s="33">
        <f t="shared" si="1"/>
        <v>0.4805333333</v>
      </c>
      <c r="G335" s="8"/>
      <c r="H335" s="8"/>
      <c r="I335" s="8"/>
    </row>
    <row r="336" ht="15.75" customHeight="1">
      <c r="A336" s="19"/>
      <c r="B336" s="21">
        <v>334.0</v>
      </c>
      <c r="C336" s="23">
        <v>46261.0</v>
      </c>
      <c r="D336" s="26">
        <v>0.412747974537037</v>
      </c>
      <c r="E336" s="26">
        <v>0.4126538078703703</v>
      </c>
      <c r="F336" s="33">
        <f t="shared" si="1"/>
        <v>0.1356</v>
      </c>
      <c r="G336" s="8"/>
      <c r="H336" s="8"/>
      <c r="I336" s="8"/>
    </row>
    <row r="337" ht="15.75" customHeight="1">
      <c r="A337" s="19"/>
      <c r="B337" s="21">
        <v>335.0</v>
      </c>
      <c r="C337" s="23">
        <v>46261.0</v>
      </c>
      <c r="D337" s="26">
        <v>0.4130548611111111</v>
      </c>
      <c r="E337" s="26">
        <v>0.412747974537037</v>
      </c>
      <c r="F337" s="33">
        <f t="shared" si="1"/>
        <v>0.4419166667</v>
      </c>
      <c r="G337" s="8"/>
      <c r="H337" s="8"/>
      <c r="I337" s="8"/>
    </row>
    <row r="338" ht="15.75" customHeight="1">
      <c r="A338" s="19"/>
      <c r="B338" s="21">
        <v>336.0</v>
      </c>
      <c r="C338" s="23">
        <v>46261.0</v>
      </c>
      <c r="D338" s="26">
        <v>0.4134925347222222</v>
      </c>
      <c r="E338" s="26">
        <v>0.4130548611111111</v>
      </c>
      <c r="F338" s="33">
        <f t="shared" si="1"/>
        <v>0.63025</v>
      </c>
      <c r="G338" s="8"/>
      <c r="H338" s="8"/>
      <c r="I338" s="8"/>
    </row>
    <row r="339" ht="15.75" customHeight="1">
      <c r="A339" s="19"/>
      <c r="B339" s="21">
        <v>337.0</v>
      </c>
      <c r="C339" s="23">
        <v>46261.0</v>
      </c>
      <c r="D339" s="26">
        <v>0.4135450231481482</v>
      </c>
      <c r="E339" s="26">
        <v>0.4134925347222222</v>
      </c>
      <c r="F339" s="33">
        <f t="shared" si="1"/>
        <v>0.07558333333</v>
      </c>
      <c r="G339" s="8"/>
      <c r="H339" s="8"/>
      <c r="I339" s="8"/>
    </row>
    <row r="340" ht="15.75" customHeight="1">
      <c r="A340" s="19"/>
      <c r="B340" s="21">
        <v>338.0</v>
      </c>
      <c r="C340" s="23">
        <v>46261.0</v>
      </c>
      <c r="D340" s="26">
        <v>0.4139900810185185</v>
      </c>
      <c r="E340" s="26">
        <v>0.4135450231481482</v>
      </c>
      <c r="F340" s="33">
        <f t="shared" si="1"/>
        <v>0.6408833333</v>
      </c>
      <c r="G340" s="8"/>
      <c r="H340" s="8"/>
      <c r="I340" s="8"/>
    </row>
    <row r="341" ht="15.75" customHeight="1">
      <c r="A341" s="19"/>
      <c r="B341" s="21">
        <v>339.0</v>
      </c>
      <c r="C341" s="23">
        <v>46261.0</v>
      </c>
      <c r="D341" s="26">
        <v>0.4142563194444444</v>
      </c>
      <c r="E341" s="26">
        <v>0.4139900810185185</v>
      </c>
      <c r="F341" s="33">
        <f t="shared" si="1"/>
        <v>0.3833833333</v>
      </c>
      <c r="G341" s="8"/>
      <c r="H341" s="8"/>
      <c r="I341" s="8"/>
    </row>
    <row r="342" ht="15.75" customHeight="1">
      <c r="A342" s="19"/>
      <c r="B342" s="21">
        <v>340.0</v>
      </c>
      <c r="C342" s="23">
        <v>46261.0</v>
      </c>
      <c r="D342" s="26">
        <v>0.4143611921296296</v>
      </c>
      <c r="E342" s="26">
        <v>0.4142563194444444</v>
      </c>
      <c r="F342" s="33">
        <f t="shared" si="1"/>
        <v>0.1510166667</v>
      </c>
      <c r="G342" s="8"/>
      <c r="H342" s="8"/>
      <c r="I342" s="8"/>
    </row>
    <row r="343" ht="15.75" customHeight="1">
      <c r="A343" s="19"/>
      <c r="B343" s="21">
        <v>341.0</v>
      </c>
      <c r="C343" s="23">
        <v>46261.0</v>
      </c>
      <c r="D343" s="26">
        <v>0.4150203125</v>
      </c>
      <c r="E343" s="26">
        <v>0.4143611921296296</v>
      </c>
      <c r="F343" s="33">
        <f t="shared" si="1"/>
        <v>0.9491333333</v>
      </c>
      <c r="G343" s="8"/>
      <c r="H343" s="8"/>
      <c r="I343" s="8"/>
    </row>
    <row r="344" ht="15.75" customHeight="1">
      <c r="A344" s="19"/>
      <c r="B344" s="21">
        <v>342.0</v>
      </c>
      <c r="C344" s="23">
        <v>46261.0</v>
      </c>
      <c r="D344" s="26">
        <v>0.4150433449074075</v>
      </c>
      <c r="E344" s="26">
        <v>0.4150203125</v>
      </c>
      <c r="F344" s="33">
        <f t="shared" si="1"/>
        <v>0.03316666667</v>
      </c>
      <c r="G344" s="8"/>
      <c r="H344" s="8"/>
      <c r="I344" s="8"/>
    </row>
    <row r="345" ht="15.75" customHeight="1">
      <c r="A345" s="19"/>
      <c r="B345" s="21">
        <v>343.0</v>
      </c>
      <c r="C345" s="23">
        <v>46261.0</v>
      </c>
      <c r="D345" s="26">
        <v>0.4152921875</v>
      </c>
      <c r="E345" s="26">
        <v>0.4150433449074075</v>
      </c>
      <c r="F345" s="33">
        <f t="shared" si="1"/>
        <v>0.3583333333</v>
      </c>
      <c r="G345" s="8"/>
      <c r="H345" s="8"/>
      <c r="I345" s="8"/>
    </row>
    <row r="346" ht="15.75" customHeight="1">
      <c r="A346" s="19"/>
      <c r="B346" s="21">
        <v>344.0</v>
      </c>
      <c r="C346" s="23">
        <v>46261.0</v>
      </c>
      <c r="D346" s="26">
        <v>0.4161772453703704</v>
      </c>
      <c r="E346" s="26">
        <v>0.4152921875</v>
      </c>
      <c r="F346" s="33">
        <f t="shared" si="1"/>
        <v>1.274483333</v>
      </c>
      <c r="G346" s="8"/>
      <c r="H346" s="8"/>
      <c r="I346" s="8"/>
    </row>
    <row r="347" ht="15.75" customHeight="1">
      <c r="A347" s="19"/>
      <c r="B347" s="21">
        <v>345.0</v>
      </c>
      <c r="C347" s="23">
        <v>46261.0</v>
      </c>
      <c r="D347" s="26">
        <v>0.4162348148148148</v>
      </c>
      <c r="E347" s="26">
        <v>0.4161772453703704</v>
      </c>
      <c r="F347" s="33">
        <f t="shared" si="1"/>
        <v>0.0829</v>
      </c>
      <c r="G347" s="8"/>
      <c r="H347" s="8"/>
      <c r="I347" s="8"/>
    </row>
    <row r="348" ht="15.75" customHeight="1">
      <c r="A348" s="19"/>
      <c r="B348" s="21">
        <v>346.0</v>
      </c>
      <c r="C348" s="23">
        <v>46261.0</v>
      </c>
      <c r="D348" s="26">
        <v>0.4165688657407408</v>
      </c>
      <c r="E348" s="26">
        <v>0.4162348148148148</v>
      </c>
      <c r="F348" s="33">
        <f t="shared" si="1"/>
        <v>0.4810333333</v>
      </c>
      <c r="G348" s="8"/>
      <c r="H348" s="8"/>
      <c r="I348" s="8"/>
    </row>
    <row r="349" ht="15.75" customHeight="1">
      <c r="A349" s="19"/>
      <c r="B349" s="21">
        <v>347.0</v>
      </c>
      <c r="C349" s="23">
        <v>46262.0</v>
      </c>
      <c r="D349" s="26">
        <v>0.3751834375</v>
      </c>
      <c r="E349" s="26">
        <v>0.3751598032407408</v>
      </c>
      <c r="F349" s="33">
        <f t="shared" si="1"/>
        <v>0.03403333333</v>
      </c>
      <c r="G349" s="8"/>
      <c r="H349" s="8"/>
      <c r="I349" s="8"/>
    </row>
    <row r="350" ht="15.75" customHeight="1">
      <c r="A350" s="19"/>
      <c r="B350" s="21">
        <v>348.0</v>
      </c>
      <c r="C350" s="23">
        <v>46262.0</v>
      </c>
      <c r="D350" s="26">
        <v>0.3752457407407407</v>
      </c>
      <c r="E350" s="26">
        <v>0.3751834375</v>
      </c>
      <c r="F350" s="33">
        <f t="shared" si="1"/>
        <v>0.08971666667</v>
      </c>
      <c r="G350" s="8"/>
      <c r="H350" s="8"/>
      <c r="I350" s="8"/>
    </row>
    <row r="351" ht="15.75" customHeight="1">
      <c r="A351" s="19"/>
      <c r="B351" s="21">
        <v>349.0</v>
      </c>
      <c r="C351" s="23">
        <v>46262.0</v>
      </c>
      <c r="D351" s="26">
        <v>0.3754597106481481</v>
      </c>
      <c r="E351" s="26">
        <v>0.3752457407407407</v>
      </c>
      <c r="F351" s="33">
        <f t="shared" si="1"/>
        <v>0.3081166667</v>
      </c>
      <c r="G351" s="8"/>
      <c r="H351" s="8"/>
      <c r="I351" s="8"/>
    </row>
    <row r="352" ht="15.75" customHeight="1">
      <c r="A352" s="19"/>
      <c r="B352" s="21">
        <v>350.0</v>
      </c>
      <c r="C352" s="23">
        <v>46262.0</v>
      </c>
      <c r="D352" s="26">
        <v>0.3755697222222222</v>
      </c>
      <c r="E352" s="26">
        <v>0.3754597106481481</v>
      </c>
      <c r="F352" s="33">
        <f t="shared" si="1"/>
        <v>0.1584166667</v>
      </c>
      <c r="G352" s="8"/>
      <c r="H352" s="8"/>
      <c r="I352" s="8"/>
    </row>
    <row r="353" ht="15.75" customHeight="1">
      <c r="A353" s="19"/>
      <c r="B353" s="21">
        <v>351.0</v>
      </c>
      <c r="C353" s="23">
        <v>46262.0</v>
      </c>
      <c r="D353" s="26">
        <v>0.3765334722222222</v>
      </c>
      <c r="E353" s="26">
        <v>0.3755697222222222</v>
      </c>
      <c r="F353" s="33">
        <f t="shared" si="1"/>
        <v>1.3878</v>
      </c>
      <c r="G353" s="8"/>
      <c r="H353" s="8"/>
      <c r="I353" s="8"/>
    </row>
    <row r="354" ht="15.75" customHeight="1">
      <c r="A354" s="19"/>
      <c r="B354" s="21">
        <v>352.0</v>
      </c>
      <c r="C354" s="23">
        <v>46262.0</v>
      </c>
      <c r="D354" s="26">
        <v>0.3765949074074074</v>
      </c>
      <c r="E354" s="26">
        <v>0.3765334722222222</v>
      </c>
      <c r="F354" s="33">
        <f t="shared" si="1"/>
        <v>0.08846666667</v>
      </c>
      <c r="G354" s="8"/>
      <c r="H354" s="8"/>
      <c r="I354" s="8"/>
    </row>
    <row r="355" ht="15.75" customHeight="1">
      <c r="A355" s="19"/>
      <c r="B355" s="21">
        <v>353.0</v>
      </c>
      <c r="C355" s="23">
        <v>46262.0</v>
      </c>
      <c r="D355" s="26">
        <v>0.3766126041666667</v>
      </c>
      <c r="E355" s="26">
        <v>0.3765949074074074</v>
      </c>
      <c r="F355" s="33">
        <f t="shared" si="1"/>
        <v>0.02548333333</v>
      </c>
      <c r="G355" s="8"/>
      <c r="H355" s="8"/>
      <c r="I355" s="8"/>
    </row>
    <row r="356" ht="15.75" customHeight="1">
      <c r="A356" s="19"/>
      <c r="B356" s="21">
        <v>354.0</v>
      </c>
      <c r="C356" s="23">
        <v>46262.0</v>
      </c>
      <c r="D356" s="26">
        <v>0.3769927893518519</v>
      </c>
      <c r="E356" s="26">
        <v>0.3766126041666667</v>
      </c>
      <c r="F356" s="33">
        <f t="shared" si="1"/>
        <v>0.5474666667</v>
      </c>
      <c r="G356" s="8"/>
      <c r="H356" s="8"/>
      <c r="I356" s="8"/>
    </row>
    <row r="357" ht="15.75" customHeight="1">
      <c r="A357" s="19"/>
      <c r="B357" s="21">
        <v>355.0</v>
      </c>
      <c r="C357" s="23">
        <v>46262.0</v>
      </c>
      <c r="D357" s="26">
        <v>0.3769953125</v>
      </c>
      <c r="E357" s="26">
        <v>0.3769927893518519</v>
      </c>
      <c r="F357" s="33">
        <f t="shared" si="1"/>
        <v>0.003633333333</v>
      </c>
      <c r="G357" s="8"/>
      <c r="H357" s="8"/>
      <c r="I357" s="8"/>
    </row>
    <row r="358" ht="15.75" customHeight="1">
      <c r="A358" s="19"/>
      <c r="B358" s="21">
        <v>356.0</v>
      </c>
      <c r="C358" s="23">
        <v>46262.0</v>
      </c>
      <c r="D358" s="26">
        <v>0.3773001851851852</v>
      </c>
      <c r="E358" s="26">
        <v>0.3769953125</v>
      </c>
      <c r="F358" s="33">
        <f t="shared" si="1"/>
        <v>0.4390166667</v>
      </c>
      <c r="G358" s="8"/>
      <c r="H358" s="8"/>
      <c r="I358" s="8"/>
    </row>
    <row r="359" ht="15.75" customHeight="1">
      <c r="A359" s="19"/>
      <c r="B359" s="21">
        <v>357.0</v>
      </c>
      <c r="C359" s="23">
        <v>46262.0</v>
      </c>
      <c r="D359" s="26">
        <v>0.3774152199074074</v>
      </c>
      <c r="E359" s="26">
        <v>0.3773001851851852</v>
      </c>
      <c r="F359" s="33">
        <f t="shared" si="1"/>
        <v>0.16565</v>
      </c>
      <c r="G359" s="8"/>
      <c r="H359" s="8"/>
      <c r="I359" s="8"/>
    </row>
    <row r="360" ht="15.75" customHeight="1">
      <c r="A360" s="19"/>
      <c r="B360" s="21">
        <v>358.0</v>
      </c>
      <c r="C360" s="23">
        <v>46262.0</v>
      </c>
      <c r="D360" s="26">
        <v>0.3783970717592593</v>
      </c>
      <c r="E360" s="26">
        <v>0.3774152199074074</v>
      </c>
      <c r="F360" s="33">
        <f t="shared" si="1"/>
        <v>1.413866667</v>
      </c>
      <c r="G360" s="8"/>
      <c r="H360" s="8"/>
      <c r="I360" s="8"/>
    </row>
    <row r="361" ht="15.75" customHeight="1">
      <c r="A361" s="19"/>
      <c r="B361" s="21">
        <v>359.0</v>
      </c>
      <c r="C361" s="23">
        <v>46262.0</v>
      </c>
      <c r="D361" s="26">
        <v>0.3784535532407407</v>
      </c>
      <c r="E361" s="26">
        <v>0.3783970717592593</v>
      </c>
      <c r="F361" s="33">
        <f t="shared" si="1"/>
        <v>0.08133333333</v>
      </c>
      <c r="G361" s="8"/>
      <c r="H361" s="8"/>
      <c r="I361" s="8"/>
    </row>
    <row r="362" ht="15.75" customHeight="1">
      <c r="A362" s="19"/>
      <c r="B362" s="21">
        <v>360.0</v>
      </c>
      <c r="C362" s="23">
        <v>46262.0</v>
      </c>
      <c r="D362" s="26">
        <v>0.3786842013888889</v>
      </c>
      <c r="E362" s="26">
        <v>0.3784535532407407</v>
      </c>
      <c r="F362" s="33">
        <f t="shared" si="1"/>
        <v>0.3321333333</v>
      </c>
      <c r="G362" s="8"/>
      <c r="H362" s="8"/>
      <c r="I362" s="8"/>
    </row>
    <row r="363" ht="15.75" customHeight="1">
      <c r="A363" s="19"/>
      <c r="B363" s="21">
        <v>361.0</v>
      </c>
      <c r="C363" s="23">
        <v>46262.0</v>
      </c>
      <c r="D363" s="26">
        <v>0.3789559375</v>
      </c>
      <c r="E363" s="26">
        <v>0.3786842013888889</v>
      </c>
      <c r="F363" s="33">
        <f t="shared" si="1"/>
        <v>0.3913</v>
      </c>
      <c r="G363" s="8"/>
      <c r="H363" s="8"/>
      <c r="I363" s="8"/>
    </row>
    <row r="364" ht="15.75" customHeight="1">
      <c r="A364" s="19"/>
      <c r="B364" s="21">
        <v>362.0</v>
      </c>
      <c r="C364" s="23">
        <v>46262.0</v>
      </c>
      <c r="D364" s="26">
        <v>0.3801885069444444</v>
      </c>
      <c r="E364" s="26">
        <v>0.3789559375</v>
      </c>
      <c r="F364" s="33">
        <f t="shared" si="1"/>
        <v>1.7749</v>
      </c>
      <c r="G364" s="8"/>
      <c r="H364" s="8"/>
      <c r="I364" s="8"/>
    </row>
    <row r="365" ht="15.75" customHeight="1">
      <c r="A365" s="19"/>
      <c r="B365" s="21">
        <v>363.0</v>
      </c>
      <c r="C365" s="23">
        <v>46262.0</v>
      </c>
      <c r="D365" s="26">
        <v>0.3801996759259259</v>
      </c>
      <c r="E365" s="26">
        <v>0.3801885069444444</v>
      </c>
      <c r="F365" s="33">
        <f t="shared" si="1"/>
        <v>0.01608333333</v>
      </c>
      <c r="G365" s="8"/>
      <c r="H365" s="8"/>
      <c r="I365" s="8"/>
    </row>
    <row r="366" ht="15.75" customHeight="1">
      <c r="A366" s="19"/>
      <c r="B366" s="21">
        <v>364.0</v>
      </c>
      <c r="C366" s="23">
        <v>46262.0</v>
      </c>
      <c r="D366" s="26">
        <v>0.3804502430555555</v>
      </c>
      <c r="E366" s="26">
        <v>0.3801996759259259</v>
      </c>
      <c r="F366" s="33">
        <f t="shared" si="1"/>
        <v>0.3608166667</v>
      </c>
      <c r="G366" s="8"/>
      <c r="H366" s="8"/>
      <c r="I366" s="8"/>
    </row>
    <row r="367" ht="15.75" customHeight="1">
      <c r="A367" s="19"/>
      <c r="B367" s="21">
        <v>365.0</v>
      </c>
      <c r="C367" s="23">
        <v>46262.0</v>
      </c>
      <c r="D367" s="26">
        <v>0.3804534837962962</v>
      </c>
      <c r="E367" s="26">
        <v>0.3804502430555555</v>
      </c>
      <c r="F367" s="33">
        <f t="shared" si="1"/>
        <v>0.004666666667</v>
      </c>
      <c r="G367" s="8"/>
      <c r="H367" s="8"/>
      <c r="I367" s="8"/>
    </row>
    <row r="368" ht="15.75" customHeight="1">
      <c r="A368" s="19"/>
      <c r="B368" s="21">
        <v>366.0</v>
      </c>
      <c r="C368" s="23">
        <v>46262.0</v>
      </c>
      <c r="D368" s="26">
        <v>0.3805997337962963</v>
      </c>
      <c r="E368" s="26">
        <v>0.3804534837962962</v>
      </c>
      <c r="F368" s="33">
        <f t="shared" si="1"/>
        <v>0.2106</v>
      </c>
      <c r="G368" s="8"/>
      <c r="H368" s="8"/>
      <c r="I368" s="8"/>
    </row>
    <row r="369" ht="15.75" customHeight="1">
      <c r="A369" s="19"/>
      <c r="B369" s="21">
        <v>367.0</v>
      </c>
      <c r="C369" s="23">
        <v>46262.0</v>
      </c>
      <c r="D369" s="26">
        <v>0.3808296990740741</v>
      </c>
      <c r="E369" s="26">
        <v>0.3805997337962963</v>
      </c>
      <c r="F369" s="33">
        <f t="shared" si="1"/>
        <v>0.33115</v>
      </c>
      <c r="G369" s="8"/>
      <c r="H369" s="8"/>
      <c r="I369" s="8"/>
    </row>
    <row r="370" ht="15.75" customHeight="1">
      <c r="A370" s="19"/>
      <c r="B370" s="21">
        <v>368.0</v>
      </c>
      <c r="C370" s="23">
        <v>46262.0</v>
      </c>
      <c r="D370" s="26">
        <v>0.3817050810185186</v>
      </c>
      <c r="E370" s="26">
        <v>0.3808296990740741</v>
      </c>
      <c r="F370" s="33">
        <f t="shared" si="1"/>
        <v>1.26055</v>
      </c>
      <c r="G370" s="8"/>
      <c r="H370" s="8"/>
      <c r="I370" s="8"/>
    </row>
    <row r="371" ht="15.75" customHeight="1">
      <c r="A371" s="19"/>
      <c r="B371" s="21">
        <v>369.0</v>
      </c>
      <c r="C371" s="23">
        <v>46262.0</v>
      </c>
      <c r="D371" s="26">
        <v>0.3823775347222222</v>
      </c>
      <c r="E371" s="26">
        <v>0.3817050810185186</v>
      </c>
      <c r="F371" s="33">
        <f t="shared" si="1"/>
        <v>0.9683333333</v>
      </c>
      <c r="G371" s="8"/>
      <c r="H371" s="8"/>
      <c r="I371" s="8"/>
    </row>
    <row r="372" ht="15.75" customHeight="1">
      <c r="A372" s="19"/>
      <c r="B372" s="21">
        <v>370.0</v>
      </c>
      <c r="C372" s="23">
        <v>46262.0</v>
      </c>
      <c r="D372" s="26">
        <v>0.3824150925925925</v>
      </c>
      <c r="E372" s="26">
        <v>0.3823775347222222</v>
      </c>
      <c r="F372" s="33">
        <f t="shared" si="1"/>
        <v>0.05408333333</v>
      </c>
      <c r="G372" s="8"/>
      <c r="H372" s="8"/>
      <c r="I372" s="8"/>
    </row>
    <row r="373" ht="15.75" customHeight="1">
      <c r="A373" s="19"/>
      <c r="B373" s="21">
        <v>371.0</v>
      </c>
      <c r="C373" s="23">
        <v>46262.0</v>
      </c>
      <c r="D373" s="26">
        <v>0.3829502662037037</v>
      </c>
      <c r="E373" s="26">
        <v>0.3824150925925925</v>
      </c>
      <c r="F373" s="33">
        <f t="shared" si="1"/>
        <v>0.77065</v>
      </c>
      <c r="G373" s="8"/>
      <c r="H373" s="8"/>
      <c r="I373" s="8"/>
    </row>
    <row r="374" ht="15.75" customHeight="1">
      <c r="A374" s="19"/>
      <c r="B374" s="21">
        <v>372.0</v>
      </c>
      <c r="C374" s="23">
        <v>46262.0</v>
      </c>
      <c r="D374" s="26">
        <v>0.3838214467592593</v>
      </c>
      <c r="E374" s="26">
        <v>0.3829502662037037</v>
      </c>
      <c r="F374" s="33">
        <f t="shared" si="1"/>
        <v>1.2545</v>
      </c>
      <c r="G374" s="8"/>
      <c r="H374" s="8"/>
      <c r="I374" s="8"/>
    </row>
    <row r="375" ht="15.75" customHeight="1">
      <c r="A375" s="19"/>
      <c r="B375" s="21">
        <v>373.0</v>
      </c>
      <c r="C375" s="23">
        <v>46262.0</v>
      </c>
      <c r="D375" s="26">
        <v>0.384188125</v>
      </c>
      <c r="E375" s="26">
        <v>0.3838214467592593</v>
      </c>
      <c r="F375" s="33">
        <f t="shared" si="1"/>
        <v>0.5280166667</v>
      </c>
      <c r="G375" s="8"/>
      <c r="H375" s="8"/>
      <c r="I375" s="8"/>
    </row>
    <row r="376" ht="15.75" customHeight="1">
      <c r="A376" s="19"/>
      <c r="B376" s="21">
        <v>374.0</v>
      </c>
      <c r="C376" s="23">
        <v>46262.0</v>
      </c>
      <c r="D376" s="26">
        <v>0.3847591782407407</v>
      </c>
      <c r="E376" s="26">
        <v>0.384188125</v>
      </c>
      <c r="F376" s="33">
        <f t="shared" si="1"/>
        <v>0.8223166667</v>
      </c>
      <c r="G376" s="8"/>
      <c r="H376" s="8"/>
      <c r="I376" s="8"/>
    </row>
    <row r="377" ht="15.75" customHeight="1">
      <c r="A377" s="19"/>
      <c r="B377" s="21">
        <v>375.0</v>
      </c>
      <c r="C377" s="23">
        <v>46262.0</v>
      </c>
      <c r="D377" s="26">
        <v>0.3855729861111111</v>
      </c>
      <c r="E377" s="26">
        <v>0.3847591782407407</v>
      </c>
      <c r="F377" s="33">
        <f t="shared" si="1"/>
        <v>1.171883333</v>
      </c>
      <c r="G377" s="8"/>
      <c r="H377" s="8"/>
      <c r="I377" s="8"/>
    </row>
    <row r="378" ht="15.75" customHeight="1">
      <c r="A378" s="19"/>
      <c r="B378" s="21">
        <v>376.0</v>
      </c>
      <c r="C378" s="23">
        <v>46262.0</v>
      </c>
      <c r="D378" s="26">
        <v>0.3863342245370371</v>
      </c>
      <c r="E378" s="26">
        <v>0.3855729861111111</v>
      </c>
      <c r="F378" s="33">
        <f t="shared" si="1"/>
        <v>1.096183333</v>
      </c>
      <c r="G378" s="8"/>
      <c r="H378" s="8"/>
      <c r="I378" s="8"/>
    </row>
    <row r="379" ht="15.75" customHeight="1">
      <c r="A379" s="19"/>
      <c r="B379" s="21">
        <v>377.0</v>
      </c>
      <c r="C379" s="23">
        <v>46262.0</v>
      </c>
      <c r="D379" s="26">
        <v>0.3865864351851852</v>
      </c>
      <c r="E379" s="26">
        <v>0.3863342245370371</v>
      </c>
      <c r="F379" s="33">
        <f t="shared" si="1"/>
        <v>0.3631833333</v>
      </c>
      <c r="G379" s="8"/>
      <c r="H379" s="8"/>
      <c r="I379" s="8"/>
    </row>
    <row r="380" ht="15.75" customHeight="1">
      <c r="A380" s="19"/>
      <c r="B380" s="21">
        <v>378.0</v>
      </c>
      <c r="C380" s="23">
        <v>46262.0</v>
      </c>
      <c r="D380" s="26">
        <v>0.3867369560185185</v>
      </c>
      <c r="E380" s="26">
        <v>0.3865864351851852</v>
      </c>
      <c r="F380" s="33">
        <f t="shared" si="1"/>
        <v>0.21675</v>
      </c>
      <c r="G380" s="8"/>
      <c r="H380" s="8"/>
      <c r="I380" s="8"/>
    </row>
    <row r="381" ht="15.75" customHeight="1">
      <c r="A381" s="19"/>
      <c r="B381" s="21">
        <v>379.0</v>
      </c>
      <c r="C381" s="23">
        <v>46262.0</v>
      </c>
      <c r="D381" s="26">
        <v>0.3874718865740741</v>
      </c>
      <c r="E381" s="26">
        <v>0.3867369560185185</v>
      </c>
      <c r="F381" s="33">
        <f t="shared" si="1"/>
        <v>1.0583</v>
      </c>
      <c r="G381" s="8"/>
      <c r="H381" s="8"/>
      <c r="I381" s="8"/>
    </row>
    <row r="382" ht="15.75" customHeight="1">
      <c r="A382" s="19"/>
      <c r="B382" s="21">
        <v>380.0</v>
      </c>
      <c r="C382" s="23">
        <v>46262.0</v>
      </c>
      <c r="D382" s="26">
        <v>0.388391099537037</v>
      </c>
      <c r="E382" s="26">
        <v>0.3874718865740741</v>
      </c>
      <c r="F382" s="33">
        <f t="shared" si="1"/>
        <v>1.323666667</v>
      </c>
      <c r="G382" s="8"/>
      <c r="H382" s="8"/>
      <c r="I382" s="8"/>
    </row>
    <row r="383" ht="15.75" customHeight="1">
      <c r="A383" s="19"/>
      <c r="B383" s="21">
        <v>381.0</v>
      </c>
      <c r="C383" s="23">
        <v>46262.0</v>
      </c>
      <c r="D383" s="26">
        <v>0.388641238425926</v>
      </c>
      <c r="E383" s="26">
        <v>0.388391099537037</v>
      </c>
      <c r="F383" s="33">
        <f t="shared" si="1"/>
        <v>0.3602</v>
      </c>
      <c r="G383" s="8"/>
      <c r="H383" s="8"/>
      <c r="I383" s="8"/>
    </row>
    <row r="384" ht="15.75" customHeight="1">
      <c r="A384" s="19"/>
      <c r="B384" s="21">
        <v>382.0</v>
      </c>
      <c r="C384" s="23">
        <v>46262.0</v>
      </c>
      <c r="D384" s="26">
        <v>0.3893294444444445</v>
      </c>
      <c r="E384" s="26">
        <v>0.388641238425926</v>
      </c>
      <c r="F384" s="33">
        <f t="shared" si="1"/>
        <v>0.9910166667</v>
      </c>
      <c r="G384" s="8"/>
      <c r="H384" s="8"/>
      <c r="I384" s="8"/>
    </row>
    <row r="385" ht="15.75" customHeight="1">
      <c r="A385" s="19"/>
      <c r="B385" s="21">
        <v>383.0</v>
      </c>
      <c r="C385" s="23">
        <v>46262.0</v>
      </c>
      <c r="D385" s="26">
        <v>0.3893617592592593</v>
      </c>
      <c r="E385" s="26">
        <v>0.3893294444444445</v>
      </c>
      <c r="F385" s="33">
        <f t="shared" si="1"/>
        <v>0.04653333333</v>
      </c>
      <c r="G385" s="8"/>
      <c r="H385" s="8"/>
      <c r="I385" s="8"/>
    </row>
    <row r="386" ht="15.75" customHeight="1">
      <c r="A386" s="19"/>
      <c r="B386" s="21">
        <v>384.0</v>
      </c>
      <c r="C386" s="23">
        <v>46262.0</v>
      </c>
      <c r="D386" s="26">
        <v>0.3895417939814815</v>
      </c>
      <c r="E386" s="26">
        <v>0.3893617592592593</v>
      </c>
      <c r="F386" s="33">
        <f t="shared" si="1"/>
        <v>0.25925</v>
      </c>
      <c r="G386" s="8"/>
      <c r="H386" s="8"/>
      <c r="I386" s="8"/>
    </row>
    <row r="387" ht="15.75" customHeight="1">
      <c r="A387" s="19"/>
      <c r="B387" s="21">
        <v>385.0</v>
      </c>
      <c r="C387" s="23">
        <v>46262.0</v>
      </c>
      <c r="D387" s="26">
        <v>0.3901976967592592</v>
      </c>
      <c r="E387" s="26">
        <v>0.3895417939814815</v>
      </c>
      <c r="F387" s="33">
        <f t="shared" si="1"/>
        <v>0.9445</v>
      </c>
      <c r="G387" s="8"/>
      <c r="H387" s="8"/>
      <c r="I387" s="8"/>
    </row>
    <row r="388" ht="15.75" customHeight="1">
      <c r="A388" s="19"/>
      <c r="B388" s="21">
        <v>386.0</v>
      </c>
      <c r="C388" s="23">
        <v>46262.0</v>
      </c>
      <c r="D388" s="26">
        <v>0.3907650810185185</v>
      </c>
      <c r="E388" s="26">
        <v>0.3901976967592592</v>
      </c>
      <c r="F388" s="33">
        <f t="shared" si="1"/>
        <v>0.8170333333</v>
      </c>
      <c r="G388" s="8"/>
      <c r="H388" s="8"/>
      <c r="I388" s="8"/>
    </row>
    <row r="389" ht="15.75" customHeight="1">
      <c r="A389" s="19"/>
      <c r="B389" s="21">
        <v>387.0</v>
      </c>
      <c r="C389" s="23">
        <v>46262.0</v>
      </c>
      <c r="D389" s="26">
        <v>0.3908954861111111</v>
      </c>
      <c r="E389" s="26">
        <v>0.3907650810185185</v>
      </c>
      <c r="F389" s="33">
        <f t="shared" si="1"/>
        <v>0.1877833333</v>
      </c>
      <c r="G389" s="8"/>
      <c r="H389" s="8"/>
      <c r="I389" s="8"/>
    </row>
    <row r="390" ht="15.75" customHeight="1">
      <c r="A390" s="19"/>
      <c r="B390" s="21">
        <v>388.0</v>
      </c>
      <c r="C390" s="23">
        <v>46262.0</v>
      </c>
      <c r="D390" s="26">
        <v>0.3909269212962963</v>
      </c>
      <c r="E390" s="26">
        <v>0.3908954861111111</v>
      </c>
      <c r="F390" s="33">
        <f t="shared" si="1"/>
        <v>0.04526666667</v>
      </c>
      <c r="G390" s="8"/>
      <c r="H390" s="8"/>
      <c r="I390" s="8"/>
    </row>
    <row r="391" ht="15.75" customHeight="1">
      <c r="A391" s="19"/>
      <c r="B391" s="21">
        <v>389.0</v>
      </c>
      <c r="C391" s="23">
        <v>46262.0</v>
      </c>
      <c r="D391" s="26">
        <v>0.3912459259259259</v>
      </c>
      <c r="E391" s="26">
        <v>0.3909269212962963</v>
      </c>
      <c r="F391" s="33">
        <f t="shared" si="1"/>
        <v>0.4593666667</v>
      </c>
      <c r="G391" s="8"/>
      <c r="H391" s="8"/>
      <c r="I391" s="8"/>
    </row>
    <row r="392" ht="15.75" customHeight="1">
      <c r="A392" s="19"/>
      <c r="B392" s="21">
        <v>390.0</v>
      </c>
      <c r="C392" s="23">
        <v>46262.0</v>
      </c>
      <c r="D392" s="26">
        <v>0.3921945717592592</v>
      </c>
      <c r="E392" s="26">
        <v>0.3912459259259259</v>
      </c>
      <c r="F392" s="33">
        <f t="shared" si="1"/>
        <v>1.36605</v>
      </c>
      <c r="G392" s="8"/>
      <c r="H392" s="8"/>
      <c r="I392" s="8"/>
    </row>
    <row r="393" ht="15.75" customHeight="1">
      <c r="A393" s="19"/>
      <c r="B393" s="21">
        <v>391.0</v>
      </c>
      <c r="C393" s="23">
        <v>46262.0</v>
      </c>
      <c r="D393" s="26">
        <v>0.3922075</v>
      </c>
      <c r="E393" s="26">
        <v>0.3921945717592592</v>
      </c>
      <c r="F393" s="33">
        <f t="shared" si="1"/>
        <v>0.01861666667</v>
      </c>
      <c r="G393" s="8"/>
      <c r="H393" s="8"/>
      <c r="I393" s="8"/>
    </row>
    <row r="394" ht="15.75" customHeight="1">
      <c r="A394" s="19"/>
      <c r="B394" s="21">
        <v>392.0</v>
      </c>
      <c r="C394" s="23">
        <v>46262.0</v>
      </c>
      <c r="D394" s="26">
        <v>0.3931141319444444</v>
      </c>
      <c r="E394" s="26">
        <v>0.3922075</v>
      </c>
      <c r="F394" s="33">
        <f t="shared" si="1"/>
        <v>1.30555</v>
      </c>
      <c r="G394" s="8"/>
      <c r="H394" s="8"/>
      <c r="I394" s="8"/>
    </row>
    <row r="395" ht="15.75" customHeight="1">
      <c r="A395" s="19"/>
      <c r="B395" s="21">
        <v>393.0</v>
      </c>
      <c r="C395" s="23">
        <v>46262.0</v>
      </c>
      <c r="D395" s="26">
        <v>0.3940871990740741</v>
      </c>
      <c r="E395" s="26">
        <v>0.3931141319444444</v>
      </c>
      <c r="F395" s="33">
        <f t="shared" si="1"/>
        <v>1.401216667</v>
      </c>
      <c r="G395" s="8"/>
      <c r="H395" s="8"/>
      <c r="I395" s="8"/>
    </row>
    <row r="396" ht="15.75" customHeight="1">
      <c r="A396" s="19"/>
      <c r="B396" s="21">
        <v>394.0</v>
      </c>
      <c r="C396" s="23">
        <v>46262.0</v>
      </c>
      <c r="D396" s="26">
        <v>0.396000462962963</v>
      </c>
      <c r="E396" s="26">
        <v>0.3940871990740741</v>
      </c>
      <c r="F396" s="33">
        <f t="shared" si="1"/>
        <v>2.7551</v>
      </c>
      <c r="G396" s="8"/>
      <c r="H396" s="8"/>
      <c r="I396" s="8"/>
    </row>
    <row r="397" ht="15.75" customHeight="1">
      <c r="A397" s="19"/>
      <c r="B397" s="21">
        <v>395.0</v>
      </c>
      <c r="C397" s="23">
        <v>46262.0</v>
      </c>
      <c r="D397" s="26">
        <v>0.3962288657407407</v>
      </c>
      <c r="E397" s="26">
        <v>0.396000462962963</v>
      </c>
      <c r="F397" s="33">
        <f t="shared" si="1"/>
        <v>0.3289</v>
      </c>
      <c r="G397" s="8"/>
      <c r="H397" s="8"/>
      <c r="I397" s="8"/>
    </row>
    <row r="398" ht="15.75" customHeight="1">
      <c r="A398" s="19"/>
      <c r="B398" s="21">
        <v>396.0</v>
      </c>
      <c r="C398" s="23">
        <v>46262.0</v>
      </c>
      <c r="D398" s="26">
        <v>0.3965260763888889</v>
      </c>
      <c r="E398" s="26">
        <v>0.3962288657407407</v>
      </c>
      <c r="F398" s="33">
        <f t="shared" si="1"/>
        <v>0.4279833333</v>
      </c>
      <c r="G398" s="8"/>
      <c r="H398" s="8"/>
      <c r="I398" s="8"/>
    </row>
    <row r="399" ht="15.75" customHeight="1">
      <c r="A399" s="19"/>
      <c r="B399" s="21">
        <v>397.0</v>
      </c>
      <c r="C399" s="23">
        <v>46262.0</v>
      </c>
      <c r="D399" s="26">
        <v>0.3966842476851852</v>
      </c>
      <c r="E399" s="26">
        <v>0.3965260763888889</v>
      </c>
      <c r="F399" s="33">
        <f t="shared" si="1"/>
        <v>0.2277666667</v>
      </c>
      <c r="G399" s="8"/>
      <c r="H399" s="8"/>
      <c r="I399" s="8"/>
    </row>
    <row r="400" ht="15.75" customHeight="1">
      <c r="A400" s="19"/>
      <c r="B400" s="21">
        <v>398.0</v>
      </c>
      <c r="C400" s="23">
        <v>46262.0</v>
      </c>
      <c r="D400" s="26">
        <v>0.3967868865740741</v>
      </c>
      <c r="E400" s="26">
        <v>0.3966842476851852</v>
      </c>
      <c r="F400" s="33">
        <f t="shared" si="1"/>
        <v>0.1478</v>
      </c>
      <c r="G400" s="8"/>
      <c r="H400" s="8"/>
      <c r="I400" s="8"/>
    </row>
    <row r="401" ht="15.75" customHeight="1">
      <c r="A401" s="19"/>
      <c r="B401" s="21">
        <v>399.0</v>
      </c>
      <c r="C401" s="23">
        <v>46262.0</v>
      </c>
      <c r="D401" s="26">
        <v>0.3969963425925925</v>
      </c>
      <c r="E401" s="26">
        <v>0.3967868865740741</v>
      </c>
      <c r="F401" s="33">
        <f t="shared" si="1"/>
        <v>0.3016166667</v>
      </c>
      <c r="G401" s="8"/>
      <c r="H401" s="8"/>
      <c r="I401" s="8"/>
    </row>
    <row r="402" ht="15.75" customHeight="1">
      <c r="A402" s="19"/>
      <c r="B402" s="21">
        <v>400.0</v>
      </c>
      <c r="C402" s="23">
        <v>46262.0</v>
      </c>
      <c r="D402" s="26">
        <v>0.3972123611111111</v>
      </c>
      <c r="E402" s="26">
        <v>0.3969963425925925</v>
      </c>
      <c r="F402" s="33">
        <f t="shared" si="1"/>
        <v>0.3110666667</v>
      </c>
      <c r="G402" s="8"/>
      <c r="H402" s="8"/>
      <c r="I402" s="8"/>
    </row>
    <row r="403" ht="15.75" customHeight="1">
      <c r="A403" s="19"/>
      <c r="B403" s="21">
        <v>401.0</v>
      </c>
      <c r="C403" s="23">
        <v>46262.0</v>
      </c>
      <c r="D403" s="26">
        <v>0.3977817939814815</v>
      </c>
      <c r="E403" s="26">
        <v>0.3972123611111111</v>
      </c>
      <c r="F403" s="33">
        <f t="shared" si="1"/>
        <v>0.8199833333</v>
      </c>
      <c r="G403" s="8"/>
      <c r="H403" s="8"/>
      <c r="I403" s="8"/>
    </row>
    <row r="404" ht="15.75" customHeight="1">
      <c r="A404" s="19"/>
      <c r="B404" s="21">
        <v>402.0</v>
      </c>
      <c r="C404" s="23">
        <v>46262.0</v>
      </c>
      <c r="D404" s="26">
        <v>0.3979059606481481</v>
      </c>
      <c r="E404" s="26">
        <v>0.3977817939814815</v>
      </c>
      <c r="F404" s="33">
        <f t="shared" si="1"/>
        <v>0.1788</v>
      </c>
      <c r="G404" s="8"/>
      <c r="H404" s="8"/>
      <c r="I404" s="8"/>
    </row>
    <row r="405" ht="15.75" customHeight="1">
      <c r="A405" s="19"/>
      <c r="B405" s="21">
        <v>403.0</v>
      </c>
      <c r="C405" s="23">
        <v>46262.0</v>
      </c>
      <c r="D405" s="26">
        <v>0.3980329976851852</v>
      </c>
      <c r="E405" s="26">
        <v>0.3979059606481481</v>
      </c>
      <c r="F405" s="33">
        <f t="shared" si="1"/>
        <v>0.1829333333</v>
      </c>
      <c r="G405" s="8"/>
      <c r="H405" s="8"/>
      <c r="I405" s="8"/>
    </row>
    <row r="406" ht="15.75" customHeight="1">
      <c r="A406" s="19"/>
      <c r="B406" s="21">
        <v>404.0</v>
      </c>
      <c r="C406" s="23">
        <v>46262.0</v>
      </c>
      <c r="D406" s="26">
        <v>0.3985157175925926</v>
      </c>
      <c r="E406" s="26">
        <v>0.3980329976851852</v>
      </c>
      <c r="F406" s="33">
        <f t="shared" si="1"/>
        <v>0.6951166667</v>
      </c>
      <c r="G406" s="8"/>
      <c r="H406" s="8"/>
      <c r="I406" s="8"/>
    </row>
    <row r="407" ht="15.75" customHeight="1">
      <c r="A407" s="19"/>
      <c r="B407" s="21">
        <v>405.0</v>
      </c>
      <c r="C407" s="23">
        <v>46262.0</v>
      </c>
      <c r="D407" s="26">
        <v>0.3987981134259259</v>
      </c>
      <c r="E407" s="26">
        <v>0.3985157175925926</v>
      </c>
      <c r="F407" s="33">
        <f t="shared" si="1"/>
        <v>0.40665</v>
      </c>
      <c r="G407" s="8"/>
      <c r="H407" s="8"/>
      <c r="I407" s="8"/>
    </row>
    <row r="408" ht="15.75" customHeight="1">
      <c r="A408" s="19"/>
      <c r="B408" s="21">
        <v>406.0</v>
      </c>
      <c r="C408" s="23">
        <v>46262.0</v>
      </c>
      <c r="D408" s="26">
        <v>0.3990045486111111</v>
      </c>
      <c r="E408" s="26">
        <v>0.3987981134259259</v>
      </c>
      <c r="F408" s="33">
        <f t="shared" si="1"/>
        <v>0.2972666667</v>
      </c>
      <c r="G408" s="8"/>
      <c r="H408" s="8"/>
      <c r="I408" s="8"/>
    </row>
    <row r="409" ht="15.75" customHeight="1">
      <c r="A409" s="19"/>
      <c r="B409" s="21">
        <v>407.0</v>
      </c>
      <c r="C409" s="23">
        <v>46262.0</v>
      </c>
      <c r="D409" s="26">
        <v>0.4000816435185185</v>
      </c>
      <c r="E409" s="26">
        <v>0.3990045486111111</v>
      </c>
      <c r="F409" s="33">
        <f t="shared" si="1"/>
        <v>1.551016667</v>
      </c>
      <c r="G409" s="8"/>
      <c r="H409" s="8"/>
      <c r="I409" s="8"/>
    </row>
    <row r="410" ht="15.75" customHeight="1">
      <c r="A410" s="19"/>
      <c r="B410" s="21">
        <v>408.0</v>
      </c>
      <c r="C410" s="23">
        <v>46262.0</v>
      </c>
      <c r="D410" s="26">
        <v>0.4003969097222222</v>
      </c>
      <c r="E410" s="26">
        <v>0.4000816435185185</v>
      </c>
      <c r="F410" s="33">
        <f t="shared" si="1"/>
        <v>0.4539833333</v>
      </c>
      <c r="G410" s="8"/>
      <c r="H410" s="8"/>
      <c r="I410" s="8"/>
    </row>
    <row r="411" ht="15.75" customHeight="1">
      <c r="A411" s="19"/>
      <c r="B411" s="21">
        <v>409.0</v>
      </c>
      <c r="C411" s="23">
        <v>46262.0</v>
      </c>
      <c r="D411" s="26">
        <v>0.4011809837962962</v>
      </c>
      <c r="E411" s="26">
        <v>0.4003969097222222</v>
      </c>
      <c r="F411" s="33">
        <f t="shared" si="1"/>
        <v>1.129066667</v>
      </c>
      <c r="G411" s="8"/>
      <c r="H411" s="8"/>
      <c r="I411" s="8"/>
    </row>
    <row r="412" ht="15.75" customHeight="1">
      <c r="A412" s="19"/>
      <c r="B412" s="21">
        <v>410.0</v>
      </c>
      <c r="C412" s="23">
        <v>46262.0</v>
      </c>
      <c r="D412" s="26">
        <v>0.4013874189814815</v>
      </c>
      <c r="E412" s="26">
        <v>0.4011809837962962</v>
      </c>
      <c r="F412" s="33">
        <f t="shared" si="1"/>
        <v>0.2972666667</v>
      </c>
      <c r="G412" s="8"/>
      <c r="H412" s="8"/>
      <c r="I412" s="8"/>
    </row>
    <row r="413" ht="15.75" customHeight="1">
      <c r="A413" s="19"/>
      <c r="B413" s="21">
        <v>411.0</v>
      </c>
      <c r="C413" s="23">
        <v>46262.0</v>
      </c>
      <c r="D413" s="26">
        <v>0.4018371180555556</v>
      </c>
      <c r="E413" s="26">
        <v>0.4013874189814815</v>
      </c>
      <c r="F413" s="33">
        <f t="shared" si="1"/>
        <v>0.6475666667</v>
      </c>
      <c r="G413" s="8"/>
      <c r="H413" s="8"/>
      <c r="I413" s="8"/>
    </row>
    <row r="414" ht="15.75" customHeight="1">
      <c r="A414" s="19"/>
      <c r="B414" s="21">
        <v>412.0</v>
      </c>
      <c r="C414" s="23">
        <v>46262.0</v>
      </c>
      <c r="D414" s="26">
        <v>0.4019697222222222</v>
      </c>
      <c r="E414" s="26">
        <v>0.4018371180555556</v>
      </c>
      <c r="F414" s="33">
        <f t="shared" si="1"/>
        <v>0.19095</v>
      </c>
      <c r="G414" s="8"/>
      <c r="H414" s="8"/>
      <c r="I414" s="8"/>
    </row>
    <row r="415" ht="15.75" customHeight="1">
      <c r="A415" s="19"/>
      <c r="B415" s="21">
        <v>413.0</v>
      </c>
      <c r="C415" s="23">
        <v>46262.0</v>
      </c>
      <c r="D415" s="26">
        <v>0.4020120949074074</v>
      </c>
      <c r="E415" s="26">
        <v>0.4019697222222222</v>
      </c>
      <c r="F415" s="33">
        <f t="shared" si="1"/>
        <v>0.06101666667</v>
      </c>
      <c r="G415" s="8"/>
      <c r="H415" s="8"/>
      <c r="I415" s="8"/>
    </row>
    <row r="416" ht="15.75" customHeight="1">
      <c r="A416" s="19"/>
      <c r="B416" s="21">
        <v>414.0</v>
      </c>
      <c r="C416" s="23">
        <v>46262.0</v>
      </c>
      <c r="D416" s="26">
        <v>0.4023985416666666</v>
      </c>
      <c r="E416" s="26">
        <v>0.4020120949074074</v>
      </c>
      <c r="F416" s="33">
        <f t="shared" si="1"/>
        <v>0.5564833333</v>
      </c>
      <c r="G416" s="8"/>
      <c r="H416" s="8"/>
      <c r="I416" s="8"/>
    </row>
    <row r="417" ht="15.75" customHeight="1">
      <c r="A417" s="19"/>
      <c r="B417" s="21">
        <v>415.0</v>
      </c>
      <c r="C417" s="23">
        <v>46262.0</v>
      </c>
      <c r="D417" s="26">
        <v>0.4041009259259259</v>
      </c>
      <c r="E417" s="26">
        <v>0.4023985416666666</v>
      </c>
      <c r="F417" s="33">
        <f t="shared" si="1"/>
        <v>2.451433333</v>
      </c>
      <c r="G417" s="8"/>
      <c r="H417" s="8"/>
      <c r="I417" s="8"/>
    </row>
    <row r="418" ht="15.75" customHeight="1">
      <c r="A418" s="19"/>
      <c r="B418" s="21">
        <v>416.0</v>
      </c>
      <c r="C418" s="23">
        <v>46262.0</v>
      </c>
      <c r="D418" s="26">
        <v>0.4041319328703704</v>
      </c>
      <c r="E418" s="26">
        <v>0.4041009259259259</v>
      </c>
      <c r="F418" s="33">
        <f t="shared" si="1"/>
        <v>0.04465</v>
      </c>
      <c r="G418" s="8"/>
      <c r="H418" s="8"/>
      <c r="I418" s="8"/>
    </row>
    <row r="419" ht="15.75" customHeight="1">
      <c r="A419" s="19"/>
      <c r="B419" s="21">
        <v>417.0</v>
      </c>
      <c r="C419" s="23">
        <v>46262.0</v>
      </c>
      <c r="D419" s="26">
        <v>0.4041774884259259</v>
      </c>
      <c r="E419" s="26">
        <v>0.4041319328703704</v>
      </c>
      <c r="F419" s="33">
        <f t="shared" si="1"/>
        <v>0.0656</v>
      </c>
      <c r="G419" s="8"/>
      <c r="H419" s="8"/>
      <c r="I419" s="8"/>
    </row>
    <row r="420" ht="15.75" customHeight="1">
      <c r="A420" s="19"/>
      <c r="B420" s="21">
        <v>418.0</v>
      </c>
      <c r="C420" s="23">
        <v>46262.0</v>
      </c>
      <c r="D420" s="26">
        <v>0.4042023611111111</v>
      </c>
      <c r="E420" s="26">
        <v>0.4041774884259259</v>
      </c>
      <c r="F420" s="33">
        <f t="shared" si="1"/>
        <v>0.03581666667</v>
      </c>
      <c r="G420" s="8"/>
      <c r="H420" s="8"/>
      <c r="I420" s="8"/>
    </row>
    <row r="421" ht="15.75" customHeight="1">
      <c r="A421" s="19"/>
      <c r="B421" s="21">
        <v>419.0</v>
      </c>
      <c r="C421" s="23">
        <v>46262.0</v>
      </c>
      <c r="D421" s="26">
        <v>0.4047716666666666</v>
      </c>
      <c r="E421" s="26">
        <v>0.4042023611111111</v>
      </c>
      <c r="F421" s="33">
        <f t="shared" si="1"/>
        <v>0.8198</v>
      </c>
      <c r="G421" s="8"/>
      <c r="H421" s="8"/>
      <c r="I421" s="8"/>
    </row>
    <row r="422" ht="15.75" customHeight="1">
      <c r="A422" s="19"/>
      <c r="B422" s="21">
        <v>420.0</v>
      </c>
      <c r="C422" s="23">
        <v>46262.0</v>
      </c>
      <c r="D422" s="26">
        <v>0.4049522569444444</v>
      </c>
      <c r="E422" s="26">
        <v>0.4047716666666666</v>
      </c>
      <c r="F422" s="33">
        <f t="shared" si="1"/>
        <v>0.26005</v>
      </c>
      <c r="G422" s="8"/>
      <c r="H422" s="8"/>
      <c r="I422" s="8"/>
    </row>
    <row r="423" ht="15.75" customHeight="1">
      <c r="A423" s="19"/>
      <c r="B423" s="21">
        <v>421.0</v>
      </c>
      <c r="C423" s="23">
        <v>46262.0</v>
      </c>
      <c r="D423" s="26">
        <v>0.4051495138888889</v>
      </c>
      <c r="E423" s="26">
        <v>0.4049522569444444</v>
      </c>
      <c r="F423" s="33">
        <f t="shared" si="1"/>
        <v>0.28405</v>
      </c>
      <c r="G423" s="8"/>
      <c r="H423" s="8"/>
      <c r="I423" s="8"/>
    </row>
    <row r="424" ht="15.75" customHeight="1">
      <c r="A424" s="19"/>
      <c r="B424" s="21">
        <v>422.0</v>
      </c>
      <c r="C424" s="23">
        <v>46262.0</v>
      </c>
      <c r="D424" s="26">
        <v>0.40567875</v>
      </c>
      <c r="E424" s="26">
        <v>0.4051495138888889</v>
      </c>
      <c r="F424" s="33">
        <f t="shared" si="1"/>
        <v>0.7621</v>
      </c>
      <c r="G424" s="8"/>
      <c r="H424" s="8"/>
      <c r="I424" s="8"/>
    </row>
    <row r="425" ht="15.75" customHeight="1">
      <c r="A425" s="19"/>
      <c r="B425" s="21">
        <v>423.0</v>
      </c>
      <c r="C425" s="23">
        <v>46262.0</v>
      </c>
      <c r="D425" s="26">
        <v>0.4059788888888889</v>
      </c>
      <c r="E425" s="26">
        <v>0.40567875</v>
      </c>
      <c r="F425" s="33">
        <f t="shared" si="1"/>
        <v>0.4322</v>
      </c>
      <c r="G425" s="8"/>
      <c r="H425" s="8"/>
      <c r="I425" s="8"/>
    </row>
    <row r="426" ht="15.75" customHeight="1">
      <c r="A426" s="19"/>
      <c r="B426" s="21">
        <v>424.0</v>
      </c>
      <c r="C426" s="23">
        <v>46262.0</v>
      </c>
      <c r="D426" s="26">
        <v>0.4060910532407407</v>
      </c>
      <c r="E426" s="26">
        <v>0.4059788888888889</v>
      </c>
      <c r="F426" s="33">
        <f t="shared" si="1"/>
        <v>0.1615166667</v>
      </c>
      <c r="G426" s="8"/>
      <c r="H426" s="8"/>
      <c r="I426" s="8"/>
    </row>
    <row r="427" ht="15.75" customHeight="1">
      <c r="A427" s="19"/>
      <c r="B427" s="21">
        <v>425.0</v>
      </c>
      <c r="C427" s="23">
        <v>46262.0</v>
      </c>
      <c r="D427" s="26">
        <v>0.4062445138888889</v>
      </c>
      <c r="E427" s="26">
        <v>0.4060910532407407</v>
      </c>
      <c r="F427" s="33">
        <f t="shared" si="1"/>
        <v>0.2209833333</v>
      </c>
      <c r="G427" s="8"/>
      <c r="H427" s="8"/>
      <c r="I427" s="8"/>
    </row>
    <row r="428" ht="15.75" customHeight="1">
      <c r="A428" s="19"/>
      <c r="B428" s="21">
        <v>426.0</v>
      </c>
      <c r="C428" s="23">
        <v>46262.0</v>
      </c>
      <c r="D428" s="26">
        <v>0.4062487731481482</v>
      </c>
      <c r="E428" s="26">
        <v>0.4062445138888889</v>
      </c>
      <c r="F428" s="33">
        <f t="shared" si="1"/>
        <v>0.006133333333</v>
      </c>
      <c r="G428" s="8"/>
      <c r="H428" s="8"/>
      <c r="I428" s="8"/>
    </row>
    <row r="429" ht="15.75" customHeight="1">
      <c r="A429" s="19"/>
      <c r="B429" s="21">
        <v>427.0</v>
      </c>
      <c r="C429" s="23">
        <v>46262.0</v>
      </c>
      <c r="D429" s="26">
        <v>0.4068068055555555</v>
      </c>
      <c r="E429" s="26">
        <v>0.4062487731481482</v>
      </c>
      <c r="F429" s="33">
        <f t="shared" si="1"/>
        <v>0.8035666667</v>
      </c>
      <c r="G429" s="8"/>
      <c r="H429" s="8"/>
      <c r="I429" s="8"/>
    </row>
    <row r="430" ht="15.75" customHeight="1">
      <c r="A430" s="19"/>
      <c r="B430" s="21">
        <v>428.0</v>
      </c>
      <c r="C430" s="23">
        <v>46262.0</v>
      </c>
      <c r="D430" s="26">
        <v>0.4068706134259259</v>
      </c>
      <c r="E430" s="26">
        <v>0.4068068055555555</v>
      </c>
      <c r="F430" s="33">
        <f t="shared" si="1"/>
        <v>0.09188333333</v>
      </c>
      <c r="G430" s="8"/>
      <c r="H430" s="8"/>
      <c r="I430" s="8"/>
    </row>
    <row r="431" ht="15.75" customHeight="1">
      <c r="A431" s="19"/>
      <c r="B431" s="21">
        <v>429.0</v>
      </c>
      <c r="C431" s="23">
        <v>46262.0</v>
      </c>
      <c r="D431" s="26">
        <v>0.4069525000000001</v>
      </c>
      <c r="E431" s="26">
        <v>0.4068706134259259</v>
      </c>
      <c r="F431" s="33">
        <f t="shared" si="1"/>
        <v>0.1179166667</v>
      </c>
      <c r="G431" s="8"/>
      <c r="H431" s="8"/>
      <c r="I431" s="8"/>
    </row>
    <row r="432" ht="15.75" customHeight="1">
      <c r="A432" s="19"/>
      <c r="B432" s="21">
        <v>430.0</v>
      </c>
      <c r="C432" s="23">
        <v>46262.0</v>
      </c>
      <c r="D432" s="26">
        <v>0.4070811805555555</v>
      </c>
      <c r="E432" s="26">
        <v>0.4069525000000001</v>
      </c>
      <c r="F432" s="33">
        <f t="shared" si="1"/>
        <v>0.1853</v>
      </c>
      <c r="G432" s="8"/>
      <c r="H432" s="8"/>
      <c r="I432" s="8"/>
    </row>
    <row r="433" ht="15.75" customHeight="1">
      <c r="A433" s="19"/>
      <c r="B433" s="21">
        <v>431.0</v>
      </c>
      <c r="C433" s="23">
        <v>46262.0</v>
      </c>
      <c r="D433" s="26">
        <v>0.4072890856481482</v>
      </c>
      <c r="E433" s="26">
        <v>0.4070811805555555</v>
      </c>
      <c r="F433" s="33">
        <f t="shared" si="1"/>
        <v>0.2993833333</v>
      </c>
      <c r="G433" s="8"/>
      <c r="H433" s="8"/>
      <c r="I433" s="8"/>
    </row>
    <row r="434" ht="15.75" customHeight="1">
      <c r="A434" s="19"/>
      <c r="B434" s="21">
        <v>432.0</v>
      </c>
      <c r="C434" s="23">
        <v>46262.0</v>
      </c>
      <c r="D434" s="26">
        <v>0.4075474537037037</v>
      </c>
      <c r="E434" s="26">
        <v>0.4072890856481482</v>
      </c>
      <c r="F434" s="33">
        <f t="shared" si="1"/>
        <v>0.37205</v>
      </c>
      <c r="G434" s="8"/>
      <c r="H434" s="8"/>
      <c r="I434" s="8"/>
    </row>
    <row r="435" ht="15.75" customHeight="1">
      <c r="A435" s="19"/>
      <c r="B435" s="21">
        <v>433.0</v>
      </c>
      <c r="C435" s="23">
        <v>46262.0</v>
      </c>
      <c r="D435" s="26">
        <v>0.4076623148148148</v>
      </c>
      <c r="E435" s="26">
        <v>0.4075474537037037</v>
      </c>
      <c r="F435" s="33">
        <f t="shared" si="1"/>
        <v>0.1654</v>
      </c>
      <c r="G435" s="8"/>
      <c r="H435" s="8"/>
      <c r="I435" s="8"/>
    </row>
    <row r="436" ht="15.75" customHeight="1">
      <c r="A436" s="19"/>
      <c r="B436" s="21">
        <v>434.0</v>
      </c>
      <c r="C436" s="23">
        <v>46262.0</v>
      </c>
      <c r="D436" s="26">
        <v>0.4080062962962963</v>
      </c>
      <c r="E436" s="26">
        <v>0.4076623148148148</v>
      </c>
      <c r="F436" s="33">
        <f t="shared" si="1"/>
        <v>0.4953333333</v>
      </c>
      <c r="G436" s="8"/>
      <c r="H436" s="8"/>
      <c r="I436" s="8"/>
    </row>
    <row r="437" ht="15.75" customHeight="1">
      <c r="A437" s="19"/>
      <c r="B437" s="21">
        <v>435.0</v>
      </c>
      <c r="C437" s="23">
        <v>46262.0</v>
      </c>
      <c r="D437" s="26">
        <v>0.4082834027777778</v>
      </c>
      <c r="E437" s="26">
        <v>0.4080062962962963</v>
      </c>
      <c r="F437" s="33">
        <f t="shared" si="1"/>
        <v>0.3990333333</v>
      </c>
      <c r="G437" s="8"/>
      <c r="H437" s="8"/>
      <c r="I437" s="8"/>
    </row>
    <row r="438" ht="15.75" customHeight="1">
      <c r="A438" s="19"/>
      <c r="B438" s="21">
        <v>436.0</v>
      </c>
      <c r="C438" s="23">
        <v>46262.0</v>
      </c>
      <c r="D438" s="26">
        <v>0.4083891203703703</v>
      </c>
      <c r="E438" s="26">
        <v>0.4082834027777778</v>
      </c>
      <c r="F438" s="33">
        <f t="shared" si="1"/>
        <v>0.1522333333</v>
      </c>
      <c r="G438" s="8"/>
      <c r="H438" s="8"/>
      <c r="I438" s="8"/>
    </row>
    <row r="439" ht="15.75" customHeight="1">
      <c r="A439" s="19"/>
      <c r="B439" s="21">
        <v>437.0</v>
      </c>
      <c r="C439" s="23">
        <v>46262.0</v>
      </c>
      <c r="D439" s="26">
        <v>0.4086145601851852</v>
      </c>
      <c r="E439" s="26">
        <v>0.4083891203703703</v>
      </c>
      <c r="F439" s="33">
        <f t="shared" si="1"/>
        <v>0.3246333333</v>
      </c>
      <c r="G439" s="8"/>
      <c r="H439" s="8"/>
      <c r="I439" s="8"/>
    </row>
    <row r="440" ht="15.75" customHeight="1">
      <c r="A440" s="19"/>
      <c r="B440" s="21">
        <v>438.0</v>
      </c>
      <c r="C440" s="23">
        <v>46262.0</v>
      </c>
      <c r="D440" s="26">
        <v>0.4097764351851852</v>
      </c>
      <c r="E440" s="26">
        <v>0.4086145601851852</v>
      </c>
      <c r="F440" s="33">
        <f t="shared" si="1"/>
        <v>1.6731</v>
      </c>
      <c r="G440" s="8"/>
      <c r="H440" s="8"/>
      <c r="I440" s="8"/>
    </row>
    <row r="441" ht="15.75" customHeight="1">
      <c r="A441" s="19"/>
      <c r="B441" s="21">
        <v>439.0</v>
      </c>
      <c r="C441" s="23">
        <v>46262.0</v>
      </c>
      <c r="D441" s="26">
        <v>0.4104060300925926</v>
      </c>
      <c r="E441" s="26">
        <v>0.4097764351851852</v>
      </c>
      <c r="F441" s="33">
        <f t="shared" si="1"/>
        <v>0.9066166667</v>
      </c>
      <c r="G441" s="8"/>
      <c r="H441" s="8"/>
      <c r="I441" s="8"/>
    </row>
    <row r="442" ht="15.75" customHeight="1">
      <c r="A442" s="19"/>
      <c r="B442" s="21">
        <v>440.0</v>
      </c>
      <c r="C442" s="23">
        <v>46262.0</v>
      </c>
      <c r="D442" s="26">
        <v>0.4104169791666667</v>
      </c>
      <c r="E442" s="26">
        <v>0.4104060300925926</v>
      </c>
      <c r="F442" s="33">
        <f t="shared" si="1"/>
        <v>0.01576666667</v>
      </c>
      <c r="G442" s="8"/>
      <c r="H442" s="8"/>
      <c r="I442" s="8"/>
    </row>
    <row r="443" ht="15.75" customHeight="1">
      <c r="A443" s="19"/>
      <c r="B443" s="21">
        <v>441.0</v>
      </c>
      <c r="C443" s="23">
        <v>46262.0</v>
      </c>
      <c r="D443" s="26">
        <v>0.4107488657407407</v>
      </c>
      <c r="E443" s="26">
        <v>0.4104169791666667</v>
      </c>
      <c r="F443" s="33">
        <f t="shared" si="1"/>
        <v>0.4779166667</v>
      </c>
      <c r="G443" s="8"/>
      <c r="H443" s="8"/>
      <c r="I443" s="8"/>
    </row>
    <row r="444" ht="15.75" customHeight="1">
      <c r="A444" s="19"/>
      <c r="B444" s="21">
        <v>442.0</v>
      </c>
      <c r="C444" s="23">
        <v>46262.0</v>
      </c>
      <c r="D444" s="26">
        <v>0.4126027083333333</v>
      </c>
      <c r="E444" s="26">
        <v>0.4107488657407407</v>
      </c>
      <c r="F444" s="33">
        <f t="shared" si="1"/>
        <v>2.669533333</v>
      </c>
      <c r="G444" s="8"/>
      <c r="H444" s="8"/>
      <c r="I444" s="8"/>
    </row>
    <row r="445" ht="15.75" customHeight="1">
      <c r="A445" s="19"/>
      <c r="B445" s="21">
        <v>443.0</v>
      </c>
      <c r="C445" s="23">
        <v>46262.0</v>
      </c>
      <c r="D445" s="26">
        <v>0.4132749652777778</v>
      </c>
      <c r="E445" s="26">
        <v>0.4126027083333333</v>
      </c>
      <c r="F445" s="33">
        <f t="shared" si="1"/>
        <v>0.96805</v>
      </c>
      <c r="G445" s="8"/>
      <c r="H445" s="8"/>
      <c r="I445" s="8"/>
    </row>
    <row r="446" ht="15.75" customHeight="1">
      <c r="A446" s="19"/>
      <c r="B446" s="21">
        <v>444.0</v>
      </c>
      <c r="C446" s="23">
        <v>46262.0</v>
      </c>
      <c r="D446" s="26">
        <v>0.413384537037037</v>
      </c>
      <c r="E446" s="26">
        <v>0.4132749652777778</v>
      </c>
      <c r="F446" s="33">
        <f t="shared" si="1"/>
        <v>0.1577833333</v>
      </c>
      <c r="G446" s="8"/>
      <c r="H446" s="8"/>
      <c r="I446" s="8"/>
    </row>
    <row r="447" ht="15.75" customHeight="1">
      <c r="A447" s="19"/>
      <c r="B447" s="21">
        <v>445.0</v>
      </c>
      <c r="C447" s="23">
        <v>46262.0</v>
      </c>
      <c r="D447" s="26">
        <v>0.4134536226851852</v>
      </c>
      <c r="E447" s="26">
        <v>0.413384537037037</v>
      </c>
      <c r="F447" s="33">
        <f t="shared" si="1"/>
        <v>0.09948333333</v>
      </c>
      <c r="G447" s="8"/>
      <c r="H447" s="8"/>
      <c r="I447" s="8"/>
    </row>
    <row r="448" ht="15.75" customHeight="1">
      <c r="A448" s="19"/>
      <c r="B448" s="21">
        <v>446.0</v>
      </c>
      <c r="C448" s="23">
        <v>46262.0</v>
      </c>
      <c r="D448" s="26">
        <v>0.4138881134259259</v>
      </c>
      <c r="E448" s="26">
        <v>0.4134536226851852</v>
      </c>
      <c r="F448" s="33">
        <f t="shared" si="1"/>
        <v>0.6256666667</v>
      </c>
      <c r="G448" s="8"/>
      <c r="H448" s="8"/>
      <c r="I448" s="8"/>
    </row>
    <row r="449" ht="15.75" customHeight="1">
      <c r="A449" s="19"/>
      <c r="B449" s="21">
        <v>447.0</v>
      </c>
      <c r="C449" s="23">
        <v>46262.0</v>
      </c>
      <c r="D449" s="26">
        <v>0.4139261574074074</v>
      </c>
      <c r="E449" s="26">
        <v>0.4138881134259259</v>
      </c>
      <c r="F449" s="33">
        <f t="shared" si="1"/>
        <v>0.05478333333</v>
      </c>
      <c r="G449" s="8"/>
      <c r="H449" s="8"/>
      <c r="I449" s="8"/>
    </row>
    <row r="450" ht="15.75" customHeight="1">
      <c r="A450" s="19"/>
      <c r="B450" s="21">
        <v>448.0</v>
      </c>
      <c r="C450" s="23">
        <v>46262.0</v>
      </c>
      <c r="D450" s="26">
        <v>0.4140018055555555</v>
      </c>
      <c r="E450" s="26">
        <v>0.4139261574074074</v>
      </c>
      <c r="F450" s="33">
        <f t="shared" si="1"/>
        <v>0.1089333333</v>
      </c>
      <c r="G450" s="8"/>
      <c r="H450" s="8"/>
      <c r="I450" s="8"/>
    </row>
    <row r="451" ht="15.75" customHeight="1">
      <c r="A451" s="19"/>
      <c r="B451" s="21">
        <v>449.0</v>
      </c>
      <c r="C451" s="23">
        <v>46262.0</v>
      </c>
      <c r="D451" s="26">
        <v>0.414223761574074</v>
      </c>
      <c r="E451" s="26">
        <v>0.4140018055555555</v>
      </c>
      <c r="F451" s="33">
        <f t="shared" si="1"/>
        <v>0.3196166667</v>
      </c>
      <c r="G451" s="8"/>
      <c r="H451" s="8"/>
      <c r="I451" s="8"/>
    </row>
    <row r="452" ht="15.75" customHeight="1">
      <c r="A452" s="19"/>
      <c r="B452" s="21">
        <v>450.0</v>
      </c>
      <c r="C452" s="23">
        <v>46262.0</v>
      </c>
      <c r="D452" s="26">
        <v>0.4143111689814815</v>
      </c>
      <c r="E452" s="26">
        <v>0.414223761574074</v>
      </c>
      <c r="F452" s="33">
        <f t="shared" si="1"/>
        <v>0.1258666667</v>
      </c>
      <c r="G452" s="8"/>
      <c r="H452" s="8"/>
      <c r="I452" s="8"/>
    </row>
    <row r="453" ht="15.75" customHeight="1">
      <c r="A453" s="19"/>
      <c r="B453" s="21">
        <v>451.0</v>
      </c>
      <c r="C453" s="23">
        <v>46262.0</v>
      </c>
      <c r="D453" s="26">
        <v>0.4145851736111111</v>
      </c>
      <c r="E453" s="26">
        <v>0.4143111689814815</v>
      </c>
      <c r="F453" s="33">
        <f t="shared" si="1"/>
        <v>0.3945666667</v>
      </c>
      <c r="G453" s="8"/>
      <c r="H453" s="8"/>
      <c r="I453" s="8"/>
    </row>
    <row r="454" ht="15.75" customHeight="1">
      <c r="A454" s="19"/>
      <c r="B454" s="21">
        <v>452.0</v>
      </c>
      <c r="C454" s="23">
        <v>46262.0</v>
      </c>
      <c r="D454" s="26">
        <v>0.4161618287037037</v>
      </c>
      <c r="E454" s="26">
        <v>0.4145851736111111</v>
      </c>
      <c r="F454" s="33">
        <f t="shared" si="1"/>
        <v>2.270383333</v>
      </c>
      <c r="G454" s="8"/>
      <c r="H454" s="8"/>
      <c r="I454" s="8"/>
    </row>
    <row r="455" ht="15.75" customHeight="1">
      <c r="A455" s="19"/>
      <c r="B455" s="21">
        <v>453.0</v>
      </c>
      <c r="C455" s="23">
        <v>46262.0</v>
      </c>
      <c r="D455" s="26">
        <v>0.4162896180555556</v>
      </c>
      <c r="E455" s="26">
        <v>0.4161618287037037</v>
      </c>
      <c r="F455" s="33">
        <f t="shared" si="1"/>
        <v>0.1840166667</v>
      </c>
      <c r="G455" s="8"/>
      <c r="H455" s="8"/>
      <c r="I455" s="8"/>
    </row>
    <row r="456" ht="15.75" customHeight="1">
      <c r="A456" s="19"/>
      <c r="B456" s="21">
        <v>454.0</v>
      </c>
      <c r="C456" s="23">
        <v>46262.0</v>
      </c>
      <c r="D456" s="26">
        <v>0.4163735185185185</v>
      </c>
      <c r="E456" s="26">
        <v>0.4162896180555556</v>
      </c>
      <c r="F456" s="33">
        <f t="shared" si="1"/>
        <v>0.1208166667</v>
      </c>
      <c r="G456" s="8"/>
      <c r="H456" s="8"/>
      <c r="I456" s="8"/>
    </row>
    <row r="457" ht="15.75" customHeight="1">
      <c r="A457" s="19"/>
      <c r="B457" s="21">
        <v>455.0</v>
      </c>
      <c r="C457" s="23">
        <v>46265.0</v>
      </c>
      <c r="D457" s="26">
        <v>0.3766007175925926</v>
      </c>
      <c r="E457" s="26">
        <v>0.3759425115740741</v>
      </c>
      <c r="F457" s="33">
        <f t="shared" si="1"/>
        <v>0.9478166667</v>
      </c>
      <c r="G457" s="8"/>
      <c r="H457" s="8"/>
      <c r="I457" s="8"/>
    </row>
    <row r="458" ht="15.75" customHeight="1">
      <c r="A458" s="19"/>
      <c r="B458" s="21">
        <v>456.0</v>
      </c>
      <c r="C458" s="23">
        <v>46265.0</v>
      </c>
      <c r="D458" s="26">
        <v>0.3767576736111111</v>
      </c>
      <c r="E458" s="26">
        <v>0.3766007175925926</v>
      </c>
      <c r="F458" s="33">
        <f t="shared" si="1"/>
        <v>0.2260166667</v>
      </c>
      <c r="G458" s="8"/>
      <c r="H458" s="8"/>
      <c r="I458" s="8"/>
    </row>
    <row r="459" ht="15.75" customHeight="1">
      <c r="A459" s="19"/>
      <c r="B459" s="21">
        <v>457.0</v>
      </c>
      <c r="C459" s="23">
        <v>46265.0</v>
      </c>
      <c r="D459" s="26">
        <v>0.377499849537037</v>
      </c>
      <c r="E459" s="26">
        <v>0.3767576736111111</v>
      </c>
      <c r="F459" s="33">
        <f t="shared" si="1"/>
        <v>1.068733333</v>
      </c>
      <c r="G459" s="8"/>
      <c r="H459" s="8"/>
      <c r="I459" s="8"/>
    </row>
    <row r="460" ht="15.75" customHeight="1">
      <c r="A460" s="19"/>
      <c r="B460" s="21">
        <v>458.0</v>
      </c>
      <c r="C460" s="23">
        <v>46265.0</v>
      </c>
      <c r="D460" s="26">
        <v>0.3777749768518519</v>
      </c>
      <c r="E460" s="26">
        <v>0.377499849537037</v>
      </c>
      <c r="F460" s="33">
        <f t="shared" si="1"/>
        <v>0.3961833333</v>
      </c>
      <c r="G460" s="8"/>
      <c r="H460" s="8"/>
      <c r="I460" s="8"/>
    </row>
    <row r="461" ht="15.75" customHeight="1">
      <c r="A461" s="19"/>
      <c r="B461" s="21">
        <v>459.0</v>
      </c>
      <c r="C461" s="23">
        <v>46265.0</v>
      </c>
      <c r="D461" s="26">
        <v>0.3779965972222222</v>
      </c>
      <c r="E461" s="26">
        <v>0.3777749768518519</v>
      </c>
      <c r="F461" s="33">
        <f t="shared" si="1"/>
        <v>0.3191333333</v>
      </c>
      <c r="G461" s="8"/>
      <c r="H461" s="8"/>
      <c r="I461" s="8"/>
    </row>
    <row r="462" ht="15.75" customHeight="1">
      <c r="A462" s="19"/>
      <c r="B462" s="21">
        <v>460.0</v>
      </c>
      <c r="C462" s="23">
        <v>46265.0</v>
      </c>
      <c r="D462" s="26">
        <v>0.3784043171296296</v>
      </c>
      <c r="E462" s="26">
        <v>0.3779965972222222</v>
      </c>
      <c r="F462" s="33">
        <f t="shared" si="1"/>
        <v>0.5871166667</v>
      </c>
      <c r="G462" s="8"/>
      <c r="H462" s="8"/>
      <c r="I462" s="8"/>
    </row>
    <row r="463" ht="15.75" customHeight="1">
      <c r="A463" s="19"/>
      <c r="B463" s="21">
        <v>461.0</v>
      </c>
      <c r="C463" s="23">
        <v>46265.0</v>
      </c>
      <c r="D463" s="26">
        <v>0.3797583449074074</v>
      </c>
      <c r="E463" s="26">
        <v>0.3784043171296296</v>
      </c>
      <c r="F463" s="33">
        <f t="shared" si="1"/>
        <v>1.9498</v>
      </c>
      <c r="G463" s="8"/>
      <c r="H463" s="8"/>
      <c r="I463" s="8"/>
    </row>
    <row r="464" ht="15.75" customHeight="1">
      <c r="A464" s="19"/>
      <c r="B464" s="21">
        <v>462.0</v>
      </c>
      <c r="C464" s="23">
        <v>46265.0</v>
      </c>
      <c r="D464" s="26">
        <v>0.3798587962962963</v>
      </c>
      <c r="E464" s="26">
        <v>0.3797583449074074</v>
      </c>
      <c r="F464" s="33">
        <f t="shared" si="1"/>
        <v>0.14465</v>
      </c>
      <c r="G464" s="8"/>
      <c r="H464" s="8"/>
      <c r="I464" s="8"/>
    </row>
    <row r="465" ht="15.75" customHeight="1">
      <c r="A465" s="19"/>
      <c r="B465" s="21">
        <v>463.0</v>
      </c>
      <c r="C465" s="23">
        <v>46265.0</v>
      </c>
      <c r="D465" s="26">
        <v>0.3802920138888889</v>
      </c>
      <c r="E465" s="26">
        <v>0.3798587962962963</v>
      </c>
      <c r="F465" s="33">
        <f t="shared" si="1"/>
        <v>0.6238333333</v>
      </c>
      <c r="G465" s="8"/>
      <c r="H465" s="8"/>
      <c r="I465" s="8"/>
    </row>
    <row r="466" ht="15.75" customHeight="1">
      <c r="A466" s="19"/>
      <c r="B466" s="21">
        <v>464.0</v>
      </c>
      <c r="C466" s="23">
        <v>46265.0</v>
      </c>
      <c r="D466" s="26">
        <v>0.3804827430555556</v>
      </c>
      <c r="E466" s="26">
        <v>0.3802920138888889</v>
      </c>
      <c r="F466" s="33">
        <f t="shared" si="1"/>
        <v>0.27465</v>
      </c>
      <c r="G466" s="8"/>
      <c r="H466" s="8"/>
      <c r="I466" s="8"/>
    </row>
    <row r="467" ht="15.75" customHeight="1">
      <c r="A467" s="19"/>
      <c r="B467" s="21">
        <v>465.0</v>
      </c>
      <c r="C467" s="23">
        <v>46265.0</v>
      </c>
      <c r="D467" s="26">
        <v>0.3805226736111111</v>
      </c>
      <c r="E467" s="26">
        <v>0.3804827430555556</v>
      </c>
      <c r="F467" s="33">
        <f t="shared" si="1"/>
        <v>0.0575</v>
      </c>
      <c r="G467" s="8"/>
      <c r="H467" s="8"/>
      <c r="I467" s="8"/>
    </row>
    <row r="468" ht="15.75" customHeight="1">
      <c r="A468" s="19"/>
      <c r="B468" s="21">
        <v>466.0</v>
      </c>
      <c r="C468" s="23">
        <v>46265.0</v>
      </c>
      <c r="D468" s="26">
        <v>0.3812929050925926</v>
      </c>
      <c r="E468" s="26">
        <v>0.3805226736111111</v>
      </c>
      <c r="F468" s="33">
        <f t="shared" si="1"/>
        <v>1.109133333</v>
      </c>
      <c r="G468" s="8"/>
      <c r="H468" s="8"/>
      <c r="I468" s="8"/>
    </row>
    <row r="469" ht="15.75" customHeight="1">
      <c r="A469" s="19"/>
      <c r="B469" s="21">
        <v>467.0</v>
      </c>
      <c r="C469" s="23">
        <v>46265.0</v>
      </c>
      <c r="D469" s="26">
        <v>0.3815038657407407</v>
      </c>
      <c r="E469" s="26">
        <v>0.3812929050925926</v>
      </c>
      <c r="F469" s="33">
        <f t="shared" si="1"/>
        <v>0.3037833333</v>
      </c>
      <c r="G469" s="8"/>
      <c r="H469" s="8"/>
      <c r="I469" s="8"/>
    </row>
    <row r="470" ht="15.75" customHeight="1">
      <c r="A470" s="19"/>
      <c r="B470" s="21">
        <v>468.0</v>
      </c>
      <c r="C470" s="23">
        <v>46265.0</v>
      </c>
      <c r="D470" s="26">
        <v>0.3820355439814815</v>
      </c>
      <c r="E470" s="26">
        <v>0.3815038657407407</v>
      </c>
      <c r="F470" s="33">
        <f t="shared" si="1"/>
        <v>0.7656166667</v>
      </c>
      <c r="G470" s="8"/>
      <c r="H470" s="8"/>
      <c r="I470" s="8"/>
    </row>
    <row r="471" ht="15.75" customHeight="1">
      <c r="A471" s="19"/>
      <c r="B471" s="21">
        <v>469.0</v>
      </c>
      <c r="C471" s="23">
        <v>46265.0</v>
      </c>
      <c r="D471" s="26">
        <v>0.3838838773148148</v>
      </c>
      <c r="E471" s="26">
        <v>0.3820355439814815</v>
      </c>
      <c r="F471" s="33">
        <f t="shared" si="1"/>
        <v>2.6616</v>
      </c>
      <c r="G471" s="8"/>
      <c r="H471" s="8"/>
      <c r="I471" s="8"/>
    </row>
    <row r="472" ht="15.75" customHeight="1">
      <c r="A472" s="19"/>
      <c r="B472" s="21">
        <v>470.0</v>
      </c>
      <c r="C472" s="23">
        <v>46265.0</v>
      </c>
      <c r="D472" s="26">
        <v>0.3851181134259259</v>
      </c>
      <c r="E472" s="26">
        <v>0.3838838773148148</v>
      </c>
      <c r="F472" s="33">
        <f t="shared" si="1"/>
        <v>1.7773</v>
      </c>
      <c r="G472" s="8"/>
      <c r="H472" s="8"/>
      <c r="I472" s="8"/>
    </row>
    <row r="473" ht="15.75" customHeight="1">
      <c r="A473" s="19"/>
      <c r="B473" s="21">
        <v>471.0</v>
      </c>
      <c r="C473" s="23">
        <v>46265.0</v>
      </c>
      <c r="D473" s="26">
        <v>0.3858720949074074</v>
      </c>
      <c r="E473" s="26">
        <v>0.3851181134259259</v>
      </c>
      <c r="F473" s="33">
        <f t="shared" si="1"/>
        <v>1.085733333</v>
      </c>
      <c r="G473" s="8"/>
      <c r="H473" s="8"/>
      <c r="I473" s="8"/>
    </row>
    <row r="474" ht="15.75" customHeight="1">
      <c r="A474" s="19"/>
      <c r="B474" s="21">
        <v>472.0</v>
      </c>
      <c r="C474" s="23">
        <v>46265.0</v>
      </c>
      <c r="D474" s="26">
        <v>0.3863802777777778</v>
      </c>
      <c r="E474" s="26">
        <v>0.3858720949074074</v>
      </c>
      <c r="F474" s="33">
        <f t="shared" si="1"/>
        <v>0.7317833333</v>
      </c>
      <c r="G474" s="8"/>
      <c r="H474" s="8"/>
      <c r="I474" s="8"/>
    </row>
    <row r="475" ht="15.75" customHeight="1">
      <c r="A475" s="19"/>
      <c r="B475" s="21">
        <v>473.0</v>
      </c>
      <c r="C475" s="23">
        <v>46265.0</v>
      </c>
      <c r="D475" s="26">
        <v>0.3868131944444445</v>
      </c>
      <c r="E475" s="26">
        <v>0.3863802777777778</v>
      </c>
      <c r="F475" s="33">
        <f t="shared" si="1"/>
        <v>0.6234</v>
      </c>
      <c r="G475" s="8"/>
      <c r="H475" s="8"/>
      <c r="I475" s="8"/>
    </row>
    <row r="476" ht="15.75" customHeight="1">
      <c r="A476" s="19"/>
      <c r="B476" s="21">
        <v>474.0</v>
      </c>
      <c r="C476" s="23">
        <v>46265.0</v>
      </c>
      <c r="D476" s="26">
        <v>0.3872233449074075</v>
      </c>
      <c r="E476" s="26">
        <v>0.3868131944444445</v>
      </c>
      <c r="F476" s="33">
        <f t="shared" si="1"/>
        <v>0.5906166667</v>
      </c>
      <c r="G476" s="8"/>
      <c r="H476" s="8"/>
      <c r="I476" s="8"/>
    </row>
    <row r="477" ht="15.75" customHeight="1">
      <c r="A477" s="19"/>
      <c r="B477" s="21">
        <v>475.0</v>
      </c>
      <c r="C477" s="23">
        <v>46265.0</v>
      </c>
      <c r="D477" s="26">
        <v>0.3877166319444444</v>
      </c>
      <c r="E477" s="26">
        <v>0.3872233449074075</v>
      </c>
      <c r="F477" s="33">
        <f t="shared" si="1"/>
        <v>0.7103333333</v>
      </c>
      <c r="G477" s="8"/>
      <c r="H477" s="8"/>
      <c r="I477" s="8"/>
    </row>
    <row r="478" ht="15.75" customHeight="1">
      <c r="A478" s="19"/>
      <c r="B478" s="21">
        <v>476.0</v>
      </c>
      <c r="C478" s="23">
        <v>46265.0</v>
      </c>
      <c r="D478" s="26">
        <v>0.3884851736111111</v>
      </c>
      <c r="E478" s="26">
        <v>0.3877166319444444</v>
      </c>
      <c r="F478" s="33">
        <f t="shared" si="1"/>
        <v>1.1067</v>
      </c>
      <c r="G478" s="8"/>
      <c r="H478" s="8"/>
      <c r="I478" s="8"/>
    </row>
    <row r="479" ht="15.75" customHeight="1">
      <c r="A479" s="19"/>
      <c r="B479" s="21">
        <v>477.0</v>
      </c>
      <c r="C479" s="23">
        <v>46265.0</v>
      </c>
      <c r="D479" s="26">
        <v>0.3886379745370371</v>
      </c>
      <c r="E479" s="26">
        <v>0.3884851736111111</v>
      </c>
      <c r="F479" s="33">
        <f t="shared" si="1"/>
        <v>0.2200333333</v>
      </c>
      <c r="G479" s="8"/>
      <c r="H479" s="8"/>
      <c r="I479" s="8"/>
    </row>
    <row r="480" ht="15.75" customHeight="1">
      <c r="A480" s="19"/>
      <c r="B480" s="21">
        <v>478.0</v>
      </c>
      <c r="C480" s="23">
        <v>46265.0</v>
      </c>
      <c r="D480" s="26">
        <v>0.3900409606481481</v>
      </c>
      <c r="E480" s="26">
        <v>0.3886379745370371</v>
      </c>
      <c r="F480" s="33">
        <f t="shared" si="1"/>
        <v>2.0203</v>
      </c>
      <c r="G480" s="8"/>
      <c r="H480" s="8"/>
      <c r="I480" s="8"/>
    </row>
    <row r="481" ht="15.75" customHeight="1">
      <c r="A481" s="19"/>
      <c r="B481" s="21">
        <v>479.0</v>
      </c>
      <c r="C481" s="23">
        <v>46265.0</v>
      </c>
      <c r="D481" s="26">
        <v>0.3909553703703704</v>
      </c>
      <c r="E481" s="26">
        <v>0.3900409606481481</v>
      </c>
      <c r="F481" s="33">
        <f t="shared" si="1"/>
        <v>1.31675</v>
      </c>
      <c r="G481" s="8"/>
      <c r="H481" s="8"/>
      <c r="I481" s="8"/>
    </row>
    <row r="482" ht="15.75" customHeight="1">
      <c r="A482" s="19"/>
      <c r="B482" s="21">
        <v>480.0</v>
      </c>
      <c r="C482" s="23">
        <v>46265.0</v>
      </c>
      <c r="D482" s="26">
        <v>0.391001412037037</v>
      </c>
      <c r="E482" s="26">
        <v>0.3909553703703704</v>
      </c>
      <c r="F482" s="33">
        <f t="shared" si="1"/>
        <v>0.0663</v>
      </c>
      <c r="G482" s="8"/>
      <c r="H482" s="8"/>
      <c r="I482" s="8"/>
    </row>
    <row r="483" ht="15.75" customHeight="1">
      <c r="A483" s="19"/>
      <c r="B483" s="21">
        <v>481.0</v>
      </c>
      <c r="C483" s="23">
        <v>46265.0</v>
      </c>
      <c r="D483" s="26">
        <v>0.3913827777777778</v>
      </c>
      <c r="E483" s="26">
        <v>0.391001412037037</v>
      </c>
      <c r="F483" s="33">
        <f t="shared" si="1"/>
        <v>0.5491666667</v>
      </c>
      <c r="G483" s="8"/>
      <c r="H483" s="8"/>
      <c r="I483" s="8"/>
    </row>
    <row r="484" ht="15.75" customHeight="1">
      <c r="A484" s="19"/>
      <c r="B484" s="21">
        <v>482.0</v>
      </c>
      <c r="C484" s="23">
        <v>46265.0</v>
      </c>
      <c r="D484" s="26">
        <v>0.3914555324074074</v>
      </c>
      <c r="E484" s="26">
        <v>0.3913827777777778</v>
      </c>
      <c r="F484" s="33">
        <f t="shared" si="1"/>
        <v>0.1047666667</v>
      </c>
      <c r="G484" s="8"/>
      <c r="H484" s="8"/>
      <c r="I484" s="8"/>
    </row>
    <row r="485" ht="15.75" customHeight="1">
      <c r="A485" s="19"/>
      <c r="B485" s="21">
        <v>483.0</v>
      </c>
      <c r="C485" s="23">
        <v>46265.0</v>
      </c>
      <c r="D485" s="26">
        <v>0.3917520717592592</v>
      </c>
      <c r="E485" s="26">
        <v>0.3914555324074074</v>
      </c>
      <c r="F485" s="33">
        <f t="shared" si="1"/>
        <v>0.4270166667</v>
      </c>
      <c r="G485" s="8"/>
      <c r="H485" s="8"/>
      <c r="I485" s="8"/>
    </row>
    <row r="486" ht="15.75" customHeight="1">
      <c r="A486" s="19"/>
      <c r="B486" s="21">
        <v>484.0</v>
      </c>
      <c r="C486" s="23">
        <v>46265.0</v>
      </c>
      <c r="D486" s="26">
        <v>0.3921265046296297</v>
      </c>
      <c r="E486" s="26">
        <v>0.3917520717592592</v>
      </c>
      <c r="F486" s="33">
        <f t="shared" si="1"/>
        <v>0.5391833333</v>
      </c>
      <c r="G486" s="8"/>
      <c r="H486" s="8"/>
      <c r="I486" s="8"/>
    </row>
    <row r="487" ht="15.75" customHeight="1">
      <c r="A487" s="19"/>
      <c r="B487" s="21">
        <v>485.0</v>
      </c>
      <c r="C487" s="23">
        <v>46265.0</v>
      </c>
      <c r="D487" s="26">
        <v>0.3928003472222222</v>
      </c>
      <c r="E487" s="26">
        <v>0.3921265046296297</v>
      </c>
      <c r="F487" s="33">
        <f t="shared" si="1"/>
        <v>0.9703333333</v>
      </c>
      <c r="G487" s="8"/>
      <c r="H487" s="8"/>
      <c r="I487" s="8"/>
    </row>
    <row r="488" ht="15.75" customHeight="1">
      <c r="A488" s="19"/>
      <c r="B488" s="21">
        <v>486.0</v>
      </c>
      <c r="C488" s="23">
        <v>46265.0</v>
      </c>
      <c r="D488" s="26">
        <v>0.3940862731481481</v>
      </c>
      <c r="E488" s="26">
        <v>0.3928003472222222</v>
      </c>
      <c r="F488" s="33">
        <f t="shared" si="1"/>
        <v>1.851733333</v>
      </c>
      <c r="G488" s="8"/>
      <c r="H488" s="8"/>
      <c r="I488" s="8"/>
    </row>
    <row r="489" ht="15.75" customHeight="1">
      <c r="A489" s="19"/>
      <c r="B489" s="21">
        <v>487.0</v>
      </c>
      <c r="C489" s="23">
        <v>46265.0</v>
      </c>
      <c r="D489" s="26">
        <v>0.3946640046296296</v>
      </c>
      <c r="E489" s="26">
        <v>0.3940862731481481</v>
      </c>
      <c r="F489" s="33">
        <f t="shared" si="1"/>
        <v>0.8319333333</v>
      </c>
      <c r="G489" s="8"/>
      <c r="H489" s="8"/>
      <c r="I489" s="8"/>
    </row>
    <row r="490" ht="15.75" customHeight="1">
      <c r="A490" s="19"/>
      <c r="B490" s="21">
        <v>488.0</v>
      </c>
      <c r="C490" s="23">
        <v>46265.0</v>
      </c>
      <c r="D490" s="26">
        <v>0.3947602546296296</v>
      </c>
      <c r="E490" s="26">
        <v>0.3946640046296296</v>
      </c>
      <c r="F490" s="33">
        <f t="shared" si="1"/>
        <v>0.1386</v>
      </c>
      <c r="G490" s="8"/>
      <c r="H490" s="8"/>
      <c r="I490" s="8"/>
    </row>
    <row r="491" ht="15.75" customHeight="1">
      <c r="A491" s="19"/>
      <c r="B491" s="21">
        <v>489.0</v>
      </c>
      <c r="C491" s="23">
        <v>46265.0</v>
      </c>
      <c r="D491" s="26">
        <v>0.3953232986111111</v>
      </c>
      <c r="E491" s="26">
        <v>0.3947602546296296</v>
      </c>
      <c r="F491" s="33">
        <f t="shared" si="1"/>
        <v>0.8107833333</v>
      </c>
      <c r="G491" s="8"/>
      <c r="H491" s="8"/>
      <c r="I491" s="8"/>
    </row>
    <row r="492" ht="15.75" customHeight="1">
      <c r="A492" s="19"/>
      <c r="B492" s="21">
        <v>490.0</v>
      </c>
      <c r="C492" s="23">
        <v>46265.0</v>
      </c>
      <c r="D492" s="26">
        <v>0.3957366898148149</v>
      </c>
      <c r="E492" s="26">
        <v>0.3953232986111111</v>
      </c>
      <c r="F492" s="33">
        <f t="shared" si="1"/>
        <v>0.5952833333</v>
      </c>
      <c r="G492" s="8"/>
      <c r="H492" s="8"/>
      <c r="I492" s="8"/>
    </row>
    <row r="493" ht="15.75" customHeight="1">
      <c r="A493" s="19"/>
      <c r="B493" s="21">
        <v>491.0</v>
      </c>
      <c r="C493" s="23">
        <v>46265.0</v>
      </c>
      <c r="D493" s="26">
        <v>0.396217800925926</v>
      </c>
      <c r="E493" s="26">
        <v>0.3957366898148149</v>
      </c>
      <c r="F493" s="33">
        <f t="shared" si="1"/>
        <v>0.6928</v>
      </c>
      <c r="G493" s="8"/>
      <c r="H493" s="8"/>
      <c r="I493" s="8"/>
    </row>
    <row r="494" ht="15.75" customHeight="1">
      <c r="A494" s="19"/>
      <c r="B494" s="21">
        <v>492.0</v>
      </c>
      <c r="C494" s="23">
        <v>46265.0</v>
      </c>
      <c r="D494" s="26">
        <v>0.3967061226851852</v>
      </c>
      <c r="E494" s="26">
        <v>0.396217800925926</v>
      </c>
      <c r="F494" s="33">
        <f t="shared" si="1"/>
        <v>0.7031833333</v>
      </c>
      <c r="G494" s="8"/>
      <c r="H494" s="8"/>
      <c r="I494" s="8"/>
    </row>
    <row r="495" ht="15.75" customHeight="1">
      <c r="A495" s="19"/>
      <c r="B495" s="21">
        <v>493.0</v>
      </c>
      <c r="C495" s="23">
        <v>46265.0</v>
      </c>
      <c r="D495" s="26">
        <v>0.3976974652777778</v>
      </c>
      <c r="E495" s="26">
        <v>0.3967061226851852</v>
      </c>
      <c r="F495" s="33">
        <f t="shared" si="1"/>
        <v>1.427533333</v>
      </c>
      <c r="G495" s="8"/>
      <c r="H495" s="8"/>
      <c r="I495" s="8"/>
    </row>
    <row r="496" ht="15.75" customHeight="1">
      <c r="A496" s="19"/>
      <c r="B496" s="21">
        <v>494.0</v>
      </c>
      <c r="C496" s="23">
        <v>46265.0</v>
      </c>
      <c r="D496" s="26">
        <v>0.3977324074074075</v>
      </c>
      <c r="E496" s="26">
        <v>0.3976974652777778</v>
      </c>
      <c r="F496" s="33">
        <f t="shared" si="1"/>
        <v>0.05031666667</v>
      </c>
      <c r="G496" s="8"/>
      <c r="H496" s="8"/>
      <c r="I496" s="8"/>
    </row>
    <row r="497" ht="15.75" customHeight="1">
      <c r="A497" s="19"/>
      <c r="B497" s="21">
        <v>495.0</v>
      </c>
      <c r="C497" s="23">
        <v>46265.0</v>
      </c>
      <c r="D497" s="26">
        <v>0.3980964814814815</v>
      </c>
      <c r="E497" s="26">
        <v>0.3977324074074075</v>
      </c>
      <c r="F497" s="33">
        <f t="shared" si="1"/>
        <v>0.5242666667</v>
      </c>
      <c r="G497" s="8"/>
      <c r="H497" s="8"/>
      <c r="I497" s="8"/>
    </row>
    <row r="498" ht="15.75" customHeight="1">
      <c r="A498" s="19"/>
      <c r="B498" s="21">
        <v>496.0</v>
      </c>
      <c r="C498" s="23">
        <v>46265.0</v>
      </c>
      <c r="D498" s="26">
        <v>0.3982478240740741</v>
      </c>
      <c r="E498" s="26">
        <v>0.3980964814814815</v>
      </c>
      <c r="F498" s="33">
        <f t="shared" si="1"/>
        <v>0.2179333333</v>
      </c>
      <c r="G498" s="8"/>
      <c r="H498" s="8"/>
      <c r="I498" s="8"/>
    </row>
    <row r="499" ht="15.75" customHeight="1">
      <c r="A499" s="19"/>
      <c r="B499" s="21">
        <v>497.0</v>
      </c>
      <c r="C499" s="23">
        <v>46265.0</v>
      </c>
      <c r="D499" s="26">
        <v>0.3983539814814815</v>
      </c>
      <c r="E499" s="26">
        <v>0.3982478240740741</v>
      </c>
      <c r="F499" s="33">
        <f t="shared" si="1"/>
        <v>0.1528666667</v>
      </c>
      <c r="G499" s="8"/>
      <c r="H499" s="8"/>
      <c r="I499" s="8"/>
    </row>
    <row r="500" ht="15.75" customHeight="1">
      <c r="A500" s="19"/>
      <c r="B500" s="21">
        <v>498.0</v>
      </c>
      <c r="C500" s="23">
        <v>46265.0</v>
      </c>
      <c r="D500" s="26">
        <v>0.3984223611111111</v>
      </c>
      <c r="E500" s="26">
        <v>0.3983539814814815</v>
      </c>
      <c r="F500" s="33">
        <f t="shared" si="1"/>
        <v>0.09846666667</v>
      </c>
      <c r="G500" s="8"/>
      <c r="H500" s="8"/>
      <c r="I500" s="8"/>
    </row>
    <row r="501" ht="15.75" customHeight="1">
      <c r="A501" s="19"/>
      <c r="B501" s="21">
        <v>499.0</v>
      </c>
      <c r="C501" s="23">
        <v>46265.0</v>
      </c>
      <c r="D501" s="26">
        <v>0.3986338078703704</v>
      </c>
      <c r="E501" s="26">
        <v>0.3984223611111111</v>
      </c>
      <c r="F501" s="33">
        <f t="shared" si="1"/>
        <v>0.3044833333</v>
      </c>
      <c r="G501" s="8"/>
      <c r="H501" s="8"/>
      <c r="I501" s="8"/>
    </row>
    <row r="502" ht="15.75" customHeight="1">
      <c r="A502" s="19"/>
      <c r="B502" s="21">
        <v>500.0</v>
      </c>
      <c r="C502" s="23">
        <v>46265.0</v>
      </c>
      <c r="D502" s="26">
        <v>0.399681724537037</v>
      </c>
      <c r="E502" s="26">
        <v>0.3986338078703704</v>
      </c>
      <c r="F502" s="33">
        <f t="shared" si="1"/>
        <v>1.509</v>
      </c>
      <c r="G502" s="8"/>
      <c r="H502" s="8"/>
      <c r="I502" s="8"/>
    </row>
    <row r="503" ht="15.75" customHeight="1">
      <c r="A503" s="19"/>
      <c r="B503" s="21">
        <v>501.0</v>
      </c>
      <c r="C503" s="23">
        <v>46265.0</v>
      </c>
      <c r="D503" s="26">
        <v>0.400447650462963</v>
      </c>
      <c r="E503" s="26">
        <v>0.399681724537037</v>
      </c>
      <c r="F503" s="33">
        <f t="shared" si="1"/>
        <v>1.102933333</v>
      </c>
      <c r="G503" s="8"/>
      <c r="H503" s="8"/>
      <c r="I503" s="8"/>
    </row>
    <row r="504" ht="15.75" customHeight="1">
      <c r="A504" s="19"/>
      <c r="B504" s="21">
        <v>502.0</v>
      </c>
      <c r="C504" s="23">
        <v>46265.0</v>
      </c>
      <c r="D504" s="26">
        <v>0.4015232638888889</v>
      </c>
      <c r="E504" s="26">
        <v>0.400447650462963</v>
      </c>
      <c r="F504" s="33">
        <f t="shared" si="1"/>
        <v>1.548883333</v>
      </c>
      <c r="G504" s="8"/>
      <c r="H504" s="8"/>
      <c r="I504" s="8"/>
    </row>
    <row r="505" ht="15.75" customHeight="1">
      <c r="A505" s="19"/>
      <c r="B505" s="21">
        <v>503.0</v>
      </c>
      <c r="C505" s="23">
        <v>46265.0</v>
      </c>
      <c r="D505" s="26">
        <v>0.4019091782407407</v>
      </c>
      <c r="E505" s="26">
        <v>0.4015232638888889</v>
      </c>
      <c r="F505" s="33">
        <f t="shared" si="1"/>
        <v>0.5557166667</v>
      </c>
      <c r="G505" s="8"/>
      <c r="H505" s="8"/>
      <c r="I505" s="8"/>
    </row>
    <row r="506" ht="15.75" customHeight="1">
      <c r="A506" s="19"/>
      <c r="B506" s="21">
        <v>504.0</v>
      </c>
      <c r="C506" s="23">
        <v>46265.0</v>
      </c>
      <c r="D506" s="26">
        <v>0.4031923495370371</v>
      </c>
      <c r="E506" s="26">
        <v>0.4019091782407407</v>
      </c>
      <c r="F506" s="33">
        <f t="shared" si="1"/>
        <v>1.847766667</v>
      </c>
      <c r="G506" s="8"/>
      <c r="H506" s="8"/>
      <c r="I506" s="8"/>
    </row>
    <row r="507" ht="15.75" customHeight="1">
      <c r="A507" s="19"/>
      <c r="B507" s="21">
        <v>505.0</v>
      </c>
      <c r="C507" s="23">
        <v>46265.0</v>
      </c>
      <c r="D507" s="26">
        <v>0.4037045949074074</v>
      </c>
      <c r="E507" s="26">
        <v>0.4031923495370371</v>
      </c>
      <c r="F507" s="33">
        <f t="shared" si="1"/>
        <v>0.7376333333</v>
      </c>
      <c r="G507" s="8"/>
      <c r="H507" s="8"/>
      <c r="I507" s="8"/>
    </row>
    <row r="508" ht="15.75" customHeight="1">
      <c r="A508" s="19"/>
      <c r="B508" s="21">
        <v>506.0</v>
      </c>
      <c r="C508" s="23">
        <v>46265.0</v>
      </c>
      <c r="D508" s="26">
        <v>0.4042015856481481</v>
      </c>
      <c r="E508" s="26">
        <v>0.4037045949074074</v>
      </c>
      <c r="F508" s="33">
        <f t="shared" si="1"/>
        <v>0.7156666667</v>
      </c>
      <c r="G508" s="8"/>
      <c r="H508" s="8"/>
      <c r="I508" s="8"/>
    </row>
    <row r="509" ht="15.75" customHeight="1">
      <c r="A509" s="19"/>
      <c r="B509" s="21">
        <v>507.0</v>
      </c>
      <c r="C509" s="23">
        <v>46265.0</v>
      </c>
      <c r="D509" s="26">
        <v>0.404511875</v>
      </c>
      <c r="E509" s="26">
        <v>0.4042015856481481</v>
      </c>
      <c r="F509" s="33">
        <f t="shared" si="1"/>
        <v>0.4468166667</v>
      </c>
      <c r="G509" s="8"/>
      <c r="H509" s="8"/>
      <c r="I509" s="8"/>
    </row>
    <row r="510" ht="15.75" customHeight="1">
      <c r="A510" s="19"/>
      <c r="B510" s="21">
        <v>508.0</v>
      </c>
      <c r="C510" s="23">
        <v>46265.0</v>
      </c>
      <c r="D510" s="26">
        <v>0.4045270717592593</v>
      </c>
      <c r="E510" s="26">
        <v>0.404511875</v>
      </c>
      <c r="F510" s="33">
        <f t="shared" si="1"/>
        <v>0.02188333333</v>
      </c>
      <c r="G510" s="8"/>
      <c r="H510" s="8"/>
      <c r="I510" s="8"/>
    </row>
    <row r="511" ht="15.75" customHeight="1">
      <c r="A511" s="19"/>
      <c r="B511" s="21">
        <v>509.0</v>
      </c>
      <c r="C511" s="23">
        <v>46265.0</v>
      </c>
      <c r="D511" s="26">
        <v>0.4050779976851852</v>
      </c>
      <c r="E511" s="26">
        <v>0.4045270717592593</v>
      </c>
      <c r="F511" s="33">
        <f t="shared" si="1"/>
        <v>0.7933333333</v>
      </c>
      <c r="G511" s="8"/>
      <c r="H511" s="8"/>
      <c r="I511" s="8"/>
    </row>
    <row r="512" ht="15.75" customHeight="1">
      <c r="A512" s="19"/>
      <c r="B512" s="21">
        <v>510.0</v>
      </c>
      <c r="C512" s="23">
        <v>46265.0</v>
      </c>
      <c r="D512" s="26">
        <v>0.4052472916666667</v>
      </c>
      <c r="E512" s="26">
        <v>0.4050779976851852</v>
      </c>
      <c r="F512" s="33">
        <f t="shared" si="1"/>
        <v>0.2437833333</v>
      </c>
      <c r="G512" s="8"/>
      <c r="H512" s="8"/>
      <c r="I512" s="8"/>
    </row>
    <row r="513" ht="15.75" customHeight="1">
      <c r="A513" s="19"/>
      <c r="B513" s="21">
        <v>511.0</v>
      </c>
      <c r="C513" s="23">
        <v>46265.0</v>
      </c>
      <c r="D513" s="26">
        <v>0.4080635069444444</v>
      </c>
      <c r="E513" s="26">
        <v>0.4052472916666667</v>
      </c>
      <c r="F513" s="33">
        <f t="shared" si="1"/>
        <v>4.05535</v>
      </c>
      <c r="G513" s="8"/>
      <c r="H513" s="8"/>
      <c r="I513" s="8"/>
    </row>
    <row r="514" ht="15.75" customHeight="1">
      <c r="A514" s="19"/>
      <c r="B514" s="21">
        <v>512.0</v>
      </c>
      <c r="C514" s="23">
        <v>46265.0</v>
      </c>
      <c r="D514" s="26">
        <v>0.4085048842592592</v>
      </c>
      <c r="E514" s="26">
        <v>0.4080635069444444</v>
      </c>
      <c r="F514" s="33">
        <f t="shared" si="1"/>
        <v>0.6355833333</v>
      </c>
      <c r="G514" s="8"/>
      <c r="H514" s="8"/>
      <c r="I514" s="8"/>
    </row>
    <row r="515" ht="15.75" customHeight="1">
      <c r="A515" s="19"/>
      <c r="B515" s="21">
        <v>513.0</v>
      </c>
      <c r="C515" s="23">
        <v>46265.0</v>
      </c>
      <c r="D515" s="26">
        <v>0.4086620601851852</v>
      </c>
      <c r="E515" s="26">
        <v>0.4085048842592592</v>
      </c>
      <c r="F515" s="33">
        <f t="shared" si="1"/>
        <v>0.2263333333</v>
      </c>
      <c r="G515" s="8"/>
      <c r="H515" s="8"/>
      <c r="I515" s="8"/>
    </row>
    <row r="516" ht="15.75" customHeight="1">
      <c r="A516" s="19"/>
      <c r="B516" s="21">
        <v>514.0</v>
      </c>
      <c r="C516" s="23">
        <v>46265.0</v>
      </c>
      <c r="D516" s="26">
        <v>0.4096253587962963</v>
      </c>
      <c r="E516" s="26">
        <v>0.4086620601851852</v>
      </c>
      <c r="F516" s="33">
        <f t="shared" si="1"/>
        <v>1.38715</v>
      </c>
      <c r="G516" s="8"/>
      <c r="H516" s="8"/>
      <c r="I516" s="8"/>
    </row>
    <row r="517" ht="15.75" customHeight="1">
      <c r="A517" s="19"/>
      <c r="B517" s="21">
        <v>515.0</v>
      </c>
      <c r="C517" s="23">
        <v>46265.0</v>
      </c>
      <c r="D517" s="26">
        <v>0.4110902893518519</v>
      </c>
      <c r="E517" s="26">
        <v>0.4096253587962963</v>
      </c>
      <c r="F517" s="33">
        <f t="shared" si="1"/>
        <v>2.1095</v>
      </c>
      <c r="G517" s="8"/>
      <c r="H517" s="8"/>
      <c r="I517" s="8"/>
    </row>
    <row r="518" ht="15.75" customHeight="1">
      <c r="A518" s="19"/>
      <c r="B518" s="21">
        <v>516.0</v>
      </c>
      <c r="C518" s="23">
        <v>46265.0</v>
      </c>
      <c r="D518" s="26">
        <v>0.4116355439814815</v>
      </c>
      <c r="E518" s="26">
        <v>0.4110902893518519</v>
      </c>
      <c r="F518" s="33">
        <f t="shared" si="1"/>
        <v>0.7851666667</v>
      </c>
      <c r="G518" s="8"/>
      <c r="H518" s="8"/>
      <c r="I518" s="8"/>
    </row>
    <row r="519" ht="15.75" customHeight="1">
      <c r="A519" s="19"/>
      <c r="B519" s="21">
        <v>517.0</v>
      </c>
      <c r="C519" s="23">
        <v>46265.0</v>
      </c>
      <c r="D519" s="26">
        <v>0.4127380671296297</v>
      </c>
      <c r="E519" s="26">
        <v>0.4116355439814815</v>
      </c>
      <c r="F519" s="33">
        <f t="shared" si="1"/>
        <v>1.587633333</v>
      </c>
      <c r="G519" s="8"/>
      <c r="H519" s="8"/>
      <c r="I519" s="8"/>
    </row>
    <row r="520" ht="15.75" customHeight="1">
      <c r="A520" s="19"/>
      <c r="B520" s="21">
        <v>518.0</v>
      </c>
      <c r="C520" s="23">
        <v>46265.0</v>
      </c>
      <c r="D520" s="26">
        <v>0.4140650462962963</v>
      </c>
      <c r="E520" s="26">
        <v>0.4127380671296297</v>
      </c>
      <c r="F520" s="33">
        <f t="shared" si="1"/>
        <v>1.91085</v>
      </c>
      <c r="G520" s="8"/>
      <c r="H520" s="8"/>
      <c r="I520" s="8"/>
    </row>
    <row r="521" ht="15.75" customHeight="1">
      <c r="A521" s="19"/>
      <c r="B521" s="21">
        <v>519.0</v>
      </c>
      <c r="C521" s="23">
        <v>46265.0</v>
      </c>
      <c r="D521" s="26">
        <v>0.4141023032407407</v>
      </c>
      <c r="E521" s="26">
        <v>0.4140650462962963</v>
      </c>
      <c r="F521" s="33">
        <f t="shared" si="1"/>
        <v>0.05365</v>
      </c>
      <c r="G521" s="8"/>
      <c r="H521" s="8"/>
      <c r="I521" s="8"/>
    </row>
    <row r="522" ht="15.75" customHeight="1">
      <c r="A522" s="19"/>
      <c r="B522" s="21">
        <v>520.0</v>
      </c>
      <c r="C522" s="23">
        <v>46265.0</v>
      </c>
      <c r="D522" s="26">
        <v>0.4152113888888889</v>
      </c>
      <c r="E522" s="26">
        <v>0.4141023032407407</v>
      </c>
      <c r="F522" s="33">
        <f t="shared" si="1"/>
        <v>1.597083333</v>
      </c>
      <c r="G522" s="8"/>
      <c r="H522" s="8"/>
      <c r="I522" s="8"/>
    </row>
    <row r="523" ht="15.75" customHeight="1">
      <c r="A523" s="19"/>
      <c r="B523" s="21">
        <v>521.0</v>
      </c>
      <c r="C523" s="23">
        <v>46265.0</v>
      </c>
      <c r="D523" s="26">
        <v>0.4152639583333333</v>
      </c>
      <c r="E523" s="26">
        <v>0.4152113888888889</v>
      </c>
      <c r="F523" s="33">
        <f t="shared" si="1"/>
        <v>0.0757</v>
      </c>
      <c r="G523" s="8"/>
      <c r="H523" s="8"/>
      <c r="I523" s="8"/>
    </row>
    <row r="524" ht="15.75" customHeight="1">
      <c r="A524" s="19"/>
      <c r="B524" s="21">
        <v>522.0</v>
      </c>
      <c r="C524" s="23">
        <v>46265.0</v>
      </c>
      <c r="D524" s="26">
        <v>0.4159868171296296</v>
      </c>
      <c r="E524" s="26">
        <v>0.4152639583333333</v>
      </c>
      <c r="F524" s="33">
        <f t="shared" si="1"/>
        <v>1.040916667</v>
      </c>
      <c r="G524" s="8"/>
      <c r="H524" s="8"/>
      <c r="I524" s="8"/>
    </row>
    <row r="525" ht="15.75" customHeight="1">
      <c r="A525" s="19"/>
      <c r="B525" s="21">
        <v>523.0</v>
      </c>
      <c r="C525" s="23">
        <v>46265.0</v>
      </c>
      <c r="D525" s="26">
        <v>0.4160540509259259</v>
      </c>
      <c r="E525" s="26">
        <v>0.4159868171296296</v>
      </c>
      <c r="F525" s="33">
        <f t="shared" si="1"/>
        <v>0.09681666667</v>
      </c>
      <c r="G525" s="8"/>
      <c r="H525" s="8"/>
      <c r="I525" s="8"/>
    </row>
    <row r="526" ht="15.75" customHeight="1">
      <c r="A526" s="19"/>
      <c r="B526" s="21">
        <v>524.0</v>
      </c>
      <c r="C526" s="23">
        <v>46265.0</v>
      </c>
      <c r="D526" s="26">
        <v>0.4164788194444444</v>
      </c>
      <c r="E526" s="26">
        <v>0.4160540509259259</v>
      </c>
      <c r="F526" s="33">
        <f t="shared" si="1"/>
        <v>0.6116666667</v>
      </c>
      <c r="G526" s="8"/>
      <c r="H526" s="8"/>
      <c r="I526" s="8"/>
    </row>
    <row r="527" ht="15.75" customHeight="1">
      <c r="A527" s="19"/>
      <c r="B527" s="21">
        <v>525.0</v>
      </c>
      <c r="C527" s="23">
        <v>46265.0</v>
      </c>
      <c r="D527" s="26">
        <v>0.4165150810185185</v>
      </c>
      <c r="E527" s="26">
        <v>0.4164788194444444</v>
      </c>
      <c r="F527" s="33">
        <f t="shared" si="1"/>
        <v>0.05221666667</v>
      </c>
      <c r="G527" s="8"/>
      <c r="H527" s="8"/>
      <c r="I527" s="8"/>
    </row>
    <row r="528" ht="15.75" customHeight="1">
      <c r="A528" s="19"/>
      <c r="B528" s="21">
        <v>526.0</v>
      </c>
      <c r="C528" s="23">
        <v>46266.0</v>
      </c>
      <c r="D528" s="26">
        <v>0.3756395601851852</v>
      </c>
      <c r="E528" s="26">
        <v>0.3751776388888889</v>
      </c>
      <c r="F528" s="33">
        <f t="shared" si="1"/>
        <v>0.6651666667</v>
      </c>
      <c r="G528" s="8"/>
      <c r="H528" s="8"/>
      <c r="I528" s="8"/>
    </row>
    <row r="529" ht="15.75" customHeight="1">
      <c r="A529" s="19"/>
      <c r="B529" s="21">
        <v>527.0</v>
      </c>
      <c r="C529" s="23">
        <v>46266.0</v>
      </c>
      <c r="D529" s="26">
        <v>0.376769699074074</v>
      </c>
      <c r="E529" s="26">
        <v>0.3756395601851852</v>
      </c>
      <c r="F529" s="33">
        <f t="shared" si="1"/>
        <v>1.6274</v>
      </c>
      <c r="G529" s="8"/>
      <c r="H529" s="8"/>
      <c r="I529" s="8"/>
    </row>
    <row r="530" ht="15.75" customHeight="1">
      <c r="A530" s="19"/>
      <c r="B530" s="21">
        <v>528.0</v>
      </c>
      <c r="C530" s="23">
        <v>46266.0</v>
      </c>
      <c r="D530" s="26">
        <v>0.3772698148148148</v>
      </c>
      <c r="E530" s="26">
        <v>0.376769699074074</v>
      </c>
      <c r="F530" s="33">
        <f t="shared" si="1"/>
        <v>0.7201666667</v>
      </c>
      <c r="G530" s="8"/>
      <c r="H530" s="8"/>
      <c r="I530" s="8"/>
    </row>
    <row r="531" ht="15.75" customHeight="1">
      <c r="A531" s="19"/>
      <c r="B531" s="21">
        <v>529.0</v>
      </c>
      <c r="C531" s="23">
        <v>46266.0</v>
      </c>
      <c r="D531" s="26">
        <v>0.3778689699074074</v>
      </c>
      <c r="E531" s="26">
        <v>0.3772698148148148</v>
      </c>
      <c r="F531" s="33">
        <f t="shared" si="1"/>
        <v>0.8627833333</v>
      </c>
      <c r="G531" s="8"/>
      <c r="H531" s="8"/>
      <c r="I531" s="8"/>
    </row>
    <row r="532" ht="15.75" customHeight="1">
      <c r="A532" s="19"/>
      <c r="B532" s="21">
        <v>530.0</v>
      </c>
      <c r="C532" s="23">
        <v>46266.0</v>
      </c>
      <c r="D532" s="26">
        <v>0.3781909027777778</v>
      </c>
      <c r="E532" s="26">
        <v>0.3778689699074074</v>
      </c>
      <c r="F532" s="33">
        <f t="shared" si="1"/>
        <v>0.4635833333</v>
      </c>
      <c r="G532" s="8"/>
      <c r="H532" s="8"/>
      <c r="I532" s="8"/>
    </row>
    <row r="533" ht="15.75" customHeight="1">
      <c r="A533" s="19"/>
      <c r="B533" s="21">
        <v>531.0</v>
      </c>
      <c r="C533" s="23">
        <v>46266.0</v>
      </c>
      <c r="D533" s="26">
        <v>0.3782422337962963</v>
      </c>
      <c r="E533" s="26">
        <v>0.3781909027777778</v>
      </c>
      <c r="F533" s="33">
        <f t="shared" si="1"/>
        <v>0.07391666667</v>
      </c>
      <c r="G533" s="8"/>
      <c r="H533" s="8"/>
      <c r="I533" s="8"/>
    </row>
    <row r="534" ht="15.75" customHeight="1">
      <c r="A534" s="19"/>
      <c r="B534" s="21">
        <v>532.0</v>
      </c>
      <c r="C534" s="23">
        <v>46266.0</v>
      </c>
      <c r="D534" s="26">
        <v>0.3783960416666667</v>
      </c>
      <c r="E534" s="26">
        <v>0.3782422337962963</v>
      </c>
      <c r="F534" s="33">
        <f t="shared" si="1"/>
        <v>0.2214833333</v>
      </c>
      <c r="G534" s="8"/>
      <c r="H534" s="8"/>
      <c r="I534" s="8"/>
    </row>
    <row r="535" ht="15.75" customHeight="1">
      <c r="A535" s="19"/>
      <c r="B535" s="21">
        <v>533.0</v>
      </c>
      <c r="C535" s="23">
        <v>46266.0</v>
      </c>
      <c r="D535" s="26">
        <v>0.3784570949074074</v>
      </c>
      <c r="E535" s="26">
        <v>0.3783960416666667</v>
      </c>
      <c r="F535" s="33">
        <f t="shared" si="1"/>
        <v>0.08791666667</v>
      </c>
      <c r="G535" s="8"/>
      <c r="H535" s="8"/>
      <c r="I535" s="8"/>
    </row>
    <row r="536" ht="15.75" customHeight="1">
      <c r="A536" s="19"/>
      <c r="B536" s="21">
        <v>534.0</v>
      </c>
      <c r="C536" s="23">
        <v>46266.0</v>
      </c>
      <c r="D536" s="26">
        <v>0.3798665740740741</v>
      </c>
      <c r="E536" s="26">
        <v>0.3784570949074074</v>
      </c>
      <c r="F536" s="33">
        <f t="shared" si="1"/>
        <v>2.02965</v>
      </c>
      <c r="G536" s="8"/>
      <c r="H536" s="8"/>
      <c r="I536" s="8"/>
    </row>
    <row r="537" ht="15.75" customHeight="1">
      <c r="A537" s="19"/>
      <c r="B537" s="21">
        <v>535.0</v>
      </c>
      <c r="C537" s="23">
        <v>46266.0</v>
      </c>
      <c r="D537" s="26">
        <v>0.3806420254629629</v>
      </c>
      <c r="E537" s="26">
        <v>0.3798665740740741</v>
      </c>
      <c r="F537" s="33">
        <f t="shared" si="1"/>
        <v>1.11665</v>
      </c>
      <c r="G537" s="8"/>
      <c r="H537" s="8"/>
      <c r="I537" s="8"/>
    </row>
    <row r="538" ht="15.75" customHeight="1">
      <c r="A538" s="19"/>
      <c r="B538" s="21">
        <v>536.0</v>
      </c>
      <c r="C538" s="23">
        <v>46266.0</v>
      </c>
      <c r="D538" s="26">
        <v>0.3807909606481482</v>
      </c>
      <c r="E538" s="26">
        <v>0.3806420254629629</v>
      </c>
      <c r="F538" s="33">
        <f t="shared" si="1"/>
        <v>0.2144666667</v>
      </c>
      <c r="G538" s="8"/>
      <c r="H538" s="8"/>
      <c r="I538" s="8"/>
    </row>
    <row r="539" ht="15.75" customHeight="1">
      <c r="A539" s="19"/>
      <c r="B539" s="21">
        <v>537.0</v>
      </c>
      <c r="C539" s="23">
        <v>46266.0</v>
      </c>
      <c r="D539" s="26">
        <v>0.3813371527777777</v>
      </c>
      <c r="E539" s="26">
        <v>0.3807909606481482</v>
      </c>
      <c r="F539" s="33">
        <f t="shared" si="1"/>
        <v>0.7865166667</v>
      </c>
      <c r="G539" s="8"/>
      <c r="H539" s="8"/>
      <c r="I539" s="8"/>
    </row>
    <row r="540" ht="15.75" customHeight="1">
      <c r="A540" s="19"/>
      <c r="B540" s="21">
        <v>538.0</v>
      </c>
      <c r="C540" s="23">
        <v>46266.0</v>
      </c>
      <c r="D540" s="26">
        <v>0.3815968171296296</v>
      </c>
      <c r="E540" s="26">
        <v>0.3813371527777777</v>
      </c>
      <c r="F540" s="33">
        <f t="shared" si="1"/>
        <v>0.3739166667</v>
      </c>
      <c r="G540" s="8"/>
      <c r="H540" s="8"/>
      <c r="I540" s="8"/>
    </row>
    <row r="541" ht="15.75" customHeight="1">
      <c r="A541" s="19"/>
      <c r="B541" s="21">
        <v>539.0</v>
      </c>
      <c r="C541" s="23">
        <v>46266.0</v>
      </c>
      <c r="D541" s="26">
        <v>0.3827557291666667</v>
      </c>
      <c r="E541" s="26">
        <v>0.3815968171296296</v>
      </c>
      <c r="F541" s="33">
        <f t="shared" si="1"/>
        <v>1.668833333</v>
      </c>
      <c r="G541" s="8"/>
      <c r="H541" s="8"/>
      <c r="I541" s="8"/>
    </row>
    <row r="542" ht="15.75" customHeight="1">
      <c r="A542" s="19"/>
      <c r="B542" s="21">
        <v>540.0</v>
      </c>
      <c r="C542" s="23">
        <v>46266.0</v>
      </c>
      <c r="D542" s="26">
        <v>0.382990162037037</v>
      </c>
      <c r="E542" s="26">
        <v>0.3827557291666667</v>
      </c>
      <c r="F542" s="33">
        <f t="shared" si="1"/>
        <v>0.3375833333</v>
      </c>
      <c r="G542" s="8"/>
      <c r="H542" s="8"/>
      <c r="I542" s="8"/>
    </row>
    <row r="543" ht="15.75" customHeight="1">
      <c r="A543" s="19"/>
      <c r="B543" s="21">
        <v>541.0</v>
      </c>
      <c r="C543" s="23">
        <v>46266.0</v>
      </c>
      <c r="D543" s="26">
        <v>0.3830366898148149</v>
      </c>
      <c r="E543" s="26">
        <v>0.382990162037037</v>
      </c>
      <c r="F543" s="33">
        <f t="shared" si="1"/>
        <v>0.067</v>
      </c>
      <c r="G543" s="8"/>
      <c r="H543" s="8"/>
      <c r="I543" s="8"/>
    </row>
    <row r="544" ht="15.75" customHeight="1">
      <c r="A544" s="19"/>
      <c r="B544" s="21">
        <v>542.0</v>
      </c>
      <c r="C544" s="23">
        <v>46266.0</v>
      </c>
      <c r="D544" s="26">
        <v>0.3845683449074074</v>
      </c>
      <c r="E544" s="26">
        <v>0.3830366898148149</v>
      </c>
      <c r="F544" s="33">
        <f t="shared" si="1"/>
        <v>2.205583333</v>
      </c>
      <c r="G544" s="8"/>
      <c r="H544" s="8"/>
      <c r="I544" s="8"/>
    </row>
    <row r="545" ht="15.75" customHeight="1">
      <c r="A545" s="19"/>
      <c r="B545" s="21">
        <v>543.0</v>
      </c>
      <c r="C545" s="23">
        <v>46266.0</v>
      </c>
      <c r="D545" s="26">
        <v>0.3849205439814815</v>
      </c>
      <c r="E545" s="26">
        <v>0.3845683449074074</v>
      </c>
      <c r="F545" s="33">
        <f t="shared" si="1"/>
        <v>0.5071666667</v>
      </c>
      <c r="G545" s="8"/>
      <c r="H545" s="8"/>
      <c r="I545" s="8"/>
    </row>
    <row r="546" ht="15.75" customHeight="1">
      <c r="A546" s="19"/>
      <c r="B546" s="21">
        <v>544.0</v>
      </c>
      <c r="C546" s="23">
        <v>46266.0</v>
      </c>
      <c r="D546" s="26">
        <v>0.3853814583333333</v>
      </c>
      <c r="E546" s="26">
        <v>0.3849205439814815</v>
      </c>
      <c r="F546" s="33">
        <f t="shared" si="1"/>
        <v>0.6637166667</v>
      </c>
      <c r="G546" s="8"/>
      <c r="H546" s="8"/>
      <c r="I546" s="8"/>
    </row>
    <row r="547" ht="15.75" customHeight="1">
      <c r="A547" s="19"/>
      <c r="B547" s="21">
        <v>545.0</v>
      </c>
      <c r="C547" s="23">
        <v>46266.0</v>
      </c>
      <c r="D547" s="26">
        <v>0.3876051041666667</v>
      </c>
      <c r="E547" s="26">
        <v>0.3853814583333333</v>
      </c>
      <c r="F547" s="33">
        <f t="shared" si="1"/>
        <v>3.20205</v>
      </c>
      <c r="G547" s="8"/>
      <c r="H547" s="8"/>
      <c r="I547" s="8"/>
    </row>
    <row r="548" ht="15.75" customHeight="1">
      <c r="A548" s="19"/>
      <c r="B548" s="21">
        <v>546.0</v>
      </c>
      <c r="C548" s="23">
        <v>46266.0</v>
      </c>
      <c r="D548" s="26">
        <v>0.3877093055555556</v>
      </c>
      <c r="E548" s="26">
        <v>0.3876051041666667</v>
      </c>
      <c r="F548" s="33">
        <f t="shared" si="1"/>
        <v>0.15005</v>
      </c>
      <c r="G548" s="8"/>
      <c r="H548" s="8"/>
      <c r="I548" s="8"/>
    </row>
    <row r="549" ht="15.75" customHeight="1">
      <c r="A549" s="19"/>
      <c r="B549" s="21">
        <v>547.0</v>
      </c>
      <c r="C549" s="23">
        <v>46266.0</v>
      </c>
      <c r="D549" s="26">
        <v>0.3880846875</v>
      </c>
      <c r="E549" s="26">
        <v>0.3877093055555556</v>
      </c>
      <c r="F549" s="33">
        <f t="shared" si="1"/>
        <v>0.54055</v>
      </c>
      <c r="G549" s="8"/>
      <c r="H549" s="8"/>
      <c r="I549" s="8"/>
    </row>
    <row r="550" ht="15.75" customHeight="1">
      <c r="A550" s="19"/>
      <c r="B550" s="21">
        <v>548.0</v>
      </c>
      <c r="C550" s="23">
        <v>46266.0</v>
      </c>
      <c r="D550" s="26">
        <v>0.3886404861111111</v>
      </c>
      <c r="E550" s="26">
        <v>0.3880846875</v>
      </c>
      <c r="F550" s="33">
        <f t="shared" si="1"/>
        <v>0.80035</v>
      </c>
      <c r="G550" s="8"/>
      <c r="H550" s="8"/>
      <c r="I550" s="8"/>
    </row>
    <row r="551" ht="15.75" customHeight="1">
      <c r="A551" s="19"/>
      <c r="B551" s="21">
        <v>549.0</v>
      </c>
      <c r="C551" s="23">
        <v>46266.0</v>
      </c>
      <c r="D551" s="26">
        <v>0.3888475347222223</v>
      </c>
      <c r="E551" s="26">
        <v>0.3886404861111111</v>
      </c>
      <c r="F551" s="33">
        <f t="shared" si="1"/>
        <v>0.29815</v>
      </c>
      <c r="G551" s="8"/>
      <c r="H551" s="8"/>
      <c r="I551" s="8"/>
    </row>
    <row r="552" ht="15.75" customHeight="1">
      <c r="A552" s="19"/>
      <c r="B552" s="21">
        <v>550.0</v>
      </c>
      <c r="C552" s="23">
        <v>46266.0</v>
      </c>
      <c r="D552" s="26">
        <v>0.3892811458333334</v>
      </c>
      <c r="E552" s="26">
        <v>0.3888475347222223</v>
      </c>
      <c r="F552" s="33">
        <f t="shared" si="1"/>
        <v>0.6244</v>
      </c>
      <c r="G552" s="8"/>
      <c r="H552" s="8"/>
      <c r="I552" s="8"/>
    </row>
    <row r="553" ht="15.75" customHeight="1">
      <c r="A553" s="19"/>
      <c r="B553" s="21">
        <v>551.0</v>
      </c>
      <c r="C553" s="23">
        <v>46266.0</v>
      </c>
      <c r="D553" s="26">
        <v>0.3898614930555556</v>
      </c>
      <c r="E553" s="26">
        <v>0.3892811458333334</v>
      </c>
      <c r="F553" s="33">
        <f t="shared" si="1"/>
        <v>0.8357</v>
      </c>
      <c r="G553" s="8"/>
      <c r="H553" s="8"/>
      <c r="I553" s="8"/>
    </row>
    <row r="554" ht="15.75" customHeight="1">
      <c r="A554" s="19"/>
      <c r="B554" s="21">
        <v>552.0</v>
      </c>
      <c r="C554" s="23">
        <v>46266.0</v>
      </c>
      <c r="D554" s="26">
        <v>0.3902845833333334</v>
      </c>
      <c r="E554" s="26">
        <v>0.3898614930555556</v>
      </c>
      <c r="F554" s="33">
        <f t="shared" si="1"/>
        <v>0.60925</v>
      </c>
      <c r="G554" s="8"/>
      <c r="H554" s="8"/>
      <c r="I554" s="8"/>
    </row>
    <row r="555" ht="15.75" customHeight="1">
      <c r="A555" s="19"/>
      <c r="B555" s="21">
        <v>553.0</v>
      </c>
      <c r="C555" s="23">
        <v>46266.0</v>
      </c>
      <c r="D555" s="26">
        <v>0.3910485995370371</v>
      </c>
      <c r="E555" s="26">
        <v>0.3902845833333334</v>
      </c>
      <c r="F555" s="33">
        <f t="shared" si="1"/>
        <v>1.100183333</v>
      </c>
      <c r="G555" s="8"/>
      <c r="H555" s="8"/>
      <c r="I555" s="8"/>
    </row>
    <row r="556" ht="15.75" customHeight="1">
      <c r="A556" s="19"/>
      <c r="B556" s="21">
        <v>554.0</v>
      </c>
      <c r="C556" s="23">
        <v>46266.0</v>
      </c>
      <c r="D556" s="26">
        <v>0.3911918171296296</v>
      </c>
      <c r="E556" s="26">
        <v>0.3910485995370371</v>
      </c>
      <c r="F556" s="33">
        <f t="shared" si="1"/>
        <v>0.2062333333</v>
      </c>
      <c r="G556" s="8"/>
      <c r="H556" s="8"/>
      <c r="I556" s="8"/>
    </row>
    <row r="557" ht="15.75" customHeight="1">
      <c r="A557" s="19"/>
      <c r="B557" s="21">
        <v>555.0</v>
      </c>
      <c r="C557" s="23">
        <v>46266.0</v>
      </c>
      <c r="D557" s="26">
        <v>0.3911935532407407</v>
      </c>
      <c r="E557" s="26">
        <v>0.3911918171296296</v>
      </c>
      <c r="F557" s="33">
        <f t="shared" si="1"/>
        <v>0.0025</v>
      </c>
      <c r="G557" s="8"/>
      <c r="H557" s="8"/>
      <c r="I557" s="8"/>
    </row>
    <row r="558" ht="15.75" customHeight="1">
      <c r="A558" s="19"/>
      <c r="B558" s="21">
        <v>556.0</v>
      </c>
      <c r="C558" s="23">
        <v>46266.0</v>
      </c>
      <c r="D558" s="26">
        <v>0.3916916319444445</v>
      </c>
      <c r="E558" s="26">
        <v>0.3911935532407407</v>
      </c>
      <c r="F558" s="33">
        <f t="shared" si="1"/>
        <v>0.7172333333</v>
      </c>
      <c r="G558" s="8"/>
      <c r="H558" s="8"/>
      <c r="I558" s="8"/>
    </row>
    <row r="559" ht="15.75" customHeight="1">
      <c r="A559" s="19"/>
      <c r="B559" s="21">
        <v>557.0</v>
      </c>
      <c r="C559" s="23">
        <v>46266.0</v>
      </c>
      <c r="D559" s="26">
        <v>0.3917949189814814</v>
      </c>
      <c r="E559" s="26">
        <v>0.3916916319444445</v>
      </c>
      <c r="F559" s="33">
        <f t="shared" si="1"/>
        <v>0.1487333333</v>
      </c>
      <c r="G559" s="8"/>
      <c r="H559" s="8"/>
      <c r="I559" s="8"/>
    </row>
    <row r="560" ht="15.75" customHeight="1">
      <c r="A560" s="19"/>
      <c r="B560" s="21">
        <v>558.0</v>
      </c>
      <c r="C560" s="23">
        <v>46266.0</v>
      </c>
      <c r="D560" s="26">
        <v>0.3921192361111111</v>
      </c>
      <c r="E560" s="26">
        <v>0.3917949189814814</v>
      </c>
      <c r="F560" s="33">
        <f t="shared" si="1"/>
        <v>0.4670166667</v>
      </c>
      <c r="G560" s="8"/>
      <c r="H560" s="8"/>
      <c r="I560" s="8"/>
    </row>
    <row r="561" ht="15.75" customHeight="1">
      <c r="A561" s="19"/>
      <c r="B561" s="21">
        <v>559.0</v>
      </c>
      <c r="C561" s="23">
        <v>46266.0</v>
      </c>
      <c r="D561" s="26">
        <v>0.3921753356481482</v>
      </c>
      <c r="E561" s="26">
        <v>0.3921192361111111</v>
      </c>
      <c r="F561" s="33">
        <f t="shared" si="1"/>
        <v>0.08078333333</v>
      </c>
      <c r="G561" s="8"/>
      <c r="H561" s="8"/>
      <c r="I561" s="8"/>
    </row>
    <row r="562" ht="15.75" customHeight="1">
      <c r="A562" s="19"/>
      <c r="B562" s="21">
        <v>560.0</v>
      </c>
      <c r="C562" s="23">
        <v>46266.0</v>
      </c>
      <c r="D562" s="26">
        <v>0.3922233101851851</v>
      </c>
      <c r="E562" s="26">
        <v>0.3921753356481482</v>
      </c>
      <c r="F562" s="33">
        <f t="shared" si="1"/>
        <v>0.06908333333</v>
      </c>
      <c r="G562" s="8"/>
      <c r="H562" s="8"/>
      <c r="I562" s="8"/>
    </row>
    <row r="563" ht="15.75" customHeight="1">
      <c r="A563" s="19"/>
      <c r="B563" s="21">
        <v>561.0</v>
      </c>
      <c r="C563" s="23">
        <v>46266.0</v>
      </c>
      <c r="D563" s="26">
        <v>0.3922236921296297</v>
      </c>
      <c r="E563" s="26">
        <v>0.3922233101851851</v>
      </c>
      <c r="F563" s="33">
        <f t="shared" si="1"/>
        <v>0.0005500000003</v>
      </c>
      <c r="G563" s="8"/>
      <c r="H563" s="8"/>
      <c r="I563" s="8"/>
    </row>
    <row r="564" ht="15.75" customHeight="1">
      <c r="A564" s="19"/>
      <c r="B564" s="21">
        <v>562.0</v>
      </c>
      <c r="C564" s="23">
        <v>46266.0</v>
      </c>
      <c r="D564" s="26">
        <v>0.393343425925926</v>
      </c>
      <c r="E564" s="26">
        <v>0.3922236921296297</v>
      </c>
      <c r="F564" s="33">
        <f t="shared" si="1"/>
        <v>1.612416667</v>
      </c>
      <c r="G564" s="8"/>
      <c r="H564" s="8"/>
      <c r="I564" s="8"/>
    </row>
    <row r="565" ht="15.75" customHeight="1">
      <c r="A565" s="19"/>
      <c r="B565" s="21">
        <v>563.0</v>
      </c>
      <c r="C565" s="23">
        <v>46266.0</v>
      </c>
      <c r="D565" s="26">
        <v>0.3936212847222222</v>
      </c>
      <c r="E565" s="26">
        <v>0.393343425925926</v>
      </c>
      <c r="F565" s="33">
        <f t="shared" si="1"/>
        <v>0.4001166667</v>
      </c>
      <c r="G565" s="8"/>
      <c r="H565" s="8"/>
      <c r="I565" s="8"/>
    </row>
    <row r="566" ht="15.75" customHeight="1">
      <c r="A566" s="19"/>
      <c r="B566" s="21">
        <v>564.0</v>
      </c>
      <c r="C566" s="23">
        <v>46266.0</v>
      </c>
      <c r="D566" s="26">
        <v>0.3938962268518518</v>
      </c>
      <c r="E566" s="26">
        <v>0.3936212847222222</v>
      </c>
      <c r="F566" s="33">
        <f t="shared" si="1"/>
        <v>0.3959166667</v>
      </c>
      <c r="G566" s="8"/>
      <c r="H566" s="8"/>
      <c r="I566" s="8"/>
    </row>
    <row r="567" ht="15.75" customHeight="1">
      <c r="A567" s="19"/>
      <c r="B567" s="21">
        <v>565.0</v>
      </c>
      <c r="C567" s="23">
        <v>46266.0</v>
      </c>
      <c r="D567" s="26">
        <v>0.3953345717592592</v>
      </c>
      <c r="E567" s="26">
        <v>0.3938962268518518</v>
      </c>
      <c r="F567" s="33">
        <f t="shared" si="1"/>
        <v>2.071216667</v>
      </c>
      <c r="G567" s="8"/>
      <c r="H567" s="8"/>
      <c r="I567" s="8"/>
    </row>
    <row r="568" ht="15.75" customHeight="1">
      <c r="A568" s="19"/>
      <c r="B568" s="21">
        <v>566.0</v>
      </c>
      <c r="C568" s="23">
        <v>46266.0</v>
      </c>
      <c r="D568" s="26">
        <v>0.3959206944444445</v>
      </c>
      <c r="E568" s="26">
        <v>0.3953345717592592</v>
      </c>
      <c r="F568" s="33">
        <f t="shared" si="1"/>
        <v>0.8440166667</v>
      </c>
      <c r="G568" s="8"/>
      <c r="H568" s="8"/>
      <c r="I568" s="8"/>
    </row>
    <row r="569" ht="15.75" customHeight="1">
      <c r="A569" s="19"/>
      <c r="B569" s="21">
        <v>567.0</v>
      </c>
      <c r="C569" s="23">
        <v>46266.0</v>
      </c>
      <c r="D569" s="26">
        <v>0.3961049884259259</v>
      </c>
      <c r="E569" s="26">
        <v>0.3959206944444445</v>
      </c>
      <c r="F569" s="33">
        <f t="shared" si="1"/>
        <v>0.2653833333</v>
      </c>
      <c r="G569" s="8"/>
      <c r="H569" s="8"/>
      <c r="I569" s="8"/>
    </row>
    <row r="570" ht="15.75" customHeight="1">
      <c r="A570" s="19"/>
      <c r="B570" s="21">
        <v>568.0</v>
      </c>
      <c r="C570" s="23">
        <v>46266.0</v>
      </c>
      <c r="D570" s="26">
        <v>0.3970349768518519</v>
      </c>
      <c r="E570" s="26">
        <v>0.3961049884259259</v>
      </c>
      <c r="F570" s="33">
        <f t="shared" si="1"/>
        <v>1.339183333</v>
      </c>
      <c r="G570" s="8"/>
      <c r="H570" s="8"/>
      <c r="I570" s="8"/>
    </row>
    <row r="571" ht="15.75" customHeight="1">
      <c r="A571" s="19"/>
      <c r="B571" s="21">
        <v>569.0</v>
      </c>
      <c r="C571" s="23">
        <v>46266.0</v>
      </c>
      <c r="D571" s="26">
        <v>0.3972122569444445</v>
      </c>
      <c r="E571" s="26">
        <v>0.3970349768518519</v>
      </c>
      <c r="F571" s="33">
        <f t="shared" si="1"/>
        <v>0.2552833333</v>
      </c>
      <c r="G571" s="8"/>
      <c r="H571" s="8"/>
      <c r="I571" s="8"/>
    </row>
    <row r="572" ht="15.75" customHeight="1">
      <c r="A572" s="19"/>
      <c r="B572" s="21">
        <v>570.0</v>
      </c>
      <c r="C572" s="23">
        <v>46266.0</v>
      </c>
      <c r="D572" s="26">
        <v>0.3975246180555556</v>
      </c>
      <c r="E572" s="26">
        <v>0.3972122569444445</v>
      </c>
      <c r="F572" s="33">
        <f t="shared" si="1"/>
        <v>0.4498</v>
      </c>
      <c r="G572" s="8"/>
      <c r="H572" s="8"/>
      <c r="I572" s="8"/>
    </row>
    <row r="573" ht="15.75" customHeight="1">
      <c r="A573" s="19"/>
      <c r="B573" s="21">
        <v>571.0</v>
      </c>
      <c r="C573" s="23">
        <v>46266.0</v>
      </c>
      <c r="D573" s="26">
        <v>0.3975287731481481</v>
      </c>
      <c r="E573" s="26">
        <v>0.3975246180555556</v>
      </c>
      <c r="F573" s="33">
        <f t="shared" si="1"/>
        <v>0.005983333333</v>
      </c>
      <c r="G573" s="8"/>
      <c r="H573" s="8"/>
      <c r="I573" s="8"/>
    </row>
    <row r="574" ht="15.75" customHeight="1">
      <c r="A574" s="19"/>
      <c r="B574" s="21">
        <v>572.0</v>
      </c>
      <c r="C574" s="23">
        <v>46266.0</v>
      </c>
      <c r="D574" s="26">
        <v>0.3980727199074074</v>
      </c>
      <c r="E574" s="26">
        <v>0.3975287731481481</v>
      </c>
      <c r="F574" s="33">
        <f t="shared" si="1"/>
        <v>0.7832833333</v>
      </c>
      <c r="G574" s="8"/>
      <c r="H574" s="8"/>
      <c r="I574" s="8"/>
    </row>
    <row r="575" ht="15.75" customHeight="1">
      <c r="A575" s="19"/>
      <c r="B575" s="21">
        <v>573.0</v>
      </c>
      <c r="C575" s="23">
        <v>46266.0</v>
      </c>
      <c r="D575" s="26">
        <v>0.3981898611111111</v>
      </c>
      <c r="E575" s="26">
        <v>0.3980727199074074</v>
      </c>
      <c r="F575" s="33">
        <f t="shared" si="1"/>
        <v>0.1686833333</v>
      </c>
      <c r="G575" s="8"/>
      <c r="H575" s="8"/>
      <c r="I575" s="8"/>
    </row>
    <row r="576" ht="15.75" customHeight="1">
      <c r="A576" s="19"/>
      <c r="B576" s="21">
        <v>574.0</v>
      </c>
      <c r="C576" s="23">
        <v>46266.0</v>
      </c>
      <c r="D576" s="26">
        <v>0.3984146064814815</v>
      </c>
      <c r="E576" s="26">
        <v>0.3981898611111111</v>
      </c>
      <c r="F576" s="33">
        <f t="shared" si="1"/>
        <v>0.3236333333</v>
      </c>
      <c r="G576" s="8"/>
      <c r="H576" s="8"/>
      <c r="I576" s="8"/>
    </row>
    <row r="577" ht="15.75" customHeight="1">
      <c r="A577" s="19"/>
      <c r="B577" s="21">
        <v>575.0</v>
      </c>
      <c r="C577" s="23">
        <v>46266.0</v>
      </c>
      <c r="D577" s="26">
        <v>0.3996160532407407</v>
      </c>
      <c r="E577" s="26">
        <v>0.3984146064814815</v>
      </c>
      <c r="F577" s="33">
        <f t="shared" si="1"/>
        <v>1.730083333</v>
      </c>
      <c r="G577" s="8"/>
      <c r="H577" s="8"/>
      <c r="I577" s="8"/>
    </row>
    <row r="578" ht="15.75" customHeight="1">
      <c r="A578" s="19"/>
      <c r="B578" s="21">
        <v>576.0</v>
      </c>
      <c r="C578" s="23">
        <v>46266.0</v>
      </c>
      <c r="D578" s="26">
        <v>0.4002911342592593</v>
      </c>
      <c r="E578" s="26">
        <v>0.3996160532407407</v>
      </c>
      <c r="F578" s="33">
        <f t="shared" si="1"/>
        <v>0.9721166667</v>
      </c>
      <c r="G578" s="8"/>
      <c r="H578" s="8"/>
      <c r="I578" s="8"/>
    </row>
    <row r="579" ht="15.75" customHeight="1">
      <c r="A579" s="19"/>
      <c r="B579" s="21">
        <v>577.0</v>
      </c>
      <c r="C579" s="23">
        <v>46266.0</v>
      </c>
      <c r="D579" s="26">
        <v>0.4003582407407407</v>
      </c>
      <c r="E579" s="26">
        <v>0.4002911342592593</v>
      </c>
      <c r="F579" s="33">
        <f t="shared" si="1"/>
        <v>0.09663333333</v>
      </c>
      <c r="G579" s="8"/>
      <c r="H579" s="8"/>
      <c r="I579" s="8"/>
    </row>
    <row r="580" ht="15.75" customHeight="1">
      <c r="A580" s="19"/>
      <c r="B580" s="21">
        <v>578.0</v>
      </c>
      <c r="C580" s="23">
        <v>46266.0</v>
      </c>
      <c r="D580" s="26">
        <v>0.4004850578703704</v>
      </c>
      <c r="E580" s="26">
        <v>0.4003582407407407</v>
      </c>
      <c r="F580" s="33">
        <f t="shared" si="1"/>
        <v>0.1826166667</v>
      </c>
      <c r="G580" s="8"/>
      <c r="H580" s="8"/>
      <c r="I580" s="8"/>
    </row>
    <row r="581" ht="15.75" customHeight="1">
      <c r="A581" s="19"/>
      <c r="B581" s="21">
        <v>579.0</v>
      </c>
      <c r="C581" s="23">
        <v>46266.0</v>
      </c>
      <c r="D581" s="26">
        <v>0.4014946180555556</v>
      </c>
      <c r="E581" s="26">
        <v>0.4004850578703704</v>
      </c>
      <c r="F581" s="33">
        <f t="shared" si="1"/>
        <v>1.453766667</v>
      </c>
      <c r="G581" s="8"/>
      <c r="H581" s="8"/>
      <c r="I581" s="8"/>
    </row>
    <row r="582" ht="15.75" customHeight="1">
      <c r="A582" s="19"/>
      <c r="B582" s="21">
        <v>580.0</v>
      </c>
      <c r="C582" s="23">
        <v>46266.0</v>
      </c>
      <c r="D582" s="26">
        <v>0.4015436458333334</v>
      </c>
      <c r="E582" s="26">
        <v>0.4014946180555556</v>
      </c>
      <c r="F582" s="33">
        <f t="shared" si="1"/>
        <v>0.0706</v>
      </c>
      <c r="G582" s="8"/>
      <c r="H582" s="8"/>
      <c r="I582" s="8"/>
    </row>
    <row r="583" ht="15.75" customHeight="1">
      <c r="A583" s="19"/>
      <c r="B583" s="21">
        <v>581.0</v>
      </c>
      <c r="C583" s="23">
        <v>46266.0</v>
      </c>
      <c r="D583" s="26">
        <v>0.4018714930555556</v>
      </c>
      <c r="E583" s="26">
        <v>0.4015436458333334</v>
      </c>
      <c r="F583" s="33">
        <f t="shared" si="1"/>
        <v>0.4721</v>
      </c>
      <c r="G583" s="8"/>
      <c r="H583" s="8"/>
      <c r="I583" s="8"/>
    </row>
    <row r="584" ht="15.75" customHeight="1">
      <c r="A584" s="19"/>
      <c r="B584" s="21">
        <v>582.0</v>
      </c>
      <c r="C584" s="23">
        <v>46266.0</v>
      </c>
      <c r="D584" s="26">
        <v>0.4018963194444444</v>
      </c>
      <c r="E584" s="26">
        <v>0.4018714930555556</v>
      </c>
      <c r="F584" s="33">
        <f t="shared" si="1"/>
        <v>0.03575</v>
      </c>
      <c r="G584" s="8"/>
      <c r="H584" s="8"/>
      <c r="I584" s="8"/>
    </row>
    <row r="585" ht="15.75" customHeight="1">
      <c r="A585" s="19"/>
      <c r="B585" s="21">
        <v>583.0</v>
      </c>
      <c r="C585" s="23">
        <v>46266.0</v>
      </c>
      <c r="D585" s="26">
        <v>0.4024575115740741</v>
      </c>
      <c r="E585" s="26">
        <v>0.4018963194444444</v>
      </c>
      <c r="F585" s="33">
        <f t="shared" si="1"/>
        <v>0.8081166667</v>
      </c>
      <c r="G585" s="8"/>
      <c r="H585" s="8"/>
      <c r="I585" s="8"/>
    </row>
    <row r="586" ht="15.75" customHeight="1">
      <c r="A586" s="19"/>
      <c r="B586" s="21">
        <v>584.0</v>
      </c>
      <c r="C586" s="23">
        <v>46266.0</v>
      </c>
      <c r="D586" s="26">
        <v>0.4034574537037037</v>
      </c>
      <c r="E586" s="26">
        <v>0.4024575115740741</v>
      </c>
      <c r="F586" s="33">
        <f t="shared" si="1"/>
        <v>1.439916667</v>
      </c>
      <c r="G586" s="8"/>
      <c r="H586" s="8"/>
      <c r="I586" s="8"/>
    </row>
    <row r="587" ht="15.75" customHeight="1">
      <c r="A587" s="19"/>
      <c r="B587" s="21">
        <v>585.0</v>
      </c>
      <c r="C587" s="23">
        <v>46266.0</v>
      </c>
      <c r="D587" s="26">
        <v>0.4034763541666667</v>
      </c>
      <c r="E587" s="26">
        <v>0.4034574537037037</v>
      </c>
      <c r="F587" s="33">
        <f t="shared" si="1"/>
        <v>0.02721666667</v>
      </c>
      <c r="G587" s="8"/>
      <c r="H587" s="8"/>
      <c r="I587" s="8"/>
    </row>
    <row r="588" ht="15.75" customHeight="1">
      <c r="A588" s="19"/>
      <c r="B588" s="21">
        <v>586.0</v>
      </c>
      <c r="C588" s="23">
        <v>46266.0</v>
      </c>
      <c r="D588" s="26">
        <v>0.4039638657407408</v>
      </c>
      <c r="E588" s="26">
        <v>0.4034763541666667</v>
      </c>
      <c r="F588" s="33">
        <f t="shared" si="1"/>
        <v>0.7020166667</v>
      </c>
      <c r="G588" s="8"/>
      <c r="H588" s="8"/>
      <c r="I588" s="8"/>
    </row>
    <row r="589" ht="15.75" customHeight="1">
      <c r="A589" s="19"/>
      <c r="B589" s="21">
        <v>587.0</v>
      </c>
      <c r="C589" s="23">
        <v>46266.0</v>
      </c>
      <c r="D589" s="26">
        <v>0.4041407291666667</v>
      </c>
      <c r="E589" s="26">
        <v>0.4039638657407408</v>
      </c>
      <c r="F589" s="33">
        <f t="shared" si="1"/>
        <v>0.2546833333</v>
      </c>
      <c r="G589" s="8"/>
      <c r="H589" s="8"/>
      <c r="I589" s="8"/>
    </row>
    <row r="590" ht="15.75" customHeight="1">
      <c r="A590" s="19"/>
      <c r="B590" s="21">
        <v>588.0</v>
      </c>
      <c r="C590" s="23">
        <v>46266.0</v>
      </c>
      <c r="D590" s="26">
        <v>0.4042646990740741</v>
      </c>
      <c r="E590" s="26">
        <v>0.4041407291666667</v>
      </c>
      <c r="F590" s="33">
        <f t="shared" si="1"/>
        <v>0.1785166667</v>
      </c>
      <c r="G590" s="8"/>
      <c r="H590" s="8"/>
      <c r="I590" s="8"/>
    </row>
    <row r="591" ht="15.75" customHeight="1">
      <c r="A591" s="19"/>
      <c r="B591" s="21">
        <v>589.0</v>
      </c>
      <c r="C591" s="23">
        <v>46266.0</v>
      </c>
      <c r="D591" s="26">
        <v>0.4043848842592592</v>
      </c>
      <c r="E591" s="26">
        <v>0.4042646990740741</v>
      </c>
      <c r="F591" s="33">
        <f t="shared" si="1"/>
        <v>0.1730666667</v>
      </c>
      <c r="G591" s="8"/>
      <c r="H591" s="8"/>
      <c r="I591" s="8"/>
    </row>
    <row r="592" ht="15.75" customHeight="1">
      <c r="A592" s="19"/>
      <c r="B592" s="21">
        <v>590.0</v>
      </c>
      <c r="C592" s="23">
        <v>46266.0</v>
      </c>
      <c r="D592" s="26">
        <v>0.4049573263888889</v>
      </c>
      <c r="E592" s="26">
        <v>0.4043848842592592</v>
      </c>
      <c r="F592" s="33">
        <f t="shared" si="1"/>
        <v>0.8243166667</v>
      </c>
      <c r="G592" s="8"/>
      <c r="H592" s="8"/>
      <c r="I592" s="8"/>
    </row>
    <row r="593" ht="15.75" customHeight="1">
      <c r="A593" s="19"/>
      <c r="B593" s="21">
        <v>591.0</v>
      </c>
      <c r="C593" s="23">
        <v>46266.0</v>
      </c>
      <c r="D593" s="26">
        <v>0.4062687962962963</v>
      </c>
      <c r="E593" s="26">
        <v>0.4049573263888889</v>
      </c>
      <c r="F593" s="33">
        <f t="shared" si="1"/>
        <v>1.888516667</v>
      </c>
      <c r="G593" s="8"/>
      <c r="H593" s="8"/>
      <c r="I593" s="8"/>
    </row>
    <row r="594" ht="15.75" customHeight="1">
      <c r="A594" s="19"/>
      <c r="B594" s="21">
        <v>592.0</v>
      </c>
      <c r="C594" s="23">
        <v>46266.0</v>
      </c>
      <c r="D594" s="26">
        <v>0.4067946643518519</v>
      </c>
      <c r="E594" s="26">
        <v>0.4062687962962963</v>
      </c>
      <c r="F594" s="33">
        <f t="shared" si="1"/>
        <v>0.75725</v>
      </c>
      <c r="G594" s="8"/>
      <c r="H594" s="8"/>
      <c r="I594" s="8"/>
    </row>
    <row r="595" ht="15.75" customHeight="1">
      <c r="A595" s="19"/>
      <c r="B595" s="21">
        <v>593.0</v>
      </c>
      <c r="C595" s="23">
        <v>46266.0</v>
      </c>
      <c r="D595" s="26">
        <v>0.4069312152777778</v>
      </c>
      <c r="E595" s="26">
        <v>0.4067946643518519</v>
      </c>
      <c r="F595" s="33">
        <f t="shared" si="1"/>
        <v>0.1966333333</v>
      </c>
      <c r="G595" s="8"/>
      <c r="H595" s="8"/>
      <c r="I595" s="8"/>
    </row>
    <row r="596" ht="15.75" customHeight="1">
      <c r="A596" s="19"/>
      <c r="B596" s="21">
        <v>594.0</v>
      </c>
      <c r="C596" s="23">
        <v>46266.0</v>
      </c>
      <c r="D596" s="26">
        <v>0.4082243865740741</v>
      </c>
      <c r="E596" s="26">
        <v>0.4069312152777778</v>
      </c>
      <c r="F596" s="33">
        <f t="shared" si="1"/>
        <v>1.862166667</v>
      </c>
      <c r="G596" s="8"/>
      <c r="H596" s="8"/>
      <c r="I596" s="8"/>
    </row>
    <row r="597" ht="15.75" customHeight="1">
      <c r="A597" s="19"/>
      <c r="B597" s="21">
        <v>595.0</v>
      </c>
      <c r="C597" s="23">
        <v>46266.0</v>
      </c>
      <c r="D597" s="26">
        <v>0.4086412268518518</v>
      </c>
      <c r="E597" s="26">
        <v>0.4082243865740741</v>
      </c>
      <c r="F597" s="33">
        <f t="shared" si="1"/>
        <v>0.60025</v>
      </c>
      <c r="G597" s="8"/>
      <c r="H597" s="8"/>
      <c r="I597" s="8"/>
    </row>
    <row r="598" ht="15.75" customHeight="1">
      <c r="A598" s="19"/>
      <c r="B598" s="21">
        <v>596.0</v>
      </c>
      <c r="C598" s="23">
        <v>46266.0</v>
      </c>
      <c r="D598" s="26">
        <v>0.4087451736111111</v>
      </c>
      <c r="E598" s="26">
        <v>0.4086412268518518</v>
      </c>
      <c r="F598" s="33">
        <f t="shared" si="1"/>
        <v>0.1496833333</v>
      </c>
      <c r="G598" s="8"/>
      <c r="H598" s="8"/>
      <c r="I598" s="8"/>
    </row>
    <row r="599" ht="15.75" customHeight="1">
      <c r="A599" s="19"/>
      <c r="B599" s="21">
        <v>597.0</v>
      </c>
      <c r="C599" s="23">
        <v>46266.0</v>
      </c>
      <c r="D599" s="26">
        <v>0.4088135763888889</v>
      </c>
      <c r="E599" s="26">
        <v>0.4087451736111111</v>
      </c>
      <c r="F599" s="33">
        <f t="shared" si="1"/>
        <v>0.0985</v>
      </c>
      <c r="G599" s="8"/>
      <c r="H599" s="8"/>
      <c r="I599" s="8"/>
    </row>
    <row r="600" ht="15.75" customHeight="1">
      <c r="A600" s="19"/>
      <c r="B600" s="21">
        <v>598.0</v>
      </c>
      <c r="C600" s="23">
        <v>46266.0</v>
      </c>
      <c r="D600" s="26">
        <v>0.4092423148148148</v>
      </c>
      <c r="E600" s="26">
        <v>0.4088135763888889</v>
      </c>
      <c r="F600" s="33">
        <f t="shared" si="1"/>
        <v>0.6173833333</v>
      </c>
      <c r="G600" s="8"/>
      <c r="H600" s="8"/>
      <c r="I600" s="8"/>
    </row>
    <row r="601" ht="15.75" customHeight="1">
      <c r="A601" s="19"/>
      <c r="B601" s="21">
        <v>599.0</v>
      </c>
      <c r="C601" s="23">
        <v>46266.0</v>
      </c>
      <c r="D601" s="26">
        <v>0.4102135648148148</v>
      </c>
      <c r="E601" s="26">
        <v>0.4092423148148148</v>
      </c>
      <c r="F601" s="33">
        <f t="shared" si="1"/>
        <v>1.3986</v>
      </c>
      <c r="G601" s="8"/>
      <c r="H601" s="8"/>
      <c r="I601" s="8"/>
    </row>
    <row r="602" ht="15.75" customHeight="1">
      <c r="A602" s="19"/>
      <c r="B602" s="21">
        <v>600.0</v>
      </c>
      <c r="C602" s="23">
        <v>46266.0</v>
      </c>
      <c r="D602" s="26">
        <v>0.411014525462963</v>
      </c>
      <c r="E602" s="26">
        <v>0.4102135648148148</v>
      </c>
      <c r="F602" s="33">
        <f t="shared" si="1"/>
        <v>1.153383333</v>
      </c>
      <c r="G602" s="8"/>
      <c r="H602" s="8"/>
      <c r="I602" s="8"/>
    </row>
    <row r="603" ht="15.75" customHeight="1">
      <c r="A603" s="19"/>
      <c r="B603" s="21">
        <v>601.0</v>
      </c>
      <c r="C603" s="23">
        <v>46266.0</v>
      </c>
      <c r="D603" s="26">
        <v>0.4112699537037037</v>
      </c>
      <c r="E603" s="26">
        <v>0.411014525462963</v>
      </c>
      <c r="F603" s="33">
        <f t="shared" si="1"/>
        <v>0.3678166667</v>
      </c>
      <c r="G603" s="8"/>
      <c r="H603" s="8"/>
      <c r="I603" s="8"/>
    </row>
    <row r="604" ht="15.75" customHeight="1">
      <c r="A604" s="19"/>
      <c r="B604" s="21">
        <v>602.0</v>
      </c>
      <c r="C604" s="23">
        <v>46266.0</v>
      </c>
      <c r="D604" s="26">
        <v>0.4114424189814815</v>
      </c>
      <c r="E604" s="26">
        <v>0.4112699537037037</v>
      </c>
      <c r="F604" s="33">
        <f t="shared" si="1"/>
        <v>0.24835</v>
      </c>
      <c r="G604" s="8"/>
      <c r="H604" s="8"/>
      <c r="I604" s="8"/>
    </row>
    <row r="605" ht="15.75" customHeight="1">
      <c r="A605" s="19"/>
      <c r="B605" s="21">
        <v>603.0</v>
      </c>
      <c r="C605" s="23">
        <v>46266.0</v>
      </c>
      <c r="D605" s="26">
        <v>0.412078136574074</v>
      </c>
      <c r="E605" s="26">
        <v>0.4114424189814815</v>
      </c>
      <c r="F605" s="33">
        <f t="shared" si="1"/>
        <v>0.9154333333</v>
      </c>
      <c r="G605" s="8"/>
      <c r="H605" s="8"/>
      <c r="I605" s="8"/>
    </row>
    <row r="606" ht="15.75" customHeight="1">
      <c r="A606" s="19"/>
      <c r="B606" s="21">
        <v>604.0</v>
      </c>
      <c r="C606" s="23">
        <v>46266.0</v>
      </c>
      <c r="D606" s="26">
        <v>0.4125681712962963</v>
      </c>
      <c r="E606" s="26">
        <v>0.412078136574074</v>
      </c>
      <c r="F606" s="33">
        <f t="shared" si="1"/>
        <v>0.70565</v>
      </c>
      <c r="G606" s="8"/>
      <c r="H606" s="8"/>
      <c r="I606" s="8"/>
    </row>
    <row r="607" ht="15.75" customHeight="1">
      <c r="A607" s="19"/>
      <c r="B607" s="21">
        <v>605.0</v>
      </c>
      <c r="C607" s="23">
        <v>46266.0</v>
      </c>
      <c r="D607" s="26">
        <v>0.4129597106481481</v>
      </c>
      <c r="E607" s="26">
        <v>0.4125681712962963</v>
      </c>
      <c r="F607" s="33">
        <f t="shared" si="1"/>
        <v>0.5638166667</v>
      </c>
      <c r="G607" s="8"/>
      <c r="H607" s="8"/>
      <c r="I607" s="8"/>
    </row>
    <row r="608" ht="15.75" customHeight="1">
      <c r="A608" s="19"/>
      <c r="B608" s="21">
        <v>606.0</v>
      </c>
      <c r="C608" s="23">
        <v>46266.0</v>
      </c>
      <c r="D608" s="26">
        <v>0.4134086226851851</v>
      </c>
      <c r="E608" s="26">
        <v>0.4129597106481481</v>
      </c>
      <c r="F608" s="33">
        <f t="shared" si="1"/>
        <v>0.6464333333</v>
      </c>
      <c r="G608" s="8"/>
      <c r="H608" s="8"/>
      <c r="I608" s="8"/>
    </row>
    <row r="609" ht="15.75" customHeight="1">
      <c r="A609" s="19"/>
      <c r="B609" s="21">
        <v>607.0</v>
      </c>
      <c r="C609" s="23">
        <v>46266.0</v>
      </c>
      <c r="D609" s="26">
        <v>0.4136513078703704</v>
      </c>
      <c r="E609" s="26">
        <v>0.4134086226851851</v>
      </c>
      <c r="F609" s="33">
        <f t="shared" si="1"/>
        <v>0.3494666667</v>
      </c>
      <c r="G609" s="8"/>
      <c r="H609" s="8"/>
      <c r="I609" s="8"/>
    </row>
    <row r="610" ht="15.75" customHeight="1">
      <c r="A610" s="19"/>
      <c r="B610" s="21">
        <v>608.0</v>
      </c>
      <c r="C610" s="23">
        <v>46266.0</v>
      </c>
      <c r="D610" s="26">
        <v>0.4138880787037037</v>
      </c>
      <c r="E610" s="26">
        <v>0.4136513078703704</v>
      </c>
      <c r="F610" s="33">
        <f t="shared" si="1"/>
        <v>0.34095</v>
      </c>
      <c r="G610" s="8"/>
      <c r="H610" s="8"/>
      <c r="I610" s="8"/>
    </row>
    <row r="611" ht="15.75" customHeight="1">
      <c r="A611" s="19"/>
      <c r="B611" s="21">
        <v>609.0</v>
      </c>
      <c r="C611" s="23">
        <v>46266.0</v>
      </c>
      <c r="D611" s="26">
        <v>0.4139156944444444</v>
      </c>
      <c r="E611" s="26">
        <v>0.4138880787037037</v>
      </c>
      <c r="F611" s="33">
        <f t="shared" si="1"/>
        <v>0.03976666667</v>
      </c>
      <c r="G611" s="8"/>
      <c r="H611" s="8"/>
      <c r="I611" s="8"/>
    </row>
    <row r="612" ht="15.75" customHeight="1">
      <c r="A612" s="19"/>
      <c r="B612" s="21">
        <v>610.0</v>
      </c>
      <c r="C612" s="23">
        <v>46266.0</v>
      </c>
      <c r="D612" s="26">
        <v>0.4139505208333333</v>
      </c>
      <c r="E612" s="26">
        <v>0.4139156944444444</v>
      </c>
      <c r="F612" s="33">
        <f t="shared" si="1"/>
        <v>0.05015</v>
      </c>
      <c r="G612" s="8"/>
      <c r="H612" s="8"/>
      <c r="I612" s="8"/>
    </row>
    <row r="613" ht="15.75" customHeight="1">
      <c r="A613" s="19"/>
      <c r="B613" s="21">
        <v>611.0</v>
      </c>
      <c r="C613" s="23">
        <v>46266.0</v>
      </c>
      <c r="D613" s="26">
        <v>0.4142078009259259</v>
      </c>
      <c r="E613" s="26">
        <v>0.4139505208333333</v>
      </c>
      <c r="F613" s="33">
        <f t="shared" si="1"/>
        <v>0.3704833333</v>
      </c>
      <c r="G613" s="8"/>
      <c r="H613" s="8"/>
      <c r="I613" s="8"/>
    </row>
    <row r="614" ht="15.75" customHeight="1">
      <c r="A614" s="19"/>
      <c r="B614" s="21">
        <v>612.0</v>
      </c>
      <c r="C614" s="23">
        <v>46266.0</v>
      </c>
      <c r="D614" s="26">
        <v>0.4144481018518518</v>
      </c>
      <c r="E614" s="26">
        <v>0.4142078009259259</v>
      </c>
      <c r="F614" s="33">
        <f t="shared" si="1"/>
        <v>0.3460333333</v>
      </c>
      <c r="G614" s="8"/>
      <c r="H614" s="8"/>
      <c r="I614" s="8"/>
    </row>
    <row r="615" ht="15.75" customHeight="1">
      <c r="A615" s="19"/>
      <c r="B615" s="21">
        <v>613.0</v>
      </c>
      <c r="C615" s="23">
        <v>46266.0</v>
      </c>
      <c r="D615" s="26">
        <v>0.4145434606481482</v>
      </c>
      <c r="E615" s="26">
        <v>0.4144481018518518</v>
      </c>
      <c r="F615" s="33">
        <f t="shared" si="1"/>
        <v>0.1373166667</v>
      </c>
      <c r="G615" s="8"/>
      <c r="H615" s="8"/>
      <c r="I615" s="8"/>
    </row>
    <row r="616" ht="15.75" customHeight="1">
      <c r="A616" s="19"/>
      <c r="B616" s="21">
        <v>614.0</v>
      </c>
      <c r="C616" s="23">
        <v>46266.0</v>
      </c>
      <c r="D616" s="26">
        <v>0.4146857175925925</v>
      </c>
      <c r="E616" s="26">
        <v>0.4145434606481482</v>
      </c>
      <c r="F616" s="33">
        <f t="shared" si="1"/>
        <v>0.20485</v>
      </c>
      <c r="G616" s="8"/>
      <c r="H616" s="8"/>
      <c r="I616" s="8"/>
    </row>
    <row r="617" ht="15.75" customHeight="1">
      <c r="A617" s="19"/>
      <c r="B617" s="21">
        <v>615.0</v>
      </c>
      <c r="C617" s="23">
        <v>46266.0</v>
      </c>
      <c r="D617" s="26">
        <v>0.4153384953703704</v>
      </c>
      <c r="E617" s="26">
        <v>0.4146857175925925</v>
      </c>
      <c r="F617" s="33">
        <f t="shared" si="1"/>
        <v>0.94</v>
      </c>
      <c r="G617" s="8"/>
      <c r="H617" s="8"/>
      <c r="I617" s="8"/>
    </row>
    <row r="618" ht="15.75" customHeight="1">
      <c r="A618" s="19"/>
      <c r="B618" s="21">
        <v>616.0</v>
      </c>
      <c r="C618" s="23">
        <v>46266.0</v>
      </c>
      <c r="D618" s="26">
        <v>0.4155199768518518</v>
      </c>
      <c r="E618" s="26">
        <v>0.4153384953703704</v>
      </c>
      <c r="F618" s="33">
        <f t="shared" si="1"/>
        <v>0.2613333333</v>
      </c>
      <c r="G618" s="8"/>
      <c r="H618" s="8"/>
      <c r="I618" s="8"/>
    </row>
    <row r="619" ht="15.75" customHeight="1">
      <c r="A619" s="19"/>
      <c r="B619" s="21">
        <v>617.0</v>
      </c>
      <c r="C619" s="23">
        <v>46266.0</v>
      </c>
      <c r="D619" s="26">
        <v>0.4156584143518519</v>
      </c>
      <c r="E619" s="26">
        <v>0.4155199768518518</v>
      </c>
      <c r="F619" s="33">
        <f t="shared" si="1"/>
        <v>0.19935</v>
      </c>
      <c r="G619" s="8"/>
      <c r="H619" s="8"/>
      <c r="I619" s="8"/>
    </row>
    <row r="620" ht="15.75" customHeight="1">
      <c r="A620" s="19"/>
      <c r="B620" s="21">
        <v>618.0</v>
      </c>
      <c r="C620" s="23">
        <v>46267.0</v>
      </c>
      <c r="D620" s="26">
        <v>0.3757363888888889</v>
      </c>
      <c r="E620" s="26">
        <v>0.3756558680555556</v>
      </c>
      <c r="F620" s="33">
        <f t="shared" si="1"/>
        <v>0.11595</v>
      </c>
      <c r="G620" s="8"/>
      <c r="H620" s="8"/>
      <c r="I620" s="8"/>
    </row>
    <row r="621" ht="15.75" customHeight="1">
      <c r="A621" s="19"/>
      <c r="B621" s="21">
        <v>619.0</v>
      </c>
      <c r="C621" s="23">
        <v>46267.0</v>
      </c>
      <c r="D621" s="26">
        <v>0.3766538194444444</v>
      </c>
      <c r="E621" s="26">
        <v>0.3757363888888889</v>
      </c>
      <c r="F621" s="33">
        <f t="shared" si="1"/>
        <v>1.3211</v>
      </c>
      <c r="G621" s="8"/>
      <c r="H621" s="8"/>
      <c r="I621" s="8"/>
    </row>
    <row r="622" ht="15.75" customHeight="1">
      <c r="A622" s="19"/>
      <c r="B622" s="21">
        <v>620.0</v>
      </c>
      <c r="C622" s="23">
        <v>46267.0</v>
      </c>
      <c r="D622" s="26">
        <v>0.3768845023148148</v>
      </c>
      <c r="E622" s="26">
        <v>0.3766538194444444</v>
      </c>
      <c r="F622" s="33">
        <f t="shared" si="1"/>
        <v>0.3321833333</v>
      </c>
      <c r="G622" s="8"/>
      <c r="H622" s="8"/>
      <c r="I622" s="8"/>
    </row>
    <row r="623" ht="15.75" customHeight="1">
      <c r="A623" s="19"/>
      <c r="B623" s="21">
        <v>621.0</v>
      </c>
      <c r="C623" s="23">
        <v>46267.0</v>
      </c>
      <c r="D623" s="26">
        <v>0.3770916782407407</v>
      </c>
      <c r="E623" s="26">
        <v>0.3768845023148148</v>
      </c>
      <c r="F623" s="33">
        <f t="shared" si="1"/>
        <v>0.2983333333</v>
      </c>
      <c r="G623" s="8"/>
      <c r="H623" s="8"/>
      <c r="I623" s="8"/>
    </row>
    <row r="624" ht="15.75" customHeight="1">
      <c r="A624" s="19"/>
      <c r="B624" s="21">
        <v>622.0</v>
      </c>
      <c r="C624" s="23">
        <v>46267.0</v>
      </c>
      <c r="D624" s="26">
        <v>0.3779096990740741</v>
      </c>
      <c r="E624" s="26">
        <v>0.3770916782407407</v>
      </c>
      <c r="F624" s="33">
        <f t="shared" si="1"/>
        <v>1.17795</v>
      </c>
      <c r="G624" s="8"/>
      <c r="H624" s="8"/>
      <c r="I624" s="8"/>
    </row>
    <row r="625" ht="15.75" customHeight="1">
      <c r="A625" s="19"/>
      <c r="B625" s="21">
        <v>623.0</v>
      </c>
      <c r="C625" s="23">
        <v>46267.0</v>
      </c>
      <c r="D625" s="26">
        <v>0.3779401273148148</v>
      </c>
      <c r="E625" s="26">
        <v>0.3779096990740741</v>
      </c>
      <c r="F625" s="33">
        <f t="shared" si="1"/>
        <v>0.04381666667</v>
      </c>
      <c r="G625" s="8"/>
      <c r="H625" s="8"/>
      <c r="I625" s="8"/>
    </row>
    <row r="626" ht="15.75" customHeight="1">
      <c r="A626" s="19"/>
      <c r="B626" s="21">
        <v>624.0</v>
      </c>
      <c r="C626" s="23">
        <v>46267.0</v>
      </c>
      <c r="D626" s="26">
        <v>0.3780887152777778</v>
      </c>
      <c r="E626" s="26">
        <v>0.3779401273148148</v>
      </c>
      <c r="F626" s="33">
        <f t="shared" si="1"/>
        <v>0.2139666667</v>
      </c>
      <c r="G626" s="8"/>
      <c r="H626" s="8"/>
      <c r="I626" s="8"/>
    </row>
    <row r="627" ht="15.75" customHeight="1">
      <c r="A627" s="19"/>
      <c r="B627" s="21">
        <v>625.0</v>
      </c>
      <c r="C627" s="23">
        <v>46267.0</v>
      </c>
      <c r="D627" s="26">
        <v>0.3785037037037037</v>
      </c>
      <c r="E627" s="26">
        <v>0.3780887152777778</v>
      </c>
      <c r="F627" s="33">
        <f t="shared" si="1"/>
        <v>0.5975833333</v>
      </c>
      <c r="G627" s="8"/>
      <c r="H627" s="8"/>
      <c r="I627" s="8"/>
    </row>
    <row r="628" ht="15.75" customHeight="1">
      <c r="A628" s="19"/>
      <c r="B628" s="21">
        <v>626.0</v>
      </c>
      <c r="C628" s="23">
        <v>46267.0</v>
      </c>
      <c r="D628" s="26">
        <v>0.3788477083333333</v>
      </c>
      <c r="E628" s="26">
        <v>0.3785037037037037</v>
      </c>
      <c r="F628" s="33">
        <f t="shared" si="1"/>
        <v>0.4953666667</v>
      </c>
      <c r="G628" s="8"/>
      <c r="H628" s="8"/>
      <c r="I628" s="8"/>
    </row>
    <row r="629" ht="15.75" customHeight="1">
      <c r="A629" s="19"/>
      <c r="B629" s="21">
        <v>627.0</v>
      </c>
      <c r="C629" s="23">
        <v>46267.0</v>
      </c>
      <c r="D629" s="26">
        <v>0.379121412037037</v>
      </c>
      <c r="E629" s="26">
        <v>0.3788477083333333</v>
      </c>
      <c r="F629" s="33">
        <f t="shared" si="1"/>
        <v>0.3941333333</v>
      </c>
      <c r="G629" s="8"/>
      <c r="H629" s="8"/>
      <c r="I629" s="8"/>
    </row>
    <row r="630" ht="15.75" customHeight="1">
      <c r="A630" s="19"/>
      <c r="B630" s="21">
        <v>628.0</v>
      </c>
      <c r="C630" s="23">
        <v>46267.0</v>
      </c>
      <c r="D630" s="26">
        <v>0.3799483912037037</v>
      </c>
      <c r="E630" s="26">
        <v>0.379121412037037</v>
      </c>
      <c r="F630" s="33">
        <f t="shared" si="1"/>
        <v>1.19085</v>
      </c>
      <c r="G630" s="8"/>
      <c r="H630" s="8"/>
      <c r="I630" s="8"/>
    </row>
    <row r="631" ht="15.75" customHeight="1">
      <c r="A631" s="19"/>
      <c r="B631" s="21">
        <v>629.0</v>
      </c>
      <c r="C631" s="23">
        <v>46267.0</v>
      </c>
      <c r="D631" s="26">
        <v>0.3809956134259259</v>
      </c>
      <c r="E631" s="26">
        <v>0.3799483912037037</v>
      </c>
      <c r="F631" s="33">
        <f t="shared" si="1"/>
        <v>1.508</v>
      </c>
      <c r="G631" s="8"/>
      <c r="H631" s="8"/>
      <c r="I631" s="8"/>
    </row>
    <row r="632" ht="15.75" customHeight="1">
      <c r="A632" s="19"/>
      <c r="B632" s="21">
        <v>630.0</v>
      </c>
      <c r="C632" s="23">
        <v>46267.0</v>
      </c>
      <c r="D632" s="26">
        <v>0.3813942476851852</v>
      </c>
      <c r="E632" s="26">
        <v>0.3809956134259259</v>
      </c>
      <c r="F632" s="33">
        <f t="shared" si="1"/>
        <v>0.5740333333</v>
      </c>
      <c r="G632" s="8"/>
      <c r="H632" s="8"/>
      <c r="I632" s="8"/>
    </row>
    <row r="633" ht="15.75" customHeight="1">
      <c r="A633" s="19"/>
      <c r="B633" s="21">
        <v>631.0</v>
      </c>
      <c r="C633" s="23">
        <v>46267.0</v>
      </c>
      <c r="D633" s="26">
        <v>0.3816687152777778</v>
      </c>
      <c r="E633" s="26">
        <v>0.3813942476851852</v>
      </c>
      <c r="F633" s="33">
        <f t="shared" si="1"/>
        <v>0.3952333333</v>
      </c>
      <c r="G633" s="8"/>
      <c r="H633" s="8"/>
      <c r="I633" s="8"/>
    </row>
    <row r="634" ht="15.75" customHeight="1">
      <c r="A634" s="19"/>
      <c r="B634" s="21">
        <v>632.0</v>
      </c>
      <c r="C634" s="23">
        <v>46267.0</v>
      </c>
      <c r="D634" s="26">
        <v>0.3825301041666667</v>
      </c>
      <c r="E634" s="26">
        <v>0.3816687152777778</v>
      </c>
      <c r="F634" s="33">
        <f t="shared" si="1"/>
        <v>1.2404</v>
      </c>
      <c r="G634" s="8"/>
      <c r="H634" s="8"/>
      <c r="I634" s="8"/>
    </row>
    <row r="635" ht="15.75" customHeight="1">
      <c r="A635" s="19"/>
      <c r="B635" s="21">
        <v>633.0</v>
      </c>
      <c r="C635" s="23">
        <v>46267.0</v>
      </c>
      <c r="D635" s="26">
        <v>0.3826426388888889</v>
      </c>
      <c r="E635" s="26">
        <v>0.3825301041666667</v>
      </c>
      <c r="F635" s="33">
        <f t="shared" si="1"/>
        <v>0.16205</v>
      </c>
      <c r="G635" s="8"/>
      <c r="H635" s="8"/>
      <c r="I635" s="8"/>
    </row>
    <row r="636" ht="15.75" customHeight="1">
      <c r="A636" s="19"/>
      <c r="B636" s="21">
        <v>634.0</v>
      </c>
      <c r="C636" s="23">
        <v>46267.0</v>
      </c>
      <c r="D636" s="26">
        <v>0.3827542013888889</v>
      </c>
      <c r="E636" s="26">
        <v>0.3826426388888889</v>
      </c>
      <c r="F636" s="33">
        <f t="shared" si="1"/>
        <v>0.16065</v>
      </c>
      <c r="G636" s="8"/>
      <c r="H636" s="8"/>
      <c r="I636" s="8"/>
    </row>
    <row r="637" ht="15.75" customHeight="1">
      <c r="A637" s="19"/>
      <c r="B637" s="21">
        <v>635.0</v>
      </c>
      <c r="C637" s="23">
        <v>46267.0</v>
      </c>
      <c r="D637" s="26">
        <v>0.3839654166666667</v>
      </c>
      <c r="E637" s="26">
        <v>0.3827542013888889</v>
      </c>
      <c r="F637" s="33">
        <f t="shared" si="1"/>
        <v>1.74415</v>
      </c>
      <c r="G637" s="8"/>
      <c r="H637" s="8"/>
      <c r="I637" s="8"/>
    </row>
    <row r="638" ht="15.75" customHeight="1">
      <c r="A638" s="19"/>
      <c r="B638" s="21">
        <v>636.0</v>
      </c>
      <c r="C638" s="23">
        <v>46267.0</v>
      </c>
      <c r="D638" s="26">
        <v>0.3846238657407408</v>
      </c>
      <c r="E638" s="26">
        <v>0.3839654166666667</v>
      </c>
      <c r="F638" s="33">
        <f t="shared" si="1"/>
        <v>0.9481666667</v>
      </c>
      <c r="G638" s="8"/>
      <c r="H638" s="8"/>
      <c r="I638" s="8"/>
    </row>
    <row r="639" ht="15.75" customHeight="1">
      <c r="A639" s="19"/>
      <c r="B639" s="21">
        <v>637.0</v>
      </c>
      <c r="C639" s="23">
        <v>46267.0</v>
      </c>
      <c r="D639" s="26">
        <v>0.3852620023148148</v>
      </c>
      <c r="E639" s="26">
        <v>0.3846238657407408</v>
      </c>
      <c r="F639" s="33">
        <f t="shared" si="1"/>
        <v>0.9189166667</v>
      </c>
      <c r="G639" s="8"/>
      <c r="H639" s="8"/>
      <c r="I639" s="8"/>
    </row>
    <row r="640" ht="15.75" customHeight="1">
      <c r="A640" s="19"/>
      <c r="B640" s="21">
        <v>638.0</v>
      </c>
      <c r="C640" s="23">
        <v>46267.0</v>
      </c>
      <c r="D640" s="26">
        <v>0.385631400462963</v>
      </c>
      <c r="E640" s="26">
        <v>0.3852620023148148</v>
      </c>
      <c r="F640" s="33">
        <f t="shared" si="1"/>
        <v>0.5319333333</v>
      </c>
      <c r="G640" s="8"/>
      <c r="H640" s="8"/>
      <c r="I640" s="8"/>
    </row>
    <row r="641" ht="15.75" customHeight="1">
      <c r="A641" s="19"/>
      <c r="B641" s="21">
        <v>639.0</v>
      </c>
      <c r="C641" s="23">
        <v>46267.0</v>
      </c>
      <c r="D641" s="26">
        <v>0.3862127314814814</v>
      </c>
      <c r="E641" s="26">
        <v>0.385631400462963</v>
      </c>
      <c r="F641" s="33">
        <f t="shared" si="1"/>
        <v>0.8371166667</v>
      </c>
      <c r="G641" s="8"/>
      <c r="H641" s="8"/>
      <c r="I641" s="8"/>
    </row>
    <row r="642" ht="15.75" customHeight="1">
      <c r="A642" s="19"/>
      <c r="B642" s="21">
        <v>640.0</v>
      </c>
      <c r="C642" s="23">
        <v>46267.0</v>
      </c>
      <c r="D642" s="26">
        <v>0.3869411805555555</v>
      </c>
      <c r="E642" s="26">
        <v>0.3862127314814814</v>
      </c>
      <c r="F642" s="33">
        <f t="shared" si="1"/>
        <v>1.048966667</v>
      </c>
      <c r="G642" s="8"/>
      <c r="H642" s="8"/>
      <c r="I642" s="8"/>
    </row>
    <row r="643" ht="15.75" customHeight="1">
      <c r="A643" s="19"/>
      <c r="B643" s="21">
        <v>641.0</v>
      </c>
      <c r="C643" s="23">
        <v>46267.0</v>
      </c>
      <c r="D643" s="26">
        <v>0.3876703703703704</v>
      </c>
      <c r="E643" s="26">
        <v>0.3869411805555555</v>
      </c>
      <c r="F643" s="33">
        <f t="shared" si="1"/>
        <v>1.050033333</v>
      </c>
      <c r="G643" s="8"/>
      <c r="H643" s="8"/>
      <c r="I643" s="8"/>
    </row>
    <row r="644" ht="15.75" customHeight="1">
      <c r="A644" s="19"/>
      <c r="B644" s="21">
        <v>642.0</v>
      </c>
      <c r="C644" s="23">
        <v>46267.0</v>
      </c>
      <c r="D644" s="26">
        <v>0.3877147453703703</v>
      </c>
      <c r="E644" s="26">
        <v>0.3876703703703704</v>
      </c>
      <c r="F644" s="33">
        <f t="shared" si="1"/>
        <v>0.0639</v>
      </c>
      <c r="G644" s="8"/>
      <c r="H644" s="8"/>
      <c r="I644" s="8"/>
    </row>
    <row r="645" ht="15.75" customHeight="1">
      <c r="A645" s="19"/>
      <c r="B645" s="21">
        <v>643.0</v>
      </c>
      <c r="C645" s="23">
        <v>46267.0</v>
      </c>
      <c r="D645" s="26">
        <v>0.3880534722222222</v>
      </c>
      <c r="E645" s="26">
        <v>0.3877147453703703</v>
      </c>
      <c r="F645" s="33">
        <f t="shared" si="1"/>
        <v>0.4877666667</v>
      </c>
      <c r="G645" s="8"/>
      <c r="H645" s="8"/>
      <c r="I645" s="8"/>
    </row>
    <row r="646" ht="15.75" customHeight="1">
      <c r="A646" s="19"/>
      <c r="B646" s="21">
        <v>644.0</v>
      </c>
      <c r="C646" s="23">
        <v>46267.0</v>
      </c>
      <c r="D646" s="26">
        <v>0.3898090162037037</v>
      </c>
      <c r="E646" s="26">
        <v>0.3880534722222222</v>
      </c>
      <c r="F646" s="33">
        <f t="shared" si="1"/>
        <v>2.527983333</v>
      </c>
      <c r="G646" s="8"/>
      <c r="H646" s="8"/>
      <c r="I646" s="8"/>
    </row>
    <row r="647" ht="15.75" customHeight="1">
      <c r="A647" s="19"/>
      <c r="B647" s="21">
        <v>645.0</v>
      </c>
      <c r="C647" s="23">
        <v>46267.0</v>
      </c>
      <c r="D647" s="26">
        <v>0.3901359259259259</v>
      </c>
      <c r="E647" s="26">
        <v>0.3898090162037037</v>
      </c>
      <c r="F647" s="33">
        <f t="shared" si="1"/>
        <v>0.47075</v>
      </c>
      <c r="G647" s="8"/>
      <c r="H647" s="8"/>
      <c r="I647" s="8"/>
    </row>
    <row r="648" ht="15.75" customHeight="1">
      <c r="A648" s="19"/>
      <c r="B648" s="21">
        <v>646.0</v>
      </c>
      <c r="C648" s="23">
        <v>46267.0</v>
      </c>
      <c r="D648" s="26">
        <v>0.3902941666666667</v>
      </c>
      <c r="E648" s="26">
        <v>0.3901359259259259</v>
      </c>
      <c r="F648" s="33">
        <f t="shared" si="1"/>
        <v>0.2278666667</v>
      </c>
      <c r="G648" s="8"/>
      <c r="H648" s="8"/>
      <c r="I648" s="8"/>
    </row>
    <row r="649" ht="15.75" customHeight="1">
      <c r="A649" s="19"/>
      <c r="B649" s="21">
        <v>647.0</v>
      </c>
      <c r="C649" s="23">
        <v>46267.0</v>
      </c>
      <c r="D649" s="26">
        <v>0.3911334490740741</v>
      </c>
      <c r="E649" s="26">
        <v>0.3902941666666667</v>
      </c>
      <c r="F649" s="33">
        <f t="shared" si="1"/>
        <v>1.208566667</v>
      </c>
      <c r="G649" s="8"/>
      <c r="H649" s="8"/>
      <c r="I649" s="8"/>
    </row>
    <row r="650" ht="15.75" customHeight="1">
      <c r="A650" s="19"/>
      <c r="B650" s="21">
        <v>648.0</v>
      </c>
      <c r="C650" s="23">
        <v>46267.0</v>
      </c>
      <c r="D650" s="26">
        <v>0.3924020023148149</v>
      </c>
      <c r="E650" s="26">
        <v>0.3911334490740741</v>
      </c>
      <c r="F650" s="33">
        <f t="shared" si="1"/>
        <v>1.826716667</v>
      </c>
      <c r="G650" s="8"/>
      <c r="H650" s="8"/>
      <c r="I650" s="8"/>
    </row>
    <row r="651" ht="15.75" customHeight="1">
      <c r="A651" s="19"/>
      <c r="B651" s="21">
        <v>649.0</v>
      </c>
      <c r="C651" s="23">
        <v>46267.0</v>
      </c>
      <c r="D651" s="26">
        <v>0.3927047337962963</v>
      </c>
      <c r="E651" s="26">
        <v>0.3924020023148149</v>
      </c>
      <c r="F651" s="33">
        <f t="shared" si="1"/>
        <v>0.4359333333</v>
      </c>
      <c r="G651" s="8"/>
      <c r="H651" s="8"/>
      <c r="I651" s="8"/>
    </row>
    <row r="652" ht="15.75" customHeight="1">
      <c r="A652" s="19"/>
      <c r="B652" s="21">
        <v>650.0</v>
      </c>
      <c r="C652" s="23">
        <v>46267.0</v>
      </c>
      <c r="D652" s="26">
        <v>0.3929691666666666</v>
      </c>
      <c r="E652" s="26">
        <v>0.3927047337962963</v>
      </c>
      <c r="F652" s="33">
        <f t="shared" si="1"/>
        <v>0.3807833333</v>
      </c>
      <c r="G652" s="8"/>
      <c r="H652" s="8"/>
      <c r="I652" s="8"/>
    </row>
    <row r="653" ht="15.75" customHeight="1">
      <c r="A653" s="19"/>
      <c r="B653" s="21">
        <v>651.0</v>
      </c>
      <c r="C653" s="23">
        <v>46267.0</v>
      </c>
      <c r="D653" s="26">
        <v>0.3929873611111111</v>
      </c>
      <c r="E653" s="26">
        <v>0.3929691666666666</v>
      </c>
      <c r="F653" s="33">
        <f t="shared" si="1"/>
        <v>0.0262</v>
      </c>
      <c r="G653" s="8"/>
      <c r="H653" s="8"/>
      <c r="I653" s="8"/>
    </row>
    <row r="654" ht="15.75" customHeight="1">
      <c r="A654" s="19"/>
      <c r="B654" s="21">
        <v>652.0</v>
      </c>
      <c r="C654" s="23">
        <v>46267.0</v>
      </c>
      <c r="D654" s="26">
        <v>0.3931558449074074</v>
      </c>
      <c r="E654" s="26">
        <v>0.3929873611111111</v>
      </c>
      <c r="F654" s="33">
        <f t="shared" si="1"/>
        <v>0.2426166667</v>
      </c>
      <c r="G654" s="8"/>
      <c r="H654" s="8"/>
      <c r="I654" s="8"/>
    </row>
    <row r="655" ht="15.75" customHeight="1">
      <c r="A655" s="19"/>
      <c r="B655" s="21">
        <v>653.0</v>
      </c>
      <c r="C655" s="23">
        <v>46267.0</v>
      </c>
      <c r="D655" s="26">
        <v>0.3932349768518519</v>
      </c>
      <c r="E655" s="26">
        <v>0.3931558449074074</v>
      </c>
      <c r="F655" s="33">
        <f t="shared" si="1"/>
        <v>0.11395</v>
      </c>
      <c r="G655" s="8"/>
      <c r="H655" s="8"/>
      <c r="I655" s="8"/>
    </row>
    <row r="656" ht="15.75" customHeight="1">
      <c r="A656" s="19"/>
      <c r="B656" s="21">
        <v>654.0</v>
      </c>
      <c r="C656" s="23">
        <v>46267.0</v>
      </c>
      <c r="D656" s="26">
        <v>0.3937421990740741</v>
      </c>
      <c r="E656" s="26">
        <v>0.3932349768518519</v>
      </c>
      <c r="F656" s="33">
        <f t="shared" si="1"/>
        <v>0.7304</v>
      </c>
      <c r="G656" s="8"/>
      <c r="H656" s="8"/>
      <c r="I656" s="8"/>
    </row>
    <row r="657" ht="15.75" customHeight="1">
      <c r="A657" s="19"/>
      <c r="B657" s="21">
        <v>655.0</v>
      </c>
      <c r="C657" s="23">
        <v>46267.0</v>
      </c>
      <c r="D657" s="26">
        <v>0.3940326851851852</v>
      </c>
      <c r="E657" s="26">
        <v>0.3937421990740741</v>
      </c>
      <c r="F657" s="33">
        <f t="shared" si="1"/>
        <v>0.4183</v>
      </c>
      <c r="G657" s="8"/>
      <c r="H657" s="8"/>
      <c r="I657" s="8"/>
    </row>
    <row r="658" ht="15.75" customHeight="1">
      <c r="A658" s="19"/>
      <c r="B658" s="21">
        <v>656.0</v>
      </c>
      <c r="C658" s="23">
        <v>46267.0</v>
      </c>
      <c r="D658" s="26">
        <v>0.3953797685185185</v>
      </c>
      <c r="E658" s="26">
        <v>0.3940326851851852</v>
      </c>
      <c r="F658" s="33">
        <f t="shared" si="1"/>
        <v>1.9398</v>
      </c>
      <c r="G658" s="8"/>
      <c r="H658" s="8"/>
      <c r="I658" s="8"/>
    </row>
    <row r="659" ht="15.75" customHeight="1">
      <c r="A659" s="19"/>
      <c r="B659" s="21">
        <v>657.0</v>
      </c>
      <c r="C659" s="23">
        <v>46267.0</v>
      </c>
      <c r="D659" s="26">
        <v>0.3954742708333333</v>
      </c>
      <c r="E659" s="26">
        <v>0.3953797685185185</v>
      </c>
      <c r="F659" s="33">
        <f t="shared" si="1"/>
        <v>0.1360833333</v>
      </c>
      <c r="G659" s="8"/>
      <c r="H659" s="8"/>
      <c r="I659" s="8"/>
    </row>
    <row r="660" ht="15.75" customHeight="1">
      <c r="A660" s="19"/>
      <c r="B660" s="21">
        <v>658.0</v>
      </c>
      <c r="C660" s="23">
        <v>46267.0</v>
      </c>
      <c r="D660" s="26">
        <v>0.3957400347222222</v>
      </c>
      <c r="E660" s="26">
        <v>0.3954742708333333</v>
      </c>
      <c r="F660" s="33">
        <f t="shared" si="1"/>
        <v>0.3827</v>
      </c>
      <c r="G660" s="8"/>
      <c r="H660" s="8"/>
      <c r="I660" s="8"/>
    </row>
    <row r="661" ht="15.75" customHeight="1">
      <c r="A661" s="19"/>
      <c r="B661" s="21">
        <v>659.0</v>
      </c>
      <c r="C661" s="23">
        <v>46267.0</v>
      </c>
      <c r="D661" s="26">
        <v>0.3967378356481481</v>
      </c>
      <c r="E661" s="26">
        <v>0.3957400347222222</v>
      </c>
      <c r="F661" s="33">
        <f t="shared" si="1"/>
        <v>1.436833333</v>
      </c>
      <c r="G661" s="8"/>
      <c r="H661" s="8"/>
      <c r="I661" s="8"/>
    </row>
    <row r="662" ht="15.75" customHeight="1">
      <c r="A662" s="19"/>
      <c r="B662" s="21">
        <v>660.0</v>
      </c>
      <c r="C662" s="23">
        <v>46267.0</v>
      </c>
      <c r="D662" s="26">
        <v>0.396801400462963</v>
      </c>
      <c r="E662" s="26">
        <v>0.3967378356481481</v>
      </c>
      <c r="F662" s="33">
        <f t="shared" si="1"/>
        <v>0.09153333333</v>
      </c>
      <c r="G662" s="8"/>
      <c r="H662" s="8"/>
      <c r="I662" s="8"/>
    </row>
    <row r="663" ht="15.75" customHeight="1">
      <c r="A663" s="19"/>
      <c r="B663" s="21">
        <v>661.0</v>
      </c>
      <c r="C663" s="23">
        <v>46267.0</v>
      </c>
      <c r="D663" s="26">
        <v>0.3976637152777777</v>
      </c>
      <c r="E663" s="26">
        <v>0.396801400462963</v>
      </c>
      <c r="F663" s="33">
        <f t="shared" si="1"/>
        <v>1.241733333</v>
      </c>
      <c r="G663" s="8"/>
      <c r="H663" s="8"/>
      <c r="I663" s="8"/>
    </row>
    <row r="664" ht="15.75" customHeight="1">
      <c r="A664" s="19"/>
      <c r="B664" s="21">
        <v>662.0</v>
      </c>
      <c r="C664" s="23">
        <v>46267.0</v>
      </c>
      <c r="D664" s="26">
        <v>0.3980902430555556</v>
      </c>
      <c r="E664" s="26">
        <v>0.3976637152777777</v>
      </c>
      <c r="F664" s="33">
        <f t="shared" si="1"/>
        <v>0.6142</v>
      </c>
      <c r="G664" s="8"/>
      <c r="H664" s="8"/>
      <c r="I664" s="8"/>
    </row>
    <row r="665" ht="15.75" customHeight="1">
      <c r="A665" s="19"/>
      <c r="B665" s="21">
        <v>663.0</v>
      </c>
      <c r="C665" s="23">
        <v>46267.0</v>
      </c>
      <c r="D665" s="26">
        <v>0.398106875</v>
      </c>
      <c r="E665" s="26">
        <v>0.3980902430555556</v>
      </c>
      <c r="F665" s="33">
        <f t="shared" si="1"/>
        <v>0.02395</v>
      </c>
      <c r="G665" s="8"/>
      <c r="H665" s="8"/>
      <c r="I665" s="8"/>
    </row>
    <row r="666" ht="15.75" customHeight="1">
      <c r="A666" s="19"/>
      <c r="B666" s="21">
        <v>664.0</v>
      </c>
      <c r="C666" s="23">
        <v>46267.0</v>
      </c>
      <c r="D666" s="26">
        <v>0.3998086226851851</v>
      </c>
      <c r="E666" s="26">
        <v>0.398106875</v>
      </c>
      <c r="F666" s="33">
        <f t="shared" si="1"/>
        <v>2.450516667</v>
      </c>
      <c r="G666" s="8"/>
      <c r="H666" s="8"/>
      <c r="I666" s="8"/>
    </row>
    <row r="667" ht="15.75" customHeight="1">
      <c r="A667" s="19"/>
      <c r="B667" s="21">
        <v>665.0</v>
      </c>
      <c r="C667" s="23">
        <v>46267.0</v>
      </c>
      <c r="D667" s="26">
        <v>0.4000814236111112</v>
      </c>
      <c r="E667" s="26">
        <v>0.3998086226851851</v>
      </c>
      <c r="F667" s="33">
        <f t="shared" si="1"/>
        <v>0.3928333333</v>
      </c>
      <c r="G667" s="8"/>
      <c r="H667" s="8"/>
      <c r="I667" s="8"/>
    </row>
    <row r="668" ht="15.75" customHeight="1">
      <c r="A668" s="19"/>
      <c r="B668" s="21">
        <v>666.0</v>
      </c>
      <c r="C668" s="23">
        <v>46267.0</v>
      </c>
      <c r="D668" s="26">
        <v>0.4003945023148148</v>
      </c>
      <c r="E668" s="26">
        <v>0.4000814236111112</v>
      </c>
      <c r="F668" s="33">
        <f t="shared" si="1"/>
        <v>0.4508333333</v>
      </c>
      <c r="G668" s="8"/>
      <c r="H668" s="8"/>
      <c r="I668" s="8"/>
    </row>
    <row r="669" ht="15.75" customHeight="1">
      <c r="A669" s="19"/>
      <c r="B669" s="21">
        <v>667.0</v>
      </c>
      <c r="C669" s="23">
        <v>46267.0</v>
      </c>
      <c r="D669" s="26">
        <v>0.4008691087962963</v>
      </c>
      <c r="E669" s="26">
        <v>0.4003945023148148</v>
      </c>
      <c r="F669" s="33">
        <f t="shared" si="1"/>
        <v>0.6834333333</v>
      </c>
      <c r="G669" s="8"/>
      <c r="H669" s="8"/>
      <c r="I669" s="8"/>
    </row>
    <row r="670" ht="15.75" customHeight="1">
      <c r="A670" s="19"/>
      <c r="B670" s="21">
        <v>668.0</v>
      </c>
      <c r="C670" s="23">
        <v>46267.0</v>
      </c>
      <c r="D670" s="26">
        <v>0.4012059606481481</v>
      </c>
      <c r="E670" s="26">
        <v>0.4008691087962963</v>
      </c>
      <c r="F670" s="33">
        <f t="shared" si="1"/>
        <v>0.4850666667</v>
      </c>
      <c r="G670" s="8"/>
      <c r="H670" s="8"/>
      <c r="I670" s="8"/>
    </row>
    <row r="671" ht="15.75" customHeight="1">
      <c r="A671" s="19"/>
      <c r="B671" s="21">
        <v>669.0</v>
      </c>
      <c r="C671" s="23">
        <v>46267.0</v>
      </c>
      <c r="D671" s="26">
        <v>0.4027842013888889</v>
      </c>
      <c r="E671" s="26">
        <v>0.4012059606481481</v>
      </c>
      <c r="F671" s="33">
        <f t="shared" si="1"/>
        <v>2.272666667</v>
      </c>
      <c r="G671" s="8"/>
      <c r="H671" s="8"/>
      <c r="I671" s="8"/>
    </row>
    <row r="672" ht="15.75" customHeight="1">
      <c r="A672" s="19"/>
      <c r="B672" s="21">
        <v>670.0</v>
      </c>
      <c r="C672" s="23">
        <v>46267.0</v>
      </c>
      <c r="D672" s="26">
        <v>0.4035</v>
      </c>
      <c r="E672" s="26">
        <v>0.4027842013888889</v>
      </c>
      <c r="F672" s="33">
        <f t="shared" si="1"/>
        <v>1.03075</v>
      </c>
      <c r="G672" s="8"/>
      <c r="H672" s="8"/>
      <c r="I672" s="8"/>
    </row>
    <row r="673" ht="15.75" customHeight="1">
      <c r="A673" s="19"/>
      <c r="B673" s="21">
        <v>671.0</v>
      </c>
      <c r="C673" s="23">
        <v>46267.0</v>
      </c>
      <c r="D673" s="26">
        <v>0.4043949421296296</v>
      </c>
      <c r="E673" s="26">
        <v>0.4035</v>
      </c>
      <c r="F673" s="33">
        <f t="shared" si="1"/>
        <v>1.288716667</v>
      </c>
      <c r="G673" s="8"/>
      <c r="H673" s="8"/>
      <c r="I673" s="8"/>
    </row>
    <row r="674" ht="15.75" customHeight="1">
      <c r="A674" s="19"/>
      <c r="B674" s="21">
        <v>672.0</v>
      </c>
      <c r="C674" s="23">
        <v>46267.0</v>
      </c>
      <c r="D674" s="26">
        <v>0.4047682291666667</v>
      </c>
      <c r="E674" s="26">
        <v>0.4043949421296296</v>
      </c>
      <c r="F674" s="33">
        <f t="shared" si="1"/>
        <v>0.5375333333</v>
      </c>
      <c r="G674" s="8"/>
      <c r="H674" s="8"/>
      <c r="I674" s="8"/>
    </row>
    <row r="675" ht="15.75" customHeight="1">
      <c r="A675" s="19"/>
      <c r="B675" s="21">
        <v>673.0</v>
      </c>
      <c r="C675" s="23">
        <v>46267.0</v>
      </c>
      <c r="D675" s="26">
        <v>0.4058079861111111</v>
      </c>
      <c r="E675" s="26">
        <v>0.4047682291666667</v>
      </c>
      <c r="F675" s="33">
        <f t="shared" si="1"/>
        <v>1.49725</v>
      </c>
      <c r="G675" s="8"/>
      <c r="H675" s="8"/>
      <c r="I675" s="8"/>
    </row>
    <row r="676" ht="15.75" customHeight="1">
      <c r="A676" s="19"/>
      <c r="B676" s="21">
        <v>674.0</v>
      </c>
      <c r="C676" s="23">
        <v>46267.0</v>
      </c>
      <c r="D676" s="26">
        <v>0.4072655671296296</v>
      </c>
      <c r="E676" s="26">
        <v>0.4058079861111111</v>
      </c>
      <c r="F676" s="33">
        <f t="shared" si="1"/>
        <v>2.098916667</v>
      </c>
      <c r="G676" s="8"/>
      <c r="H676" s="8"/>
      <c r="I676" s="8"/>
    </row>
    <row r="677" ht="15.75" customHeight="1">
      <c r="A677" s="19"/>
      <c r="B677" s="21">
        <v>675.0</v>
      </c>
      <c r="C677" s="23">
        <v>46267.0</v>
      </c>
      <c r="D677" s="26">
        <v>0.4091868981481481</v>
      </c>
      <c r="E677" s="26">
        <v>0.4072655671296296</v>
      </c>
      <c r="F677" s="33">
        <f t="shared" si="1"/>
        <v>2.766716667</v>
      </c>
      <c r="G677" s="8"/>
      <c r="H677" s="8"/>
      <c r="I677" s="8"/>
    </row>
    <row r="678" ht="15.75" customHeight="1">
      <c r="A678" s="19"/>
      <c r="B678" s="21">
        <v>676.0</v>
      </c>
      <c r="C678" s="23">
        <v>46267.0</v>
      </c>
      <c r="D678" s="26">
        <v>0.4093821180555555</v>
      </c>
      <c r="E678" s="26">
        <v>0.4091868981481481</v>
      </c>
      <c r="F678" s="33">
        <f t="shared" si="1"/>
        <v>0.2811166667</v>
      </c>
      <c r="G678" s="8"/>
      <c r="H678" s="8"/>
      <c r="I678" s="8"/>
    </row>
    <row r="679" ht="15.75" customHeight="1">
      <c r="A679" s="19"/>
      <c r="B679" s="21">
        <v>677.0</v>
      </c>
      <c r="C679" s="23">
        <v>46267.0</v>
      </c>
      <c r="D679" s="26">
        <v>0.4099491898148148</v>
      </c>
      <c r="E679" s="26">
        <v>0.4093821180555555</v>
      </c>
      <c r="F679" s="33">
        <f t="shared" si="1"/>
        <v>0.8165833333</v>
      </c>
      <c r="G679" s="8"/>
      <c r="H679" s="8"/>
      <c r="I679" s="8"/>
    </row>
    <row r="680" ht="15.75" customHeight="1">
      <c r="A680" s="19"/>
      <c r="B680" s="21">
        <v>678.0</v>
      </c>
      <c r="C680" s="23">
        <v>46267.0</v>
      </c>
      <c r="D680" s="26">
        <v>0.4101743634259259</v>
      </c>
      <c r="E680" s="26">
        <v>0.4099491898148148</v>
      </c>
      <c r="F680" s="33">
        <f t="shared" si="1"/>
        <v>0.32425</v>
      </c>
      <c r="G680" s="8"/>
      <c r="H680" s="8"/>
      <c r="I680" s="8"/>
    </row>
    <row r="681" ht="15.75" customHeight="1">
      <c r="A681" s="19"/>
      <c r="B681" s="21">
        <v>679.0</v>
      </c>
      <c r="C681" s="23">
        <v>46267.0</v>
      </c>
      <c r="D681" s="26">
        <v>0.4103367361111111</v>
      </c>
      <c r="E681" s="26">
        <v>0.4101743634259259</v>
      </c>
      <c r="F681" s="33">
        <f t="shared" si="1"/>
        <v>0.2338166667</v>
      </c>
      <c r="G681" s="8"/>
      <c r="H681" s="8"/>
      <c r="I681" s="8"/>
    </row>
    <row r="682" ht="15.75" customHeight="1">
      <c r="A682" s="19"/>
      <c r="B682" s="21">
        <v>680.0</v>
      </c>
      <c r="C682" s="23">
        <v>46267.0</v>
      </c>
      <c r="D682" s="26">
        <v>0.4108006134259259</v>
      </c>
      <c r="E682" s="26">
        <v>0.4103367361111111</v>
      </c>
      <c r="F682" s="33">
        <f t="shared" si="1"/>
        <v>0.6679833333</v>
      </c>
      <c r="G682" s="8"/>
      <c r="H682" s="8"/>
      <c r="I682" s="8"/>
    </row>
    <row r="683" ht="15.75" customHeight="1">
      <c r="A683" s="19"/>
      <c r="B683" s="21">
        <v>681.0</v>
      </c>
      <c r="C683" s="23">
        <v>46267.0</v>
      </c>
      <c r="D683" s="26">
        <v>0.4128554398148148</v>
      </c>
      <c r="E683" s="26">
        <v>0.4108006134259259</v>
      </c>
      <c r="F683" s="33">
        <f t="shared" si="1"/>
        <v>2.95895</v>
      </c>
      <c r="G683" s="8"/>
      <c r="H683" s="8"/>
      <c r="I683" s="8"/>
    </row>
    <row r="684" ht="15.75" customHeight="1">
      <c r="A684" s="19"/>
      <c r="B684" s="21">
        <v>682.0</v>
      </c>
      <c r="C684" s="23">
        <v>46267.0</v>
      </c>
      <c r="D684" s="26">
        <v>0.4143583796296296</v>
      </c>
      <c r="E684" s="26">
        <v>0.4128554398148148</v>
      </c>
      <c r="F684" s="33">
        <f t="shared" si="1"/>
        <v>2.164233333</v>
      </c>
      <c r="G684" s="8"/>
      <c r="H684" s="8"/>
      <c r="I684" s="8"/>
    </row>
    <row r="685" ht="15.75" customHeight="1">
      <c r="A685" s="19"/>
      <c r="B685" s="21">
        <v>683.0</v>
      </c>
      <c r="C685" s="23">
        <v>46267.0</v>
      </c>
      <c r="D685" s="26">
        <v>0.4143707175925926</v>
      </c>
      <c r="E685" s="26">
        <v>0.4143583796296296</v>
      </c>
      <c r="F685" s="33">
        <f t="shared" si="1"/>
        <v>0.01776666667</v>
      </c>
      <c r="G685" s="8"/>
      <c r="H685" s="8"/>
      <c r="I685" s="8"/>
    </row>
    <row r="686" ht="15.75" customHeight="1">
      <c r="A686" s="19"/>
      <c r="B686" s="21">
        <v>684.0</v>
      </c>
      <c r="C686" s="23">
        <v>46267.0</v>
      </c>
      <c r="D686" s="26">
        <v>0.4144645601851852</v>
      </c>
      <c r="E686" s="26">
        <v>0.4143707175925926</v>
      </c>
      <c r="F686" s="33">
        <f t="shared" si="1"/>
        <v>0.1351333333</v>
      </c>
      <c r="G686" s="8"/>
      <c r="H686" s="8"/>
      <c r="I686" s="8"/>
    </row>
    <row r="687" ht="15.75" customHeight="1">
      <c r="A687" s="19"/>
      <c r="B687" s="21">
        <v>685.0</v>
      </c>
      <c r="C687" s="23">
        <v>46267.0</v>
      </c>
      <c r="D687" s="26">
        <v>0.4145000694444444</v>
      </c>
      <c r="E687" s="26">
        <v>0.4144645601851852</v>
      </c>
      <c r="F687" s="33">
        <f t="shared" si="1"/>
        <v>0.05113333333</v>
      </c>
      <c r="G687" s="8"/>
      <c r="H687" s="8"/>
      <c r="I687" s="8"/>
    </row>
    <row r="688" ht="15.75" customHeight="1">
      <c r="A688" s="19"/>
      <c r="B688" s="21">
        <v>686.0</v>
      </c>
      <c r="C688" s="23">
        <v>46267.0</v>
      </c>
      <c r="D688" s="26">
        <v>0.4145425810185185</v>
      </c>
      <c r="E688" s="26">
        <v>0.4145000694444444</v>
      </c>
      <c r="F688" s="33">
        <f t="shared" si="1"/>
        <v>0.06121666667</v>
      </c>
      <c r="G688" s="8"/>
      <c r="H688" s="8"/>
      <c r="I688" s="8"/>
    </row>
    <row r="689" ht="15.75" customHeight="1">
      <c r="A689" s="19"/>
      <c r="B689" s="21">
        <v>687.0</v>
      </c>
      <c r="C689" s="23">
        <v>46267.0</v>
      </c>
      <c r="D689" s="26">
        <v>0.4146919675925926</v>
      </c>
      <c r="E689" s="26">
        <v>0.4145425810185185</v>
      </c>
      <c r="F689" s="33">
        <f t="shared" si="1"/>
        <v>0.2151166667</v>
      </c>
      <c r="G689" s="8"/>
      <c r="H689" s="8"/>
      <c r="I689" s="8"/>
    </row>
    <row r="690" ht="15.75" customHeight="1">
      <c r="A690" s="19"/>
      <c r="B690" s="21">
        <v>688.0</v>
      </c>
      <c r="C690" s="23">
        <v>46267.0</v>
      </c>
      <c r="D690" s="26">
        <v>0.4147697569444445</v>
      </c>
      <c r="E690" s="26">
        <v>0.4146919675925926</v>
      </c>
      <c r="F690" s="33">
        <f t="shared" si="1"/>
        <v>0.1120166667</v>
      </c>
      <c r="G690" s="8"/>
      <c r="H690" s="8"/>
      <c r="I690" s="8"/>
    </row>
    <row r="691" ht="15.75" customHeight="1">
      <c r="A691" s="19"/>
      <c r="B691" s="21">
        <v>689.0</v>
      </c>
      <c r="C691" s="23">
        <v>46267.0</v>
      </c>
      <c r="D691" s="26">
        <v>0.415228449074074</v>
      </c>
      <c r="E691" s="26">
        <v>0.4147697569444445</v>
      </c>
      <c r="F691" s="33">
        <f t="shared" si="1"/>
        <v>0.6605166667</v>
      </c>
      <c r="G691" s="8"/>
      <c r="H691" s="8"/>
      <c r="I691" s="8"/>
    </row>
    <row r="692" ht="15.75" customHeight="1">
      <c r="A692" s="19"/>
      <c r="B692" s="21">
        <v>690.0</v>
      </c>
      <c r="C692" s="23">
        <v>46267.0</v>
      </c>
      <c r="D692" s="26">
        <v>0.4152508564814815</v>
      </c>
      <c r="E692" s="26">
        <v>0.415228449074074</v>
      </c>
      <c r="F692" s="33">
        <f t="shared" si="1"/>
        <v>0.03226666667</v>
      </c>
      <c r="G692" s="8"/>
      <c r="H692" s="8"/>
      <c r="I692" s="8"/>
    </row>
    <row r="693" ht="15.75" customHeight="1">
      <c r="A693" s="19"/>
      <c r="B693" s="21">
        <v>691.0</v>
      </c>
      <c r="C693" s="23">
        <v>46267.0</v>
      </c>
      <c r="D693" s="26">
        <v>0.4152584143518518</v>
      </c>
      <c r="E693" s="26">
        <v>0.4152508564814815</v>
      </c>
      <c r="F693" s="33">
        <f t="shared" si="1"/>
        <v>0.01088333333</v>
      </c>
      <c r="G693" s="8"/>
      <c r="H693" s="8"/>
      <c r="I693" s="8"/>
    </row>
    <row r="694" ht="15.75" customHeight="1">
      <c r="A694" s="19"/>
      <c r="B694" s="21">
        <v>692.0</v>
      </c>
      <c r="C694" s="23">
        <v>46267.0</v>
      </c>
      <c r="D694" s="26">
        <v>0.4153467245370371</v>
      </c>
      <c r="E694" s="26">
        <v>0.4152584143518518</v>
      </c>
      <c r="F694" s="33">
        <f t="shared" si="1"/>
        <v>0.1271666667</v>
      </c>
      <c r="G694" s="8"/>
      <c r="H694" s="8"/>
      <c r="I694" s="8"/>
    </row>
    <row r="695" ht="15.75" customHeight="1">
      <c r="A695" s="19"/>
      <c r="B695" s="21">
        <v>693.0</v>
      </c>
      <c r="C695" s="23">
        <v>46267.0</v>
      </c>
      <c r="D695" s="26">
        <v>0.4160098611111111</v>
      </c>
      <c r="E695" s="26">
        <v>0.4153467245370371</v>
      </c>
      <c r="F695" s="33">
        <f t="shared" si="1"/>
        <v>0.9549166667</v>
      </c>
      <c r="G695" s="8"/>
      <c r="H695" s="8"/>
      <c r="I695" s="8"/>
    </row>
    <row r="696" ht="15.75" customHeight="1">
      <c r="A696" s="19"/>
      <c r="B696" s="21">
        <v>694.0</v>
      </c>
      <c r="C696" s="23">
        <v>46267.0</v>
      </c>
      <c r="D696" s="26">
        <v>0.4161268634259259</v>
      </c>
      <c r="E696" s="26">
        <v>0.4160098611111111</v>
      </c>
      <c r="F696" s="33">
        <f t="shared" si="1"/>
        <v>0.1684833333</v>
      </c>
      <c r="G696" s="8"/>
      <c r="H696" s="8"/>
      <c r="I696" s="8"/>
    </row>
    <row r="697" ht="15.75" customHeight="1">
      <c r="A697" s="19"/>
      <c r="B697" s="21">
        <v>695.0</v>
      </c>
      <c r="C697" s="23">
        <v>46267.0</v>
      </c>
      <c r="D697" s="26">
        <v>0.4164750925925926</v>
      </c>
      <c r="E697" s="26">
        <v>0.4161268634259259</v>
      </c>
      <c r="F697" s="33">
        <f t="shared" si="1"/>
        <v>0.50145</v>
      </c>
      <c r="G697" s="8"/>
      <c r="H697" s="8"/>
      <c r="I697" s="8"/>
    </row>
    <row r="698" ht="15.75" customHeight="1">
      <c r="A698" s="19"/>
      <c r="B698" s="21">
        <v>696.0</v>
      </c>
      <c r="C698" s="23">
        <v>46268.0</v>
      </c>
      <c r="D698" s="26">
        <v>0.3756638773148148</v>
      </c>
      <c r="E698" s="26">
        <v>0.3753894560185185</v>
      </c>
      <c r="F698" s="33">
        <f t="shared" si="1"/>
        <v>0.3951666667</v>
      </c>
      <c r="G698" s="8"/>
      <c r="H698" s="8"/>
      <c r="I698" s="8"/>
    </row>
    <row r="699" ht="15.75" customHeight="1">
      <c r="A699" s="19"/>
      <c r="B699" s="21">
        <v>697.0</v>
      </c>
      <c r="C699" s="23">
        <v>46268.0</v>
      </c>
      <c r="D699" s="26">
        <v>0.3758589467592592</v>
      </c>
      <c r="E699" s="26">
        <v>0.3756638773148148</v>
      </c>
      <c r="F699" s="33">
        <f t="shared" si="1"/>
        <v>0.2809</v>
      </c>
      <c r="G699" s="8"/>
      <c r="H699" s="8"/>
      <c r="I699" s="8"/>
    </row>
    <row r="700" ht="15.75" customHeight="1">
      <c r="A700" s="19"/>
      <c r="B700" s="21">
        <v>698.0</v>
      </c>
      <c r="C700" s="23">
        <v>46268.0</v>
      </c>
      <c r="D700" s="26">
        <v>0.3763451967592593</v>
      </c>
      <c r="E700" s="26">
        <v>0.3758589467592592</v>
      </c>
      <c r="F700" s="33">
        <f t="shared" si="1"/>
        <v>0.7002</v>
      </c>
      <c r="G700" s="8"/>
      <c r="H700" s="8"/>
      <c r="I700" s="8"/>
    </row>
    <row r="701" ht="15.75" customHeight="1">
      <c r="A701" s="19"/>
      <c r="B701" s="21">
        <v>699.0</v>
      </c>
      <c r="C701" s="23">
        <v>46268.0</v>
      </c>
      <c r="D701" s="26">
        <v>0.3764675115740741</v>
      </c>
      <c r="E701" s="26">
        <v>0.3763451967592593</v>
      </c>
      <c r="F701" s="33">
        <f t="shared" si="1"/>
        <v>0.1761333333</v>
      </c>
      <c r="G701" s="8"/>
      <c r="H701" s="8"/>
      <c r="I701" s="8"/>
    </row>
    <row r="702" ht="15.75" customHeight="1">
      <c r="A702" s="19"/>
      <c r="B702" s="21">
        <v>700.0</v>
      </c>
      <c r="C702" s="23">
        <v>46268.0</v>
      </c>
      <c r="D702" s="26">
        <v>0.3767696643518519</v>
      </c>
      <c r="E702" s="26">
        <v>0.3764675115740741</v>
      </c>
      <c r="F702" s="33">
        <f t="shared" si="1"/>
        <v>0.4351</v>
      </c>
      <c r="G702" s="8"/>
      <c r="H702" s="8"/>
      <c r="I702" s="8"/>
    </row>
    <row r="703" ht="15.75" customHeight="1">
      <c r="A703" s="19"/>
      <c r="B703" s="21">
        <v>701.0</v>
      </c>
      <c r="C703" s="23">
        <v>46268.0</v>
      </c>
      <c r="D703" s="26">
        <v>0.3769235532407407</v>
      </c>
      <c r="E703" s="26">
        <v>0.3767696643518519</v>
      </c>
      <c r="F703" s="33">
        <f t="shared" si="1"/>
        <v>0.2216</v>
      </c>
      <c r="G703" s="8"/>
      <c r="H703" s="8"/>
      <c r="I703" s="8"/>
    </row>
    <row r="704" ht="15.75" customHeight="1">
      <c r="A704" s="19"/>
      <c r="B704" s="21">
        <v>702.0</v>
      </c>
      <c r="C704" s="23">
        <v>46268.0</v>
      </c>
      <c r="D704" s="26">
        <v>0.3770112962962963</v>
      </c>
      <c r="E704" s="26">
        <v>0.3769235532407407</v>
      </c>
      <c r="F704" s="33">
        <f t="shared" si="1"/>
        <v>0.12635</v>
      </c>
      <c r="G704" s="8"/>
      <c r="H704" s="8"/>
      <c r="I704" s="8"/>
    </row>
    <row r="705" ht="15.75" customHeight="1">
      <c r="A705" s="19"/>
      <c r="B705" s="21">
        <v>703.0</v>
      </c>
      <c r="C705" s="23">
        <v>46268.0</v>
      </c>
      <c r="D705" s="26">
        <v>0.3771650925925926</v>
      </c>
      <c r="E705" s="26">
        <v>0.3770112962962963</v>
      </c>
      <c r="F705" s="33">
        <f t="shared" si="1"/>
        <v>0.2214666667</v>
      </c>
      <c r="G705" s="8"/>
      <c r="H705" s="8"/>
      <c r="I705" s="8"/>
    </row>
    <row r="706" ht="15.75" customHeight="1">
      <c r="A706" s="19"/>
      <c r="B706" s="21">
        <v>704.0</v>
      </c>
      <c r="C706" s="23">
        <v>46268.0</v>
      </c>
      <c r="D706" s="26">
        <v>0.3781646527777778</v>
      </c>
      <c r="E706" s="26">
        <v>0.3771650925925926</v>
      </c>
      <c r="F706" s="33">
        <f t="shared" si="1"/>
        <v>1.439366667</v>
      </c>
      <c r="G706" s="8"/>
      <c r="H706" s="8"/>
      <c r="I706" s="8"/>
    </row>
    <row r="707" ht="15.75" customHeight="1">
      <c r="A707" s="19"/>
      <c r="B707" s="21">
        <v>705.0</v>
      </c>
      <c r="C707" s="23">
        <v>46268.0</v>
      </c>
      <c r="D707" s="26">
        <v>0.3791983912037037</v>
      </c>
      <c r="E707" s="26">
        <v>0.3781646527777778</v>
      </c>
      <c r="F707" s="33">
        <f t="shared" si="1"/>
        <v>1.488583333</v>
      </c>
      <c r="G707" s="8"/>
      <c r="H707" s="8"/>
      <c r="I707" s="8"/>
    </row>
    <row r="708" ht="15.75" customHeight="1">
      <c r="A708" s="19"/>
      <c r="B708" s="21">
        <v>706.0</v>
      </c>
      <c r="C708" s="23">
        <v>46268.0</v>
      </c>
      <c r="D708" s="26">
        <v>0.3797193171296297</v>
      </c>
      <c r="E708" s="26">
        <v>0.3791983912037037</v>
      </c>
      <c r="F708" s="33">
        <f t="shared" si="1"/>
        <v>0.7501333333</v>
      </c>
      <c r="G708" s="8"/>
      <c r="H708" s="8"/>
      <c r="I708" s="8"/>
    </row>
    <row r="709" ht="15.75" customHeight="1">
      <c r="A709" s="19"/>
      <c r="B709" s="21">
        <v>707.0</v>
      </c>
      <c r="C709" s="23">
        <v>46268.0</v>
      </c>
      <c r="D709" s="26">
        <v>0.3797547685185185</v>
      </c>
      <c r="E709" s="26">
        <v>0.3797193171296297</v>
      </c>
      <c r="F709" s="33">
        <f t="shared" si="1"/>
        <v>0.05105</v>
      </c>
      <c r="G709" s="8"/>
      <c r="H709" s="8"/>
      <c r="I709" s="8"/>
    </row>
    <row r="710" ht="15.75" customHeight="1">
      <c r="A710" s="19"/>
      <c r="B710" s="21">
        <v>708.0</v>
      </c>
      <c r="C710" s="23">
        <v>46268.0</v>
      </c>
      <c r="D710" s="26">
        <v>0.3799499421296297</v>
      </c>
      <c r="E710" s="26">
        <v>0.3797547685185185</v>
      </c>
      <c r="F710" s="33">
        <f t="shared" si="1"/>
        <v>0.28105</v>
      </c>
      <c r="G710" s="8"/>
      <c r="H710" s="8"/>
      <c r="I710" s="8"/>
    </row>
    <row r="711" ht="15.75" customHeight="1">
      <c r="A711" s="19"/>
      <c r="B711" s="21">
        <v>709.0</v>
      </c>
      <c r="C711" s="23">
        <v>46268.0</v>
      </c>
      <c r="D711" s="26">
        <v>0.3800965046296297</v>
      </c>
      <c r="E711" s="26">
        <v>0.3799499421296297</v>
      </c>
      <c r="F711" s="33">
        <f t="shared" si="1"/>
        <v>0.21105</v>
      </c>
      <c r="G711" s="8"/>
      <c r="H711" s="8"/>
      <c r="I711" s="8"/>
    </row>
    <row r="712" ht="15.75" customHeight="1">
      <c r="A712" s="19"/>
      <c r="B712" s="21">
        <v>710.0</v>
      </c>
      <c r="C712" s="23">
        <v>46268.0</v>
      </c>
      <c r="D712" s="26">
        <v>0.3803775115740741</v>
      </c>
      <c r="E712" s="26">
        <v>0.3800965046296297</v>
      </c>
      <c r="F712" s="33">
        <f t="shared" si="1"/>
        <v>0.40465</v>
      </c>
      <c r="G712" s="8"/>
      <c r="H712" s="8"/>
      <c r="I712" s="8"/>
    </row>
    <row r="713" ht="15.75" customHeight="1">
      <c r="A713" s="19"/>
      <c r="B713" s="21">
        <v>711.0</v>
      </c>
      <c r="C713" s="23">
        <v>46268.0</v>
      </c>
      <c r="D713" s="26">
        <v>0.3804431944444445</v>
      </c>
      <c r="E713" s="26">
        <v>0.3803775115740741</v>
      </c>
      <c r="F713" s="33">
        <f t="shared" si="1"/>
        <v>0.09458333333</v>
      </c>
      <c r="G713" s="8"/>
      <c r="H713" s="8"/>
      <c r="I713" s="8"/>
    </row>
    <row r="714" ht="15.75" customHeight="1">
      <c r="A714" s="19"/>
      <c r="B714" s="21">
        <v>712.0</v>
      </c>
      <c r="C714" s="23">
        <v>46268.0</v>
      </c>
      <c r="D714" s="26">
        <v>0.3805071412037037</v>
      </c>
      <c r="E714" s="26">
        <v>0.3804431944444445</v>
      </c>
      <c r="F714" s="33">
        <f t="shared" si="1"/>
        <v>0.09208333333</v>
      </c>
      <c r="G714" s="8"/>
      <c r="H714" s="8"/>
      <c r="I714" s="8"/>
    </row>
    <row r="715" ht="15.75" customHeight="1">
      <c r="A715" s="19"/>
      <c r="B715" s="21">
        <v>713.0</v>
      </c>
      <c r="C715" s="23">
        <v>46268.0</v>
      </c>
      <c r="D715" s="26">
        <v>0.3805269444444444</v>
      </c>
      <c r="E715" s="26">
        <v>0.3805071412037037</v>
      </c>
      <c r="F715" s="33">
        <f t="shared" si="1"/>
        <v>0.02851666667</v>
      </c>
      <c r="G715" s="8"/>
      <c r="H715" s="8"/>
      <c r="I715" s="8"/>
    </row>
    <row r="716" ht="15.75" customHeight="1">
      <c r="A716" s="19"/>
      <c r="B716" s="21">
        <v>714.0</v>
      </c>
      <c r="C716" s="23">
        <v>46268.0</v>
      </c>
      <c r="D716" s="26">
        <v>0.3806366782407407</v>
      </c>
      <c r="E716" s="26">
        <v>0.3805269444444444</v>
      </c>
      <c r="F716" s="33">
        <f t="shared" si="1"/>
        <v>0.1580166667</v>
      </c>
      <c r="G716" s="8"/>
      <c r="H716" s="8"/>
      <c r="I716" s="8"/>
    </row>
    <row r="717" ht="15.75" customHeight="1">
      <c r="A717" s="19"/>
      <c r="B717" s="21">
        <v>715.0</v>
      </c>
      <c r="C717" s="23">
        <v>46268.0</v>
      </c>
      <c r="D717" s="26">
        <v>0.3808591319444444</v>
      </c>
      <c r="E717" s="26">
        <v>0.3806366782407407</v>
      </c>
      <c r="F717" s="33">
        <f t="shared" si="1"/>
        <v>0.3203333333</v>
      </c>
      <c r="G717" s="8"/>
      <c r="H717" s="8"/>
      <c r="I717" s="8"/>
    </row>
    <row r="718" ht="15.75" customHeight="1">
      <c r="A718" s="19"/>
      <c r="B718" s="21">
        <v>716.0</v>
      </c>
      <c r="C718" s="23">
        <v>46268.0</v>
      </c>
      <c r="D718" s="26">
        <v>0.3809629398148148</v>
      </c>
      <c r="E718" s="26">
        <v>0.3808591319444444</v>
      </c>
      <c r="F718" s="33">
        <f t="shared" si="1"/>
        <v>0.1494833333</v>
      </c>
      <c r="G718" s="8"/>
      <c r="H718" s="8"/>
      <c r="I718" s="8"/>
    </row>
    <row r="719" ht="15.75" customHeight="1">
      <c r="A719" s="19"/>
      <c r="B719" s="21">
        <v>717.0</v>
      </c>
      <c r="C719" s="23">
        <v>46268.0</v>
      </c>
      <c r="D719" s="26">
        <v>0.3810326041666666</v>
      </c>
      <c r="E719" s="26">
        <v>0.3809629398148148</v>
      </c>
      <c r="F719" s="33">
        <f t="shared" si="1"/>
        <v>0.1003166667</v>
      </c>
      <c r="G719" s="8"/>
      <c r="H719" s="8"/>
      <c r="I719" s="8"/>
    </row>
    <row r="720" ht="15.75" customHeight="1">
      <c r="A720" s="19"/>
      <c r="B720" s="21">
        <v>718.0</v>
      </c>
      <c r="C720" s="23">
        <v>46268.0</v>
      </c>
      <c r="D720" s="26">
        <v>0.3820904050925926</v>
      </c>
      <c r="E720" s="26">
        <v>0.3810326041666666</v>
      </c>
      <c r="F720" s="33">
        <f t="shared" si="1"/>
        <v>1.523233333</v>
      </c>
      <c r="G720" s="8"/>
      <c r="H720" s="8"/>
      <c r="I720" s="8"/>
    </row>
    <row r="721" ht="15.75" customHeight="1">
      <c r="A721" s="19"/>
      <c r="B721" s="21">
        <v>719.0</v>
      </c>
      <c r="C721" s="23">
        <v>46268.0</v>
      </c>
      <c r="D721" s="26">
        <v>0.3822146875</v>
      </c>
      <c r="E721" s="26">
        <v>0.3820904050925926</v>
      </c>
      <c r="F721" s="33">
        <f t="shared" si="1"/>
        <v>0.1789666667</v>
      </c>
      <c r="G721" s="8"/>
      <c r="H721" s="8"/>
      <c r="I721" s="8"/>
    </row>
    <row r="722" ht="15.75" customHeight="1">
      <c r="A722" s="19"/>
      <c r="B722" s="21">
        <v>720.0</v>
      </c>
      <c r="C722" s="23">
        <v>46268.0</v>
      </c>
      <c r="D722" s="26">
        <v>0.3823740625</v>
      </c>
      <c r="E722" s="26">
        <v>0.3822146875</v>
      </c>
      <c r="F722" s="33">
        <f t="shared" si="1"/>
        <v>0.2295</v>
      </c>
      <c r="G722" s="8"/>
      <c r="H722" s="8"/>
      <c r="I722" s="8"/>
    </row>
    <row r="723" ht="15.75" customHeight="1">
      <c r="A723" s="19"/>
      <c r="B723" s="21">
        <v>721.0</v>
      </c>
      <c r="C723" s="23">
        <v>46268.0</v>
      </c>
      <c r="D723" s="26">
        <v>0.3823779629629629</v>
      </c>
      <c r="E723" s="26">
        <v>0.3823740625</v>
      </c>
      <c r="F723" s="33">
        <f t="shared" si="1"/>
        <v>0.005616666667</v>
      </c>
      <c r="G723" s="8"/>
      <c r="H723" s="8"/>
      <c r="I723" s="8"/>
    </row>
    <row r="724" ht="15.75" customHeight="1">
      <c r="A724" s="19"/>
      <c r="B724" s="21">
        <v>722.0</v>
      </c>
      <c r="C724" s="23">
        <v>46268.0</v>
      </c>
      <c r="D724" s="26">
        <v>0.3826305439814815</v>
      </c>
      <c r="E724" s="26">
        <v>0.3823779629629629</v>
      </c>
      <c r="F724" s="33">
        <f t="shared" si="1"/>
        <v>0.3637166667</v>
      </c>
      <c r="G724" s="8"/>
      <c r="H724" s="8"/>
      <c r="I724" s="8"/>
    </row>
    <row r="725" ht="15.75" customHeight="1">
      <c r="A725" s="19"/>
      <c r="B725" s="21">
        <v>723.0</v>
      </c>
      <c r="C725" s="23">
        <v>46268.0</v>
      </c>
      <c r="D725" s="26">
        <v>0.3836594444444444</v>
      </c>
      <c r="E725" s="26">
        <v>0.3826305439814815</v>
      </c>
      <c r="F725" s="33">
        <f t="shared" si="1"/>
        <v>1.481616667</v>
      </c>
      <c r="G725" s="8"/>
      <c r="H725" s="8"/>
      <c r="I725" s="8"/>
    </row>
    <row r="726" ht="15.75" customHeight="1">
      <c r="A726" s="19"/>
      <c r="B726" s="21">
        <v>724.0</v>
      </c>
      <c r="C726" s="23">
        <v>46268.0</v>
      </c>
      <c r="D726" s="26">
        <v>0.3842771180555555</v>
      </c>
      <c r="E726" s="26">
        <v>0.3836594444444444</v>
      </c>
      <c r="F726" s="33">
        <f t="shared" si="1"/>
        <v>0.88945</v>
      </c>
      <c r="G726" s="8"/>
      <c r="H726" s="8"/>
      <c r="I726" s="8"/>
    </row>
    <row r="727" ht="15.75" customHeight="1">
      <c r="A727" s="19"/>
      <c r="B727" s="21">
        <v>725.0</v>
      </c>
      <c r="C727" s="23">
        <v>46268.0</v>
      </c>
      <c r="D727" s="26">
        <v>0.3846353703703704</v>
      </c>
      <c r="E727" s="26">
        <v>0.3842771180555555</v>
      </c>
      <c r="F727" s="33">
        <f t="shared" si="1"/>
        <v>0.5158833333</v>
      </c>
      <c r="G727" s="8"/>
      <c r="H727" s="8"/>
      <c r="I727" s="8"/>
    </row>
    <row r="728" ht="15.75" customHeight="1">
      <c r="A728" s="19"/>
      <c r="B728" s="21">
        <v>726.0</v>
      </c>
      <c r="C728" s="23">
        <v>46268.0</v>
      </c>
      <c r="D728" s="26">
        <v>0.3854059375</v>
      </c>
      <c r="E728" s="26">
        <v>0.3846353703703704</v>
      </c>
      <c r="F728" s="33">
        <f t="shared" si="1"/>
        <v>1.109616667</v>
      </c>
      <c r="G728" s="8"/>
      <c r="H728" s="8"/>
      <c r="I728" s="8"/>
    </row>
    <row r="729" ht="15.75" customHeight="1">
      <c r="A729" s="19"/>
      <c r="B729" s="21">
        <v>727.0</v>
      </c>
      <c r="C729" s="23">
        <v>46268.0</v>
      </c>
      <c r="D729" s="26">
        <v>0.386609074074074</v>
      </c>
      <c r="E729" s="26">
        <v>0.3854059375</v>
      </c>
      <c r="F729" s="33">
        <f t="shared" si="1"/>
        <v>1.732516667</v>
      </c>
      <c r="G729" s="8"/>
      <c r="H729" s="8"/>
      <c r="I729" s="8"/>
    </row>
    <row r="730" ht="15.75" customHeight="1">
      <c r="A730" s="19"/>
      <c r="B730" s="21">
        <v>728.0</v>
      </c>
      <c r="C730" s="23">
        <v>46268.0</v>
      </c>
      <c r="D730" s="26">
        <v>0.3877237037037037</v>
      </c>
      <c r="E730" s="26">
        <v>0.386609074074074</v>
      </c>
      <c r="F730" s="33">
        <f t="shared" si="1"/>
        <v>1.605066667</v>
      </c>
      <c r="G730" s="8"/>
      <c r="H730" s="8"/>
      <c r="I730" s="8"/>
    </row>
    <row r="731" ht="15.75" customHeight="1">
      <c r="A731" s="19"/>
      <c r="B731" s="21">
        <v>729.0</v>
      </c>
      <c r="C731" s="23">
        <v>46268.0</v>
      </c>
      <c r="D731" s="26">
        <v>0.3879555208333334</v>
      </c>
      <c r="E731" s="26">
        <v>0.3877237037037037</v>
      </c>
      <c r="F731" s="33">
        <f t="shared" si="1"/>
        <v>0.3338166667</v>
      </c>
      <c r="G731" s="8"/>
      <c r="H731" s="8"/>
      <c r="I731" s="8"/>
    </row>
    <row r="732" ht="15.75" customHeight="1">
      <c r="A732" s="19"/>
      <c r="B732" s="21">
        <v>730.0</v>
      </c>
      <c r="C732" s="23">
        <v>46268.0</v>
      </c>
      <c r="D732" s="26">
        <v>0.3880242476851852</v>
      </c>
      <c r="E732" s="26">
        <v>0.3879555208333334</v>
      </c>
      <c r="F732" s="33">
        <f t="shared" si="1"/>
        <v>0.09896666667</v>
      </c>
      <c r="G732" s="8"/>
      <c r="H732" s="8"/>
      <c r="I732" s="8"/>
    </row>
    <row r="733" ht="15.75" customHeight="1">
      <c r="A733" s="19"/>
      <c r="B733" s="21">
        <v>731.0</v>
      </c>
      <c r="C733" s="23">
        <v>46268.0</v>
      </c>
      <c r="D733" s="26">
        <v>0.3894822453703704</v>
      </c>
      <c r="E733" s="26">
        <v>0.3880242476851852</v>
      </c>
      <c r="F733" s="33">
        <f t="shared" si="1"/>
        <v>2.099516667</v>
      </c>
      <c r="G733" s="8"/>
      <c r="H733" s="8"/>
      <c r="I733" s="8"/>
    </row>
    <row r="734" ht="15.75" customHeight="1">
      <c r="A734" s="19"/>
      <c r="B734" s="21">
        <v>732.0</v>
      </c>
      <c r="C734" s="23">
        <v>46268.0</v>
      </c>
      <c r="D734" s="26">
        <v>0.3895877199074074</v>
      </c>
      <c r="E734" s="26">
        <v>0.3894822453703704</v>
      </c>
      <c r="F734" s="33">
        <f t="shared" si="1"/>
        <v>0.1518833333</v>
      </c>
      <c r="G734" s="8"/>
      <c r="H734" s="8"/>
      <c r="I734" s="8"/>
    </row>
    <row r="735" ht="15.75" customHeight="1">
      <c r="A735" s="19"/>
      <c r="B735" s="21">
        <v>733.0</v>
      </c>
      <c r="C735" s="23">
        <v>46268.0</v>
      </c>
      <c r="D735" s="26">
        <v>0.3900540740740741</v>
      </c>
      <c r="E735" s="26">
        <v>0.3895877199074074</v>
      </c>
      <c r="F735" s="33">
        <f t="shared" si="1"/>
        <v>0.67155</v>
      </c>
      <c r="G735" s="8"/>
      <c r="H735" s="8"/>
      <c r="I735" s="8"/>
    </row>
    <row r="736" ht="15.75" customHeight="1">
      <c r="A736" s="19"/>
      <c r="B736" s="21">
        <v>734.0</v>
      </c>
      <c r="C736" s="23">
        <v>46268.0</v>
      </c>
      <c r="D736" s="26">
        <v>0.3901265856481481</v>
      </c>
      <c r="E736" s="26">
        <v>0.3900540740740741</v>
      </c>
      <c r="F736" s="33">
        <f t="shared" si="1"/>
        <v>0.1044166667</v>
      </c>
      <c r="G736" s="8"/>
      <c r="H736" s="8"/>
      <c r="I736" s="8"/>
    </row>
    <row r="737" ht="15.75" customHeight="1">
      <c r="A737" s="19"/>
      <c r="B737" s="21">
        <v>735.0</v>
      </c>
      <c r="C737" s="23">
        <v>46268.0</v>
      </c>
      <c r="D737" s="26">
        <v>0.3903677430555555</v>
      </c>
      <c r="E737" s="26">
        <v>0.3901265856481481</v>
      </c>
      <c r="F737" s="33">
        <f t="shared" si="1"/>
        <v>0.3472666667</v>
      </c>
      <c r="G737" s="8"/>
      <c r="H737" s="8"/>
      <c r="I737" s="8"/>
    </row>
    <row r="738" ht="15.75" customHeight="1">
      <c r="A738" s="19"/>
      <c r="B738" s="21">
        <v>736.0</v>
      </c>
      <c r="C738" s="23">
        <v>46268.0</v>
      </c>
      <c r="D738" s="26">
        <v>0.3903897222222222</v>
      </c>
      <c r="E738" s="26">
        <v>0.3903677430555555</v>
      </c>
      <c r="F738" s="33">
        <f t="shared" si="1"/>
        <v>0.03165</v>
      </c>
      <c r="G738" s="8"/>
      <c r="H738" s="8"/>
      <c r="I738" s="8"/>
    </row>
    <row r="739" ht="15.75" customHeight="1">
      <c r="A739" s="19"/>
      <c r="B739" s="21">
        <v>737.0</v>
      </c>
      <c r="C739" s="23">
        <v>46268.0</v>
      </c>
      <c r="D739" s="26">
        <v>0.391017800925926</v>
      </c>
      <c r="E739" s="26">
        <v>0.3903897222222222</v>
      </c>
      <c r="F739" s="33">
        <f t="shared" si="1"/>
        <v>0.9044333333</v>
      </c>
      <c r="G739" s="8"/>
      <c r="H739" s="8"/>
      <c r="I739" s="8"/>
    </row>
    <row r="740" ht="15.75" customHeight="1">
      <c r="A740" s="19"/>
      <c r="B740" s="21">
        <v>738.0</v>
      </c>
      <c r="C740" s="23">
        <v>46268.0</v>
      </c>
      <c r="D740" s="26">
        <v>0.3910556712962963</v>
      </c>
      <c r="E740" s="26">
        <v>0.391017800925926</v>
      </c>
      <c r="F740" s="33">
        <f t="shared" si="1"/>
        <v>0.05453333333</v>
      </c>
      <c r="G740" s="8"/>
      <c r="H740" s="8"/>
      <c r="I740" s="8"/>
    </row>
    <row r="741" ht="15.75" customHeight="1">
      <c r="A741" s="19"/>
      <c r="B741" s="21">
        <v>739.0</v>
      </c>
      <c r="C741" s="23">
        <v>46268.0</v>
      </c>
      <c r="D741" s="26">
        <v>0.391222662037037</v>
      </c>
      <c r="E741" s="26">
        <v>0.3910556712962963</v>
      </c>
      <c r="F741" s="33">
        <f t="shared" si="1"/>
        <v>0.2404666667</v>
      </c>
      <c r="G741" s="8"/>
      <c r="H741" s="8"/>
      <c r="I741" s="8"/>
    </row>
    <row r="742" ht="15.75" customHeight="1">
      <c r="A742" s="19"/>
      <c r="B742" s="21">
        <v>740.0</v>
      </c>
      <c r="C742" s="23">
        <v>46268.0</v>
      </c>
      <c r="D742" s="26">
        <v>0.3915433449074074</v>
      </c>
      <c r="E742" s="26">
        <v>0.391222662037037</v>
      </c>
      <c r="F742" s="33">
        <f t="shared" si="1"/>
        <v>0.4617833333</v>
      </c>
      <c r="G742" s="8"/>
      <c r="H742" s="8"/>
      <c r="I742" s="8"/>
    </row>
    <row r="743" ht="15.75" customHeight="1">
      <c r="A743" s="19"/>
      <c r="B743" s="21">
        <v>741.0</v>
      </c>
      <c r="C743" s="23">
        <v>46268.0</v>
      </c>
      <c r="D743" s="26">
        <v>0.3917331828703704</v>
      </c>
      <c r="E743" s="26">
        <v>0.3915433449074074</v>
      </c>
      <c r="F743" s="33">
        <f t="shared" si="1"/>
        <v>0.2733666667</v>
      </c>
      <c r="G743" s="8"/>
      <c r="H743" s="8"/>
      <c r="I743" s="8"/>
    </row>
    <row r="744" ht="15.75" customHeight="1">
      <c r="A744" s="19"/>
      <c r="B744" s="21">
        <v>742.0</v>
      </c>
      <c r="C744" s="23">
        <v>46268.0</v>
      </c>
      <c r="D744" s="26">
        <v>0.3922022916666666</v>
      </c>
      <c r="E744" s="26">
        <v>0.3917331828703704</v>
      </c>
      <c r="F744" s="33">
        <f t="shared" si="1"/>
        <v>0.6755166667</v>
      </c>
      <c r="G744" s="8"/>
      <c r="H744" s="8"/>
      <c r="I744" s="8"/>
    </row>
    <row r="745" ht="15.75" customHeight="1">
      <c r="A745" s="19"/>
      <c r="B745" s="21">
        <v>743.0</v>
      </c>
      <c r="C745" s="23">
        <v>46268.0</v>
      </c>
      <c r="D745" s="26">
        <v>0.3922319328703704</v>
      </c>
      <c r="E745" s="26">
        <v>0.3922022916666666</v>
      </c>
      <c r="F745" s="33">
        <f t="shared" si="1"/>
        <v>0.04268333333</v>
      </c>
      <c r="G745" s="8"/>
      <c r="H745" s="8"/>
      <c r="I745" s="8"/>
    </row>
    <row r="746" ht="15.75" customHeight="1">
      <c r="A746" s="19"/>
      <c r="B746" s="21">
        <v>744.0</v>
      </c>
      <c r="C746" s="23">
        <v>46268.0</v>
      </c>
      <c r="D746" s="26">
        <v>0.3926505324074074</v>
      </c>
      <c r="E746" s="26">
        <v>0.3922319328703704</v>
      </c>
      <c r="F746" s="33">
        <f t="shared" si="1"/>
        <v>0.6027833333</v>
      </c>
      <c r="G746" s="8"/>
      <c r="H746" s="8"/>
      <c r="I746" s="8"/>
    </row>
    <row r="747" ht="15.75" customHeight="1">
      <c r="A747" s="19"/>
      <c r="B747" s="21">
        <v>745.0</v>
      </c>
      <c r="C747" s="23">
        <v>46268.0</v>
      </c>
      <c r="D747" s="26">
        <v>0.3927225578703704</v>
      </c>
      <c r="E747" s="26">
        <v>0.3926505324074074</v>
      </c>
      <c r="F747" s="33">
        <f t="shared" si="1"/>
        <v>0.1037166667</v>
      </c>
      <c r="G747" s="8"/>
      <c r="H747" s="8"/>
      <c r="I747" s="8"/>
    </row>
    <row r="748" ht="15.75" customHeight="1">
      <c r="A748" s="19"/>
      <c r="B748" s="21">
        <v>746.0</v>
      </c>
      <c r="C748" s="23">
        <v>46268.0</v>
      </c>
      <c r="D748" s="26">
        <v>0.3928597685185186</v>
      </c>
      <c r="E748" s="26">
        <v>0.3927225578703704</v>
      </c>
      <c r="F748" s="33">
        <f t="shared" si="1"/>
        <v>0.1975833333</v>
      </c>
      <c r="G748" s="8"/>
      <c r="H748" s="8"/>
      <c r="I748" s="8"/>
    </row>
    <row r="749" ht="15.75" customHeight="1">
      <c r="A749" s="19"/>
      <c r="B749" s="21">
        <v>747.0</v>
      </c>
      <c r="C749" s="23">
        <v>46268.0</v>
      </c>
      <c r="D749" s="26">
        <v>0.3928678356481482</v>
      </c>
      <c r="E749" s="26">
        <v>0.3928597685185186</v>
      </c>
      <c r="F749" s="33">
        <f t="shared" si="1"/>
        <v>0.01161666667</v>
      </c>
      <c r="G749" s="8"/>
      <c r="H749" s="8"/>
      <c r="I749" s="8"/>
    </row>
    <row r="750" ht="15.75" customHeight="1">
      <c r="A750" s="19"/>
      <c r="B750" s="21">
        <v>748.0</v>
      </c>
      <c r="C750" s="23">
        <v>46268.0</v>
      </c>
      <c r="D750" s="26">
        <v>0.3931200347222223</v>
      </c>
      <c r="E750" s="26">
        <v>0.3928678356481482</v>
      </c>
      <c r="F750" s="33">
        <f t="shared" si="1"/>
        <v>0.3631666667</v>
      </c>
      <c r="G750" s="8"/>
      <c r="H750" s="8"/>
      <c r="I750" s="8"/>
    </row>
    <row r="751" ht="15.75" customHeight="1">
      <c r="A751" s="19"/>
      <c r="B751" s="21">
        <v>749.0</v>
      </c>
      <c r="C751" s="23">
        <v>46268.0</v>
      </c>
      <c r="D751" s="26">
        <v>0.3933277662037037</v>
      </c>
      <c r="E751" s="26">
        <v>0.3931200347222223</v>
      </c>
      <c r="F751" s="33">
        <f t="shared" si="1"/>
        <v>0.2991333333</v>
      </c>
      <c r="G751" s="8"/>
      <c r="H751" s="8"/>
      <c r="I751" s="8"/>
    </row>
    <row r="752" ht="15.75" customHeight="1">
      <c r="A752" s="19"/>
      <c r="B752" s="21">
        <v>750.0</v>
      </c>
      <c r="C752" s="23">
        <v>46268.0</v>
      </c>
      <c r="D752" s="26">
        <v>0.3937500462962963</v>
      </c>
      <c r="E752" s="26">
        <v>0.3933277662037037</v>
      </c>
      <c r="F752" s="33">
        <f t="shared" si="1"/>
        <v>0.6080833333</v>
      </c>
      <c r="G752" s="8"/>
      <c r="H752" s="8"/>
      <c r="I752" s="8"/>
    </row>
    <row r="753" ht="15.75" customHeight="1">
      <c r="A753" s="19"/>
      <c r="B753" s="21">
        <v>751.0</v>
      </c>
      <c r="C753" s="23">
        <v>46268.0</v>
      </c>
      <c r="D753" s="26">
        <v>0.3939508333333333</v>
      </c>
      <c r="E753" s="26">
        <v>0.3937500462962963</v>
      </c>
      <c r="F753" s="33">
        <f t="shared" si="1"/>
        <v>0.2891333333</v>
      </c>
      <c r="G753" s="8"/>
      <c r="H753" s="8"/>
      <c r="I753" s="8"/>
    </row>
    <row r="754" ht="15.75" customHeight="1">
      <c r="A754" s="19"/>
      <c r="B754" s="21">
        <v>752.0</v>
      </c>
      <c r="C754" s="23">
        <v>46268.0</v>
      </c>
      <c r="D754" s="26">
        <v>0.3943866782407407</v>
      </c>
      <c r="E754" s="26">
        <v>0.3939508333333333</v>
      </c>
      <c r="F754" s="33">
        <f t="shared" si="1"/>
        <v>0.6276166667</v>
      </c>
      <c r="G754" s="8"/>
      <c r="H754" s="8"/>
      <c r="I754" s="8"/>
    </row>
    <row r="755" ht="15.75" customHeight="1">
      <c r="A755" s="19"/>
      <c r="B755" s="21">
        <v>753.0</v>
      </c>
      <c r="C755" s="23">
        <v>46268.0</v>
      </c>
      <c r="D755" s="26">
        <v>0.3953657291666667</v>
      </c>
      <c r="E755" s="26">
        <v>0.3943866782407407</v>
      </c>
      <c r="F755" s="33">
        <f t="shared" si="1"/>
        <v>1.409833333</v>
      </c>
      <c r="G755" s="8"/>
      <c r="H755" s="8"/>
      <c r="I755" s="8"/>
    </row>
    <row r="756" ht="15.75" customHeight="1">
      <c r="A756" s="19"/>
      <c r="B756" s="21">
        <v>754.0</v>
      </c>
      <c r="C756" s="23">
        <v>46268.0</v>
      </c>
      <c r="D756" s="26">
        <v>0.3954534606481481</v>
      </c>
      <c r="E756" s="26">
        <v>0.3953657291666667</v>
      </c>
      <c r="F756" s="33">
        <f t="shared" si="1"/>
        <v>0.1263333333</v>
      </c>
      <c r="G756" s="8"/>
      <c r="H756" s="8"/>
      <c r="I756" s="8"/>
    </row>
    <row r="757" ht="15.75" customHeight="1">
      <c r="A757" s="19"/>
      <c r="B757" s="21">
        <v>755.0</v>
      </c>
      <c r="C757" s="23">
        <v>46268.0</v>
      </c>
      <c r="D757" s="26">
        <v>0.3958213194444444</v>
      </c>
      <c r="E757" s="26">
        <v>0.3954534606481481</v>
      </c>
      <c r="F757" s="33">
        <f t="shared" si="1"/>
        <v>0.5297166667</v>
      </c>
      <c r="G757" s="8"/>
      <c r="H757" s="8"/>
      <c r="I757" s="8"/>
    </row>
    <row r="758" ht="15.75" customHeight="1">
      <c r="A758" s="19"/>
      <c r="B758" s="21">
        <v>756.0</v>
      </c>
      <c r="C758" s="23">
        <v>46268.0</v>
      </c>
      <c r="D758" s="26">
        <v>0.3962692245370371</v>
      </c>
      <c r="E758" s="26">
        <v>0.3958213194444444</v>
      </c>
      <c r="F758" s="33">
        <f t="shared" si="1"/>
        <v>0.6449833333</v>
      </c>
      <c r="G758" s="8"/>
      <c r="H758" s="8"/>
      <c r="I758" s="8"/>
    </row>
    <row r="759" ht="15.75" customHeight="1">
      <c r="A759" s="19"/>
      <c r="B759" s="21">
        <v>757.0</v>
      </c>
      <c r="C759" s="23">
        <v>46268.0</v>
      </c>
      <c r="D759" s="26">
        <v>0.396442337962963</v>
      </c>
      <c r="E759" s="26">
        <v>0.3962692245370371</v>
      </c>
      <c r="F759" s="33">
        <f t="shared" si="1"/>
        <v>0.2492833333</v>
      </c>
      <c r="G759" s="8"/>
      <c r="H759" s="8"/>
      <c r="I759" s="8"/>
    </row>
    <row r="760" ht="15.75" customHeight="1">
      <c r="A760" s="19"/>
      <c r="B760" s="21">
        <v>758.0</v>
      </c>
      <c r="C760" s="23">
        <v>46268.0</v>
      </c>
      <c r="D760" s="26">
        <v>0.3971527083333333</v>
      </c>
      <c r="E760" s="26">
        <v>0.396442337962963</v>
      </c>
      <c r="F760" s="33">
        <f t="shared" si="1"/>
        <v>1.022933333</v>
      </c>
      <c r="G760" s="8"/>
      <c r="H760" s="8"/>
      <c r="I760" s="8"/>
    </row>
    <row r="761" ht="15.75" customHeight="1">
      <c r="A761" s="19"/>
      <c r="B761" s="21">
        <v>759.0</v>
      </c>
      <c r="C761" s="23">
        <v>46268.0</v>
      </c>
      <c r="D761" s="26">
        <v>0.3973965277777777</v>
      </c>
      <c r="E761" s="26">
        <v>0.3971527083333333</v>
      </c>
      <c r="F761" s="33">
        <f t="shared" si="1"/>
        <v>0.3511</v>
      </c>
      <c r="G761" s="8"/>
      <c r="H761" s="8"/>
      <c r="I761" s="8"/>
    </row>
    <row r="762" ht="15.75" customHeight="1">
      <c r="A762" s="19"/>
      <c r="B762" s="21">
        <v>760.0</v>
      </c>
      <c r="C762" s="23">
        <v>46268.0</v>
      </c>
      <c r="D762" s="26">
        <v>0.3984028125</v>
      </c>
      <c r="E762" s="26">
        <v>0.3973965277777777</v>
      </c>
      <c r="F762" s="33">
        <f t="shared" si="1"/>
        <v>1.44905</v>
      </c>
      <c r="G762" s="8"/>
      <c r="H762" s="8"/>
      <c r="I762" s="8"/>
    </row>
    <row r="763" ht="15.75" customHeight="1">
      <c r="A763" s="19"/>
      <c r="B763" s="21">
        <v>761.0</v>
      </c>
      <c r="C763" s="23">
        <v>46268.0</v>
      </c>
      <c r="D763" s="26">
        <v>0.3993350578703704</v>
      </c>
      <c r="E763" s="26">
        <v>0.3984028125</v>
      </c>
      <c r="F763" s="33">
        <f t="shared" si="1"/>
        <v>1.342433333</v>
      </c>
      <c r="G763" s="8"/>
      <c r="H763" s="8"/>
      <c r="I763" s="8"/>
    </row>
    <row r="764" ht="15.75" customHeight="1">
      <c r="A764" s="19"/>
      <c r="B764" s="21">
        <v>762.0</v>
      </c>
      <c r="C764" s="23">
        <v>46268.0</v>
      </c>
      <c r="D764" s="26">
        <v>0.3997204629629629</v>
      </c>
      <c r="E764" s="26">
        <v>0.3993350578703704</v>
      </c>
      <c r="F764" s="33">
        <f t="shared" si="1"/>
        <v>0.5549833333</v>
      </c>
      <c r="G764" s="8"/>
      <c r="H764" s="8"/>
      <c r="I764" s="8"/>
    </row>
    <row r="765" ht="15.75" customHeight="1">
      <c r="A765" s="19"/>
      <c r="B765" s="21">
        <v>763.0</v>
      </c>
      <c r="C765" s="23">
        <v>46268.0</v>
      </c>
      <c r="D765" s="26">
        <v>0.4016866319444444</v>
      </c>
      <c r="E765" s="26">
        <v>0.3997204629629629</v>
      </c>
      <c r="F765" s="33">
        <f t="shared" si="1"/>
        <v>2.831283333</v>
      </c>
      <c r="G765" s="8"/>
      <c r="H765" s="8"/>
      <c r="I765" s="8"/>
    </row>
    <row r="766" ht="15.75" customHeight="1">
      <c r="A766" s="19"/>
      <c r="B766" s="21">
        <v>764.0</v>
      </c>
      <c r="C766" s="23">
        <v>46268.0</v>
      </c>
      <c r="D766" s="26">
        <v>0.4017672916666667</v>
      </c>
      <c r="E766" s="26">
        <v>0.4016866319444444</v>
      </c>
      <c r="F766" s="33">
        <f t="shared" si="1"/>
        <v>0.11615</v>
      </c>
      <c r="G766" s="8"/>
      <c r="H766" s="8"/>
      <c r="I766" s="8"/>
    </row>
    <row r="767" ht="15.75" customHeight="1">
      <c r="A767" s="19"/>
      <c r="B767" s="21">
        <v>765.0</v>
      </c>
      <c r="C767" s="23">
        <v>46268.0</v>
      </c>
      <c r="D767" s="26">
        <v>0.4021056828703704</v>
      </c>
      <c r="E767" s="26">
        <v>0.4017672916666667</v>
      </c>
      <c r="F767" s="33">
        <f t="shared" si="1"/>
        <v>0.4872833333</v>
      </c>
      <c r="G767" s="8"/>
      <c r="H767" s="8"/>
      <c r="I767" s="8"/>
    </row>
    <row r="768" ht="15.75" customHeight="1">
      <c r="A768" s="19"/>
      <c r="B768" s="21">
        <v>766.0</v>
      </c>
      <c r="C768" s="23">
        <v>46268.0</v>
      </c>
      <c r="D768" s="26">
        <v>0.402425474537037</v>
      </c>
      <c r="E768" s="26">
        <v>0.4021056828703704</v>
      </c>
      <c r="F768" s="33">
        <f t="shared" si="1"/>
        <v>0.4605</v>
      </c>
      <c r="G768" s="8"/>
      <c r="H768" s="8"/>
      <c r="I768" s="8"/>
    </row>
    <row r="769" ht="15.75" customHeight="1">
      <c r="A769" s="19"/>
      <c r="B769" s="21">
        <v>767.0</v>
      </c>
      <c r="C769" s="23">
        <v>46268.0</v>
      </c>
      <c r="D769" s="26">
        <v>0.4028307870370371</v>
      </c>
      <c r="E769" s="26">
        <v>0.402425474537037</v>
      </c>
      <c r="F769" s="33">
        <f t="shared" si="1"/>
        <v>0.58365</v>
      </c>
      <c r="G769" s="8"/>
      <c r="H769" s="8"/>
      <c r="I769" s="8"/>
    </row>
    <row r="770" ht="15.75" customHeight="1">
      <c r="A770" s="19"/>
      <c r="B770" s="21">
        <v>768.0</v>
      </c>
      <c r="C770" s="23">
        <v>46268.0</v>
      </c>
      <c r="D770" s="26">
        <v>0.4031070833333333</v>
      </c>
      <c r="E770" s="26">
        <v>0.4028307870370371</v>
      </c>
      <c r="F770" s="33">
        <f t="shared" si="1"/>
        <v>0.3978666667</v>
      </c>
      <c r="G770" s="8"/>
      <c r="H770" s="8"/>
      <c r="I770" s="8"/>
    </row>
    <row r="771" ht="15.75" customHeight="1">
      <c r="A771" s="19"/>
      <c r="B771" s="21">
        <v>769.0</v>
      </c>
      <c r="C771" s="23">
        <v>46268.0</v>
      </c>
      <c r="D771" s="26">
        <v>0.4031367476851852</v>
      </c>
      <c r="E771" s="26">
        <v>0.4031070833333333</v>
      </c>
      <c r="F771" s="33">
        <f t="shared" si="1"/>
        <v>0.04271666667</v>
      </c>
      <c r="G771" s="8"/>
      <c r="H771" s="8"/>
      <c r="I771" s="8"/>
    </row>
    <row r="772" ht="15.75" customHeight="1">
      <c r="A772" s="19"/>
      <c r="B772" s="21">
        <v>770.0</v>
      </c>
      <c r="C772" s="23">
        <v>46268.0</v>
      </c>
      <c r="D772" s="26">
        <v>0.4034340046296296</v>
      </c>
      <c r="E772" s="26">
        <v>0.4031367476851852</v>
      </c>
      <c r="F772" s="33">
        <f t="shared" si="1"/>
        <v>0.42805</v>
      </c>
      <c r="G772" s="8"/>
      <c r="H772" s="8"/>
      <c r="I772" s="8"/>
    </row>
    <row r="773" ht="15.75" customHeight="1">
      <c r="A773" s="19"/>
      <c r="B773" s="21">
        <v>771.0</v>
      </c>
      <c r="C773" s="23">
        <v>46268.0</v>
      </c>
      <c r="D773" s="26">
        <v>0.404245150462963</v>
      </c>
      <c r="E773" s="26">
        <v>0.4034340046296296</v>
      </c>
      <c r="F773" s="33">
        <f t="shared" si="1"/>
        <v>1.16805</v>
      </c>
      <c r="G773" s="8"/>
      <c r="H773" s="8"/>
      <c r="I773" s="8"/>
    </row>
    <row r="774" ht="15.75" customHeight="1">
      <c r="A774" s="19"/>
      <c r="B774" s="21">
        <v>772.0</v>
      </c>
      <c r="C774" s="23">
        <v>46268.0</v>
      </c>
      <c r="D774" s="26">
        <v>0.4043254513888889</v>
      </c>
      <c r="E774" s="26">
        <v>0.404245150462963</v>
      </c>
      <c r="F774" s="33">
        <f t="shared" si="1"/>
        <v>0.1156333333</v>
      </c>
      <c r="G774" s="8"/>
      <c r="H774" s="8"/>
      <c r="I774" s="8"/>
    </row>
    <row r="775" ht="15.75" customHeight="1">
      <c r="A775" s="19"/>
      <c r="B775" s="21">
        <v>773.0</v>
      </c>
      <c r="C775" s="23">
        <v>46268.0</v>
      </c>
      <c r="D775" s="26">
        <v>0.4049019907407407</v>
      </c>
      <c r="E775" s="26">
        <v>0.4043254513888889</v>
      </c>
      <c r="F775" s="33">
        <f t="shared" si="1"/>
        <v>0.8302166667</v>
      </c>
      <c r="G775" s="8"/>
      <c r="H775" s="8"/>
      <c r="I775" s="8"/>
    </row>
    <row r="776" ht="15.75" customHeight="1">
      <c r="A776" s="19"/>
      <c r="B776" s="21">
        <v>774.0</v>
      </c>
      <c r="C776" s="23">
        <v>46268.0</v>
      </c>
      <c r="D776" s="26">
        <v>0.4051038657407408</v>
      </c>
      <c r="E776" s="26">
        <v>0.4049019907407407</v>
      </c>
      <c r="F776" s="33">
        <f t="shared" si="1"/>
        <v>0.2907</v>
      </c>
      <c r="G776" s="8"/>
      <c r="H776" s="8"/>
      <c r="I776" s="8"/>
    </row>
    <row r="777" ht="15.75" customHeight="1">
      <c r="A777" s="19"/>
      <c r="B777" s="21">
        <v>775.0</v>
      </c>
      <c r="C777" s="23">
        <v>46268.0</v>
      </c>
      <c r="D777" s="26">
        <v>0.4053243865740741</v>
      </c>
      <c r="E777" s="26">
        <v>0.4051038657407408</v>
      </c>
      <c r="F777" s="33">
        <f t="shared" si="1"/>
        <v>0.31755</v>
      </c>
      <c r="G777" s="8"/>
      <c r="H777" s="8"/>
      <c r="I777" s="8"/>
    </row>
    <row r="778" ht="15.75" customHeight="1">
      <c r="A778" s="19"/>
      <c r="B778" s="21">
        <v>776.0</v>
      </c>
      <c r="C778" s="23">
        <v>46268.0</v>
      </c>
      <c r="D778" s="26">
        <v>0.4054690046296296</v>
      </c>
      <c r="E778" s="26">
        <v>0.4053243865740741</v>
      </c>
      <c r="F778" s="33">
        <f t="shared" si="1"/>
        <v>0.20825</v>
      </c>
      <c r="G778" s="8"/>
      <c r="H778" s="8"/>
      <c r="I778" s="8"/>
    </row>
    <row r="779" ht="15.75" customHeight="1">
      <c r="A779" s="19"/>
      <c r="B779" s="21">
        <v>777.0</v>
      </c>
      <c r="C779" s="23">
        <v>46268.0</v>
      </c>
      <c r="D779" s="26">
        <v>0.4059589467592593</v>
      </c>
      <c r="E779" s="26">
        <v>0.4054690046296296</v>
      </c>
      <c r="F779" s="33">
        <f t="shared" si="1"/>
        <v>0.7055166667</v>
      </c>
      <c r="G779" s="8"/>
      <c r="H779" s="8"/>
      <c r="I779" s="8"/>
    </row>
    <row r="780" ht="15.75" customHeight="1">
      <c r="A780" s="19"/>
      <c r="B780" s="21">
        <v>778.0</v>
      </c>
      <c r="C780" s="23">
        <v>46268.0</v>
      </c>
      <c r="D780" s="26">
        <v>0.4065827430555556</v>
      </c>
      <c r="E780" s="26">
        <v>0.4059589467592593</v>
      </c>
      <c r="F780" s="33">
        <f t="shared" si="1"/>
        <v>0.8982666667</v>
      </c>
      <c r="G780" s="8"/>
      <c r="H780" s="8"/>
      <c r="I780" s="8"/>
    </row>
    <row r="781" ht="15.75" customHeight="1">
      <c r="A781" s="19"/>
      <c r="B781" s="21">
        <v>779.0</v>
      </c>
      <c r="C781" s="23">
        <v>46268.0</v>
      </c>
      <c r="D781" s="26">
        <v>0.4079966550925926</v>
      </c>
      <c r="E781" s="26">
        <v>0.4065827430555556</v>
      </c>
      <c r="F781" s="33">
        <f t="shared" si="1"/>
        <v>2.036033333</v>
      </c>
      <c r="G781" s="8"/>
      <c r="H781" s="8"/>
      <c r="I781" s="8"/>
    </row>
    <row r="782" ht="15.75" customHeight="1">
      <c r="A782" s="19"/>
      <c r="B782" s="21">
        <v>780.0</v>
      </c>
      <c r="C782" s="23">
        <v>46268.0</v>
      </c>
      <c r="D782" s="26">
        <v>0.4086119328703704</v>
      </c>
      <c r="E782" s="26">
        <v>0.4079966550925926</v>
      </c>
      <c r="F782" s="33">
        <f t="shared" si="1"/>
        <v>0.886</v>
      </c>
      <c r="G782" s="8"/>
      <c r="H782" s="8"/>
      <c r="I782" s="8"/>
    </row>
    <row r="783" ht="15.75" customHeight="1">
      <c r="A783" s="19"/>
      <c r="B783" s="21">
        <v>781.0</v>
      </c>
      <c r="C783" s="23">
        <v>46268.0</v>
      </c>
      <c r="D783" s="26">
        <v>0.408861724537037</v>
      </c>
      <c r="E783" s="26">
        <v>0.4086119328703704</v>
      </c>
      <c r="F783" s="33">
        <f t="shared" si="1"/>
        <v>0.3597</v>
      </c>
      <c r="G783" s="8"/>
      <c r="H783" s="8"/>
      <c r="I783" s="8"/>
    </row>
    <row r="784" ht="15.75" customHeight="1">
      <c r="A784" s="19"/>
      <c r="B784" s="21">
        <v>782.0</v>
      </c>
      <c r="C784" s="23">
        <v>46268.0</v>
      </c>
      <c r="D784" s="26">
        <v>0.4092347569444444</v>
      </c>
      <c r="E784" s="26">
        <v>0.408861724537037</v>
      </c>
      <c r="F784" s="33">
        <f t="shared" si="1"/>
        <v>0.5371666667</v>
      </c>
      <c r="G784" s="8"/>
      <c r="H784" s="8"/>
      <c r="I784" s="8"/>
    </row>
    <row r="785" ht="15.75" customHeight="1">
      <c r="A785" s="19"/>
      <c r="B785" s="21">
        <v>783.0</v>
      </c>
      <c r="C785" s="23">
        <v>46268.0</v>
      </c>
      <c r="D785" s="26">
        <v>0.4095564236111112</v>
      </c>
      <c r="E785" s="26">
        <v>0.4092347569444444</v>
      </c>
      <c r="F785" s="33">
        <f t="shared" si="1"/>
        <v>0.4632</v>
      </c>
      <c r="G785" s="8"/>
      <c r="H785" s="8"/>
      <c r="I785" s="8"/>
    </row>
    <row r="786" ht="15.75" customHeight="1">
      <c r="A786" s="19"/>
      <c r="B786" s="21">
        <v>784.0</v>
      </c>
      <c r="C786" s="23">
        <v>46268.0</v>
      </c>
      <c r="D786" s="26">
        <v>0.4103556712962964</v>
      </c>
      <c r="E786" s="26">
        <v>0.4095564236111112</v>
      </c>
      <c r="F786" s="33">
        <f t="shared" si="1"/>
        <v>1.150916667</v>
      </c>
      <c r="G786" s="8"/>
      <c r="H786" s="8"/>
      <c r="I786" s="8"/>
    </row>
    <row r="787" ht="15.75" customHeight="1">
      <c r="A787" s="19"/>
      <c r="B787" s="21">
        <v>785.0</v>
      </c>
      <c r="C787" s="23">
        <v>46268.0</v>
      </c>
      <c r="D787" s="26">
        <v>0.4105602430555556</v>
      </c>
      <c r="E787" s="26">
        <v>0.4103556712962964</v>
      </c>
      <c r="F787" s="33">
        <f t="shared" si="1"/>
        <v>0.2945833333</v>
      </c>
      <c r="G787" s="8"/>
      <c r="H787" s="8"/>
      <c r="I787" s="8"/>
    </row>
    <row r="788" ht="15.75" customHeight="1">
      <c r="A788" s="19"/>
      <c r="B788" s="21">
        <v>786.0</v>
      </c>
      <c r="C788" s="23">
        <v>46268.0</v>
      </c>
      <c r="D788" s="26">
        <v>0.4107620486111111</v>
      </c>
      <c r="E788" s="26">
        <v>0.4105602430555556</v>
      </c>
      <c r="F788" s="33">
        <f t="shared" si="1"/>
        <v>0.2906</v>
      </c>
      <c r="G788" s="8"/>
      <c r="H788" s="8"/>
      <c r="I788" s="8"/>
    </row>
    <row r="789" ht="15.75" customHeight="1">
      <c r="A789" s="19"/>
      <c r="B789" s="21">
        <v>787.0</v>
      </c>
      <c r="C789" s="23">
        <v>46268.0</v>
      </c>
      <c r="D789" s="26">
        <v>0.4109055324074074</v>
      </c>
      <c r="E789" s="26">
        <v>0.4107620486111111</v>
      </c>
      <c r="F789" s="33">
        <f t="shared" si="1"/>
        <v>0.2066166667</v>
      </c>
      <c r="G789" s="8"/>
      <c r="H789" s="8"/>
      <c r="I789" s="8"/>
    </row>
    <row r="790" ht="15.75" customHeight="1">
      <c r="A790" s="19"/>
      <c r="B790" s="21">
        <v>788.0</v>
      </c>
      <c r="C790" s="23">
        <v>46268.0</v>
      </c>
      <c r="D790" s="26">
        <v>0.4109472685185185</v>
      </c>
      <c r="E790" s="26">
        <v>0.4109055324074074</v>
      </c>
      <c r="F790" s="33">
        <f t="shared" si="1"/>
        <v>0.0601</v>
      </c>
      <c r="G790" s="8"/>
      <c r="H790" s="8"/>
      <c r="I790" s="8"/>
    </row>
    <row r="791" ht="15.75" customHeight="1">
      <c r="A791" s="19"/>
      <c r="B791" s="21">
        <v>789.0</v>
      </c>
      <c r="C791" s="23">
        <v>46268.0</v>
      </c>
      <c r="D791" s="26">
        <v>0.4110600810185185</v>
      </c>
      <c r="E791" s="26">
        <v>0.4109472685185185</v>
      </c>
      <c r="F791" s="33">
        <f t="shared" si="1"/>
        <v>0.16245</v>
      </c>
      <c r="G791" s="8"/>
      <c r="H791" s="8"/>
      <c r="I791" s="8"/>
    </row>
    <row r="792" ht="15.75" customHeight="1">
      <c r="A792" s="19"/>
      <c r="B792" s="21">
        <v>790.0</v>
      </c>
      <c r="C792" s="23">
        <v>46268.0</v>
      </c>
      <c r="D792" s="26">
        <v>0.4111711226851851</v>
      </c>
      <c r="E792" s="26">
        <v>0.4110600810185185</v>
      </c>
      <c r="F792" s="33">
        <f t="shared" si="1"/>
        <v>0.1599</v>
      </c>
      <c r="G792" s="8"/>
      <c r="H792" s="8"/>
      <c r="I792" s="8"/>
    </row>
    <row r="793" ht="15.75" customHeight="1">
      <c r="A793" s="19"/>
      <c r="B793" s="21">
        <v>791.0</v>
      </c>
      <c r="C793" s="23">
        <v>46268.0</v>
      </c>
      <c r="D793" s="26">
        <v>0.412177175925926</v>
      </c>
      <c r="E793" s="26">
        <v>0.4111711226851851</v>
      </c>
      <c r="F793" s="33">
        <f t="shared" si="1"/>
        <v>1.448716667</v>
      </c>
      <c r="G793" s="8"/>
      <c r="H793" s="8"/>
      <c r="I793" s="8"/>
    </row>
    <row r="794" ht="15.75" customHeight="1">
      <c r="A794" s="19"/>
      <c r="B794" s="21">
        <v>792.0</v>
      </c>
      <c r="C794" s="23">
        <v>46268.0</v>
      </c>
      <c r="D794" s="26">
        <v>0.4125520717592593</v>
      </c>
      <c r="E794" s="26">
        <v>0.412177175925926</v>
      </c>
      <c r="F794" s="33">
        <f t="shared" si="1"/>
        <v>0.53985</v>
      </c>
      <c r="G794" s="8"/>
      <c r="H794" s="8"/>
      <c r="I794" s="8"/>
    </row>
    <row r="795" ht="15.75" customHeight="1">
      <c r="A795" s="19"/>
      <c r="B795" s="21">
        <v>793.0</v>
      </c>
      <c r="C795" s="23">
        <v>46268.0</v>
      </c>
      <c r="D795" s="26">
        <v>0.4128193055555556</v>
      </c>
      <c r="E795" s="26">
        <v>0.4125520717592593</v>
      </c>
      <c r="F795" s="33">
        <f t="shared" si="1"/>
        <v>0.3848166667</v>
      </c>
      <c r="G795" s="8"/>
      <c r="H795" s="8"/>
      <c r="I795" s="8"/>
    </row>
    <row r="796" ht="15.75" customHeight="1">
      <c r="A796" s="19"/>
      <c r="B796" s="21">
        <v>794.0</v>
      </c>
      <c r="C796" s="23">
        <v>46268.0</v>
      </c>
      <c r="D796" s="26">
        <v>0.4129397800925926</v>
      </c>
      <c r="E796" s="26">
        <v>0.4128193055555556</v>
      </c>
      <c r="F796" s="33">
        <f t="shared" si="1"/>
        <v>0.1734833333</v>
      </c>
      <c r="G796" s="8"/>
      <c r="H796" s="8"/>
      <c r="I796" s="8"/>
    </row>
    <row r="797" ht="15.75" customHeight="1">
      <c r="A797" s="19"/>
      <c r="B797" s="21">
        <v>795.0</v>
      </c>
      <c r="C797" s="23">
        <v>46268.0</v>
      </c>
      <c r="D797" s="26">
        <v>0.4135401504629629</v>
      </c>
      <c r="E797" s="26">
        <v>0.4129397800925926</v>
      </c>
      <c r="F797" s="33">
        <f t="shared" si="1"/>
        <v>0.8645333333</v>
      </c>
      <c r="G797" s="8"/>
      <c r="H797" s="8"/>
      <c r="I797" s="8"/>
    </row>
    <row r="798" ht="15.75" customHeight="1">
      <c r="A798" s="19"/>
      <c r="B798" s="21">
        <v>796.0</v>
      </c>
      <c r="C798" s="23">
        <v>46268.0</v>
      </c>
      <c r="D798" s="26">
        <v>0.4142427314814815</v>
      </c>
      <c r="E798" s="26">
        <v>0.4135401504629629</v>
      </c>
      <c r="F798" s="33">
        <f t="shared" si="1"/>
        <v>1.011716667</v>
      </c>
      <c r="G798" s="8"/>
      <c r="H798" s="8"/>
      <c r="I798" s="8"/>
    </row>
    <row r="799" ht="15.75" customHeight="1">
      <c r="A799" s="19"/>
      <c r="B799" s="21">
        <v>797.0</v>
      </c>
      <c r="C799" s="23">
        <v>46268.0</v>
      </c>
      <c r="D799" s="26">
        <v>0.4152724421296296</v>
      </c>
      <c r="E799" s="26">
        <v>0.4142427314814815</v>
      </c>
      <c r="F799" s="33">
        <f t="shared" si="1"/>
        <v>1.482783333</v>
      </c>
      <c r="G799" s="8"/>
      <c r="H799" s="8"/>
      <c r="I799" s="8"/>
    </row>
    <row r="800" ht="15.75" customHeight="1">
      <c r="A800" s="19"/>
      <c r="B800" s="21">
        <v>798.0</v>
      </c>
      <c r="C800" s="23">
        <v>46268.0</v>
      </c>
      <c r="D800" s="26">
        <v>0.4153345949074074</v>
      </c>
      <c r="E800" s="26">
        <v>0.4152724421296296</v>
      </c>
      <c r="F800" s="33">
        <f t="shared" si="1"/>
        <v>0.0895</v>
      </c>
      <c r="G800" s="8"/>
      <c r="H800" s="8"/>
      <c r="I800" s="8"/>
    </row>
    <row r="801" ht="15.75" customHeight="1">
      <c r="A801" s="19"/>
      <c r="B801" s="21">
        <v>799.0</v>
      </c>
      <c r="C801" s="23">
        <v>46268.0</v>
      </c>
      <c r="D801" s="26">
        <v>0.4163190972222222</v>
      </c>
      <c r="E801" s="26">
        <v>0.4153345949074074</v>
      </c>
      <c r="F801" s="33">
        <f t="shared" si="1"/>
        <v>1.417683333</v>
      </c>
      <c r="G801" s="8"/>
      <c r="H801" s="8"/>
      <c r="I801" s="8"/>
    </row>
    <row r="802" ht="15.75" customHeight="1">
      <c r="A802" s="19"/>
      <c r="B802" s="21">
        <v>800.0</v>
      </c>
      <c r="C802" s="23">
        <v>46269.0</v>
      </c>
      <c r="D802" s="26">
        <v>0.3755488078703704</v>
      </c>
      <c r="E802" s="26">
        <v>0.3752293634259259</v>
      </c>
      <c r="F802" s="33">
        <f t="shared" si="1"/>
        <v>0.46</v>
      </c>
      <c r="G802" s="8"/>
      <c r="H802" s="8"/>
      <c r="I802" s="8"/>
    </row>
    <row r="803" ht="15.75" customHeight="1">
      <c r="A803" s="19"/>
      <c r="B803" s="21">
        <v>801.0</v>
      </c>
      <c r="C803" s="23">
        <v>46269.0</v>
      </c>
      <c r="D803" s="26">
        <v>0.3765067824074074</v>
      </c>
      <c r="E803" s="26">
        <v>0.3755488078703704</v>
      </c>
      <c r="F803" s="33">
        <f t="shared" si="1"/>
        <v>1.379483333</v>
      </c>
      <c r="G803" s="8"/>
      <c r="H803" s="8"/>
      <c r="I803" s="8"/>
    </row>
    <row r="804" ht="15.75" customHeight="1">
      <c r="A804" s="19"/>
      <c r="B804" s="21">
        <v>802.0</v>
      </c>
      <c r="C804" s="23">
        <v>46269.0</v>
      </c>
      <c r="D804" s="26">
        <v>0.3765109606481482</v>
      </c>
      <c r="E804" s="26">
        <v>0.3765067824074074</v>
      </c>
      <c r="F804" s="33">
        <f t="shared" si="1"/>
        <v>0.006016666667</v>
      </c>
      <c r="G804" s="8"/>
      <c r="H804" s="8"/>
      <c r="I804" s="8"/>
    </row>
    <row r="805" ht="15.75" customHeight="1">
      <c r="A805" s="19"/>
      <c r="B805" s="21">
        <v>803.0</v>
      </c>
      <c r="C805" s="23">
        <v>46269.0</v>
      </c>
      <c r="D805" s="26">
        <v>0.3767983564814815</v>
      </c>
      <c r="E805" s="26">
        <v>0.3765109606481482</v>
      </c>
      <c r="F805" s="33">
        <f t="shared" si="1"/>
        <v>0.41385</v>
      </c>
      <c r="G805" s="8"/>
      <c r="H805" s="8"/>
      <c r="I805" s="8"/>
    </row>
    <row r="806" ht="15.75" customHeight="1">
      <c r="A806" s="19"/>
      <c r="B806" s="21">
        <v>804.0</v>
      </c>
      <c r="C806" s="23">
        <v>46269.0</v>
      </c>
      <c r="D806" s="26">
        <v>0.3768670023148148</v>
      </c>
      <c r="E806" s="26">
        <v>0.3767983564814815</v>
      </c>
      <c r="F806" s="33">
        <f t="shared" si="1"/>
        <v>0.09885</v>
      </c>
      <c r="G806" s="8"/>
      <c r="H806" s="8"/>
      <c r="I806" s="8"/>
    </row>
    <row r="807" ht="15.75" customHeight="1">
      <c r="A807" s="19"/>
      <c r="B807" s="21">
        <v>805.0</v>
      </c>
      <c r="C807" s="23">
        <v>46269.0</v>
      </c>
      <c r="D807" s="26">
        <v>0.3769022337962963</v>
      </c>
      <c r="E807" s="26">
        <v>0.3768670023148148</v>
      </c>
      <c r="F807" s="33">
        <f t="shared" si="1"/>
        <v>0.05073333333</v>
      </c>
      <c r="G807" s="8"/>
      <c r="H807" s="8"/>
      <c r="I807" s="8"/>
    </row>
    <row r="808" ht="15.75" customHeight="1">
      <c r="A808" s="19"/>
      <c r="B808" s="21">
        <v>806.0</v>
      </c>
      <c r="C808" s="23">
        <v>46269.0</v>
      </c>
      <c r="D808" s="26">
        <v>0.3790038888888889</v>
      </c>
      <c r="E808" s="26">
        <v>0.3769022337962963</v>
      </c>
      <c r="F808" s="33">
        <f t="shared" si="1"/>
        <v>3.026383333</v>
      </c>
      <c r="G808" s="8"/>
      <c r="H808" s="8"/>
      <c r="I808" s="8"/>
    </row>
    <row r="809" ht="15.75" customHeight="1">
      <c r="A809" s="19"/>
      <c r="B809" s="21">
        <v>807.0</v>
      </c>
      <c r="C809" s="23">
        <v>46269.0</v>
      </c>
      <c r="D809" s="26">
        <v>0.3790490162037037</v>
      </c>
      <c r="E809" s="26">
        <v>0.3790038888888889</v>
      </c>
      <c r="F809" s="33">
        <f t="shared" si="1"/>
        <v>0.06498333333</v>
      </c>
      <c r="G809" s="8"/>
      <c r="H809" s="8"/>
      <c r="I809" s="8"/>
    </row>
    <row r="810" ht="15.75" customHeight="1">
      <c r="A810" s="19"/>
      <c r="B810" s="21">
        <v>808.0</v>
      </c>
      <c r="C810" s="23">
        <v>46269.0</v>
      </c>
      <c r="D810" s="26">
        <v>0.3795185532407407</v>
      </c>
      <c r="E810" s="26">
        <v>0.3790490162037037</v>
      </c>
      <c r="F810" s="33">
        <f t="shared" si="1"/>
        <v>0.6761333333</v>
      </c>
      <c r="G810" s="8"/>
      <c r="H810" s="8"/>
      <c r="I810" s="8"/>
    </row>
    <row r="811" ht="15.75" customHeight="1">
      <c r="A811" s="19"/>
      <c r="B811" s="21">
        <v>809.0</v>
      </c>
      <c r="C811" s="23">
        <v>46269.0</v>
      </c>
      <c r="D811" s="26">
        <v>0.3798250115740741</v>
      </c>
      <c r="E811" s="26">
        <v>0.3795185532407407</v>
      </c>
      <c r="F811" s="33">
        <f t="shared" si="1"/>
        <v>0.4413</v>
      </c>
      <c r="G811" s="8"/>
      <c r="H811" s="8"/>
      <c r="I811" s="8"/>
    </row>
    <row r="812" ht="15.75" customHeight="1">
      <c r="A812" s="19"/>
      <c r="B812" s="21">
        <v>810.0</v>
      </c>
      <c r="C812" s="23">
        <v>46269.0</v>
      </c>
      <c r="D812" s="26">
        <v>0.3804669444444444</v>
      </c>
      <c r="E812" s="26">
        <v>0.3798250115740741</v>
      </c>
      <c r="F812" s="33">
        <f t="shared" si="1"/>
        <v>0.9243833333</v>
      </c>
      <c r="G812" s="8"/>
      <c r="H812" s="8"/>
      <c r="I812" s="8"/>
    </row>
    <row r="813" ht="15.75" customHeight="1">
      <c r="A813" s="19"/>
      <c r="B813" s="21">
        <v>811.0</v>
      </c>
      <c r="C813" s="23">
        <v>46269.0</v>
      </c>
      <c r="D813" s="26">
        <v>0.3807954282407407</v>
      </c>
      <c r="E813" s="26">
        <v>0.3804669444444444</v>
      </c>
      <c r="F813" s="33">
        <f t="shared" si="1"/>
        <v>0.4730166667</v>
      </c>
      <c r="G813" s="8"/>
      <c r="H813" s="8"/>
      <c r="I813" s="8"/>
    </row>
    <row r="814" ht="15.75" customHeight="1">
      <c r="A814" s="19"/>
      <c r="B814" s="21">
        <v>812.0</v>
      </c>
      <c r="C814" s="23">
        <v>46269.0</v>
      </c>
      <c r="D814" s="26">
        <v>0.3809306018518519</v>
      </c>
      <c r="E814" s="26">
        <v>0.3807954282407407</v>
      </c>
      <c r="F814" s="33">
        <f t="shared" si="1"/>
        <v>0.19465</v>
      </c>
      <c r="G814" s="8"/>
      <c r="H814" s="8"/>
      <c r="I814" s="8"/>
    </row>
    <row r="815" ht="15.75" customHeight="1">
      <c r="A815" s="19"/>
      <c r="B815" s="21">
        <v>813.0</v>
      </c>
      <c r="C815" s="23">
        <v>46269.0</v>
      </c>
      <c r="D815" s="26">
        <v>0.3817967129629629</v>
      </c>
      <c r="E815" s="26">
        <v>0.3809306018518519</v>
      </c>
      <c r="F815" s="33">
        <f t="shared" si="1"/>
        <v>1.2472</v>
      </c>
      <c r="G815" s="8"/>
      <c r="H815" s="8"/>
      <c r="I815" s="8"/>
    </row>
    <row r="816" ht="15.75" customHeight="1">
      <c r="A816" s="19"/>
      <c r="B816" s="21">
        <v>814.0</v>
      </c>
      <c r="C816" s="23">
        <v>46269.0</v>
      </c>
      <c r="D816" s="26">
        <v>0.3826211574074074</v>
      </c>
      <c r="E816" s="26">
        <v>0.3817967129629629</v>
      </c>
      <c r="F816" s="33">
        <f t="shared" si="1"/>
        <v>1.1872</v>
      </c>
      <c r="G816" s="8"/>
      <c r="H816" s="8"/>
      <c r="I816" s="8"/>
    </row>
    <row r="817" ht="15.75" customHeight="1">
      <c r="A817" s="19"/>
      <c r="B817" s="21">
        <v>815.0</v>
      </c>
      <c r="C817" s="23">
        <v>46269.0</v>
      </c>
      <c r="D817" s="26">
        <v>0.3832319097222222</v>
      </c>
      <c r="E817" s="26">
        <v>0.3826211574074074</v>
      </c>
      <c r="F817" s="33">
        <f t="shared" si="1"/>
        <v>0.8794833333</v>
      </c>
      <c r="G817" s="8"/>
      <c r="H817" s="8"/>
      <c r="I817" s="8"/>
    </row>
    <row r="818" ht="15.75" customHeight="1">
      <c r="A818" s="19"/>
      <c r="B818" s="21">
        <v>816.0</v>
      </c>
      <c r="C818" s="23">
        <v>46269.0</v>
      </c>
      <c r="D818" s="26">
        <v>0.3833009375</v>
      </c>
      <c r="E818" s="26">
        <v>0.3832319097222222</v>
      </c>
      <c r="F818" s="33">
        <f t="shared" si="1"/>
        <v>0.0994</v>
      </c>
      <c r="G818" s="8"/>
      <c r="H818" s="8"/>
      <c r="I818" s="8"/>
    </row>
    <row r="819" ht="15.75" customHeight="1">
      <c r="A819" s="19"/>
      <c r="B819" s="21">
        <v>817.0</v>
      </c>
      <c r="C819" s="23">
        <v>46269.0</v>
      </c>
      <c r="D819" s="26">
        <v>0.383672650462963</v>
      </c>
      <c r="E819" s="26">
        <v>0.3833009375</v>
      </c>
      <c r="F819" s="33">
        <f t="shared" si="1"/>
        <v>0.5352666667</v>
      </c>
      <c r="G819" s="8"/>
      <c r="H819" s="8"/>
      <c r="I819" s="8"/>
    </row>
    <row r="820" ht="15.75" customHeight="1">
      <c r="A820" s="19"/>
      <c r="B820" s="21">
        <v>818.0</v>
      </c>
      <c r="C820" s="23">
        <v>46269.0</v>
      </c>
      <c r="D820" s="26">
        <v>0.3837237962962963</v>
      </c>
      <c r="E820" s="26">
        <v>0.383672650462963</v>
      </c>
      <c r="F820" s="33">
        <f t="shared" si="1"/>
        <v>0.07365</v>
      </c>
      <c r="G820" s="8"/>
      <c r="H820" s="8"/>
      <c r="I820" s="8"/>
    </row>
    <row r="821" ht="15.75" customHeight="1">
      <c r="A821" s="19"/>
      <c r="B821" s="21">
        <v>819.0</v>
      </c>
      <c r="C821" s="23">
        <v>46269.0</v>
      </c>
      <c r="D821" s="26">
        <v>0.3838156365740741</v>
      </c>
      <c r="E821" s="26">
        <v>0.3837237962962963</v>
      </c>
      <c r="F821" s="33">
        <f t="shared" si="1"/>
        <v>0.13225</v>
      </c>
      <c r="G821" s="8"/>
      <c r="H821" s="8"/>
      <c r="I821" s="8"/>
    </row>
    <row r="822" ht="15.75" customHeight="1">
      <c r="A822" s="19"/>
      <c r="B822" s="21">
        <v>820.0</v>
      </c>
      <c r="C822" s="23">
        <v>46269.0</v>
      </c>
      <c r="D822" s="26">
        <v>0.3850147800925926</v>
      </c>
      <c r="E822" s="26">
        <v>0.3838156365740741</v>
      </c>
      <c r="F822" s="33">
        <f t="shared" si="1"/>
        <v>1.726766667</v>
      </c>
      <c r="G822" s="8"/>
      <c r="H822" s="8"/>
      <c r="I822" s="8"/>
    </row>
    <row r="823" ht="15.75" customHeight="1">
      <c r="A823" s="19"/>
      <c r="B823" s="21">
        <v>821.0</v>
      </c>
      <c r="C823" s="23">
        <v>46269.0</v>
      </c>
      <c r="D823" s="26">
        <v>0.3866604398148148</v>
      </c>
      <c r="E823" s="26">
        <v>0.3850147800925926</v>
      </c>
      <c r="F823" s="33">
        <f t="shared" si="1"/>
        <v>2.36975</v>
      </c>
      <c r="G823" s="8"/>
      <c r="H823" s="8"/>
      <c r="I823" s="8"/>
    </row>
    <row r="824" ht="15.75" customHeight="1">
      <c r="A824" s="19"/>
      <c r="B824" s="21">
        <v>822.0</v>
      </c>
      <c r="C824" s="23">
        <v>46269.0</v>
      </c>
      <c r="D824" s="26">
        <v>0.3867313425925926</v>
      </c>
      <c r="E824" s="26">
        <v>0.3866604398148148</v>
      </c>
      <c r="F824" s="33">
        <f t="shared" si="1"/>
        <v>0.1021</v>
      </c>
      <c r="G824" s="8"/>
      <c r="H824" s="8"/>
      <c r="I824" s="8"/>
    </row>
    <row r="825" ht="15.75" customHeight="1">
      <c r="A825" s="19"/>
      <c r="B825" s="21">
        <v>823.0</v>
      </c>
      <c r="C825" s="23">
        <v>46269.0</v>
      </c>
      <c r="D825" s="26">
        <v>0.3875249305555556</v>
      </c>
      <c r="E825" s="26">
        <v>0.3867313425925926</v>
      </c>
      <c r="F825" s="33">
        <f t="shared" si="1"/>
        <v>1.142766667</v>
      </c>
      <c r="G825" s="8"/>
      <c r="H825" s="8"/>
      <c r="I825" s="8"/>
    </row>
    <row r="826" ht="15.75" customHeight="1">
      <c r="A826" s="19"/>
      <c r="B826" s="21">
        <v>824.0</v>
      </c>
      <c r="C826" s="23">
        <v>46269.0</v>
      </c>
      <c r="D826" s="26">
        <v>0.3890309143518519</v>
      </c>
      <c r="E826" s="26">
        <v>0.3875249305555556</v>
      </c>
      <c r="F826" s="33">
        <f t="shared" si="1"/>
        <v>2.168616667</v>
      </c>
      <c r="G826" s="8"/>
      <c r="H826" s="8"/>
      <c r="I826" s="8"/>
    </row>
    <row r="827" ht="15.75" customHeight="1">
      <c r="A827" s="19"/>
      <c r="B827" s="21">
        <v>825.0</v>
      </c>
      <c r="C827" s="23">
        <v>46269.0</v>
      </c>
      <c r="D827" s="26">
        <v>0.3890337731481481</v>
      </c>
      <c r="E827" s="26">
        <v>0.3890309143518519</v>
      </c>
      <c r="F827" s="33">
        <f t="shared" si="1"/>
        <v>0.004116666667</v>
      </c>
      <c r="G827" s="8"/>
      <c r="H827" s="8"/>
      <c r="I827" s="8"/>
    </row>
    <row r="828" ht="15.75" customHeight="1">
      <c r="A828" s="19"/>
      <c r="B828" s="21">
        <v>826.0</v>
      </c>
      <c r="C828" s="23">
        <v>46269.0</v>
      </c>
      <c r="D828" s="26">
        <v>0.3891235763888889</v>
      </c>
      <c r="E828" s="26">
        <v>0.3890337731481481</v>
      </c>
      <c r="F828" s="33">
        <f t="shared" si="1"/>
        <v>0.1293166667</v>
      </c>
      <c r="G828" s="8"/>
      <c r="H828" s="8"/>
      <c r="I828" s="8"/>
    </row>
    <row r="829" ht="15.75" customHeight="1">
      <c r="A829" s="19"/>
      <c r="B829" s="21">
        <v>827.0</v>
      </c>
      <c r="C829" s="23">
        <v>46269.0</v>
      </c>
      <c r="D829" s="26">
        <v>0.3894363541666667</v>
      </c>
      <c r="E829" s="26">
        <v>0.3891235763888889</v>
      </c>
      <c r="F829" s="33">
        <f t="shared" si="1"/>
        <v>0.4504</v>
      </c>
      <c r="G829" s="8"/>
      <c r="H829" s="8"/>
      <c r="I829" s="8"/>
    </row>
    <row r="830" ht="15.75" customHeight="1">
      <c r="A830" s="19"/>
      <c r="B830" s="21">
        <v>828.0</v>
      </c>
      <c r="C830" s="23">
        <v>46269.0</v>
      </c>
      <c r="D830" s="26">
        <v>0.3898329745370371</v>
      </c>
      <c r="E830" s="26">
        <v>0.3894363541666667</v>
      </c>
      <c r="F830" s="33">
        <f t="shared" si="1"/>
        <v>0.5711333333</v>
      </c>
      <c r="G830" s="8"/>
      <c r="H830" s="8"/>
      <c r="I830" s="8"/>
    </row>
    <row r="831" ht="15.75" customHeight="1">
      <c r="A831" s="19"/>
      <c r="B831" s="21">
        <v>829.0</v>
      </c>
      <c r="C831" s="23">
        <v>46269.0</v>
      </c>
      <c r="D831" s="26">
        <v>0.3903259953703703</v>
      </c>
      <c r="E831" s="26">
        <v>0.3898329745370371</v>
      </c>
      <c r="F831" s="33">
        <f t="shared" si="1"/>
        <v>0.70995</v>
      </c>
      <c r="G831" s="8"/>
      <c r="H831" s="8"/>
      <c r="I831" s="8"/>
    </row>
    <row r="832" ht="15.75" customHeight="1">
      <c r="A832" s="19"/>
      <c r="B832" s="21">
        <v>830.0</v>
      </c>
      <c r="C832" s="23">
        <v>46269.0</v>
      </c>
      <c r="D832" s="26">
        <v>0.3908281712962963</v>
      </c>
      <c r="E832" s="26">
        <v>0.3903259953703703</v>
      </c>
      <c r="F832" s="33">
        <f t="shared" si="1"/>
        <v>0.7231333333</v>
      </c>
      <c r="G832" s="8"/>
      <c r="H832" s="8"/>
      <c r="I832" s="8"/>
    </row>
    <row r="833" ht="15.75" customHeight="1">
      <c r="A833" s="19"/>
      <c r="B833" s="21">
        <v>831.0</v>
      </c>
      <c r="C833" s="23">
        <v>46269.0</v>
      </c>
      <c r="D833" s="26">
        <v>0.3915958101851851</v>
      </c>
      <c r="E833" s="26">
        <v>0.3908281712962963</v>
      </c>
      <c r="F833" s="33">
        <f t="shared" si="1"/>
        <v>1.1054</v>
      </c>
      <c r="G833" s="8"/>
      <c r="H833" s="8"/>
      <c r="I833" s="8"/>
    </row>
    <row r="834" ht="15.75" customHeight="1">
      <c r="A834" s="19"/>
      <c r="B834" s="21">
        <v>832.0</v>
      </c>
      <c r="C834" s="23">
        <v>46269.0</v>
      </c>
      <c r="D834" s="26">
        <v>0.391805162037037</v>
      </c>
      <c r="E834" s="26">
        <v>0.3915958101851851</v>
      </c>
      <c r="F834" s="33">
        <f t="shared" si="1"/>
        <v>0.3014666667</v>
      </c>
      <c r="G834" s="8"/>
      <c r="H834" s="8"/>
      <c r="I834" s="8"/>
    </row>
    <row r="835" ht="15.75" customHeight="1">
      <c r="A835" s="19"/>
      <c r="B835" s="21">
        <v>833.0</v>
      </c>
      <c r="C835" s="23">
        <v>46269.0</v>
      </c>
      <c r="D835" s="26">
        <v>0.3921294560185185</v>
      </c>
      <c r="E835" s="26">
        <v>0.391805162037037</v>
      </c>
      <c r="F835" s="33">
        <f t="shared" si="1"/>
        <v>0.4669833333</v>
      </c>
      <c r="G835" s="8"/>
      <c r="H835" s="8"/>
      <c r="I835" s="8"/>
    </row>
    <row r="836" ht="15.75" customHeight="1">
      <c r="A836" s="19"/>
      <c r="B836" s="21">
        <v>834.0</v>
      </c>
      <c r="C836" s="23">
        <v>46269.0</v>
      </c>
      <c r="D836" s="26">
        <v>0.3923770254629629</v>
      </c>
      <c r="E836" s="26">
        <v>0.3921294560185185</v>
      </c>
      <c r="F836" s="33">
        <f t="shared" si="1"/>
        <v>0.3565</v>
      </c>
      <c r="G836" s="8"/>
      <c r="H836" s="8"/>
      <c r="I836" s="8"/>
    </row>
    <row r="837" ht="15.75" customHeight="1">
      <c r="A837" s="19"/>
      <c r="B837" s="21">
        <v>835.0</v>
      </c>
      <c r="C837" s="23">
        <v>46269.0</v>
      </c>
      <c r="D837" s="26">
        <v>0.3930487962962962</v>
      </c>
      <c r="E837" s="26">
        <v>0.3923770254629629</v>
      </c>
      <c r="F837" s="33">
        <f t="shared" si="1"/>
        <v>0.96735</v>
      </c>
      <c r="G837" s="8"/>
      <c r="H837" s="8"/>
      <c r="I837" s="8"/>
    </row>
    <row r="838" ht="15.75" customHeight="1">
      <c r="A838" s="19"/>
      <c r="B838" s="21">
        <v>836.0</v>
      </c>
      <c r="C838" s="23">
        <v>46269.0</v>
      </c>
      <c r="D838" s="26">
        <v>0.3934162384259259</v>
      </c>
      <c r="E838" s="26">
        <v>0.3930487962962962</v>
      </c>
      <c r="F838" s="33">
        <f t="shared" si="1"/>
        <v>0.5291166667</v>
      </c>
      <c r="G838" s="8"/>
      <c r="H838" s="8"/>
      <c r="I838" s="8"/>
    </row>
    <row r="839" ht="15.75" customHeight="1">
      <c r="A839" s="19"/>
      <c r="B839" s="21">
        <v>837.0</v>
      </c>
      <c r="C839" s="23">
        <v>46269.0</v>
      </c>
      <c r="D839" s="26">
        <v>0.3934609606481482</v>
      </c>
      <c r="E839" s="26">
        <v>0.3934162384259259</v>
      </c>
      <c r="F839" s="33">
        <f t="shared" si="1"/>
        <v>0.0644</v>
      </c>
      <c r="G839" s="8"/>
      <c r="H839" s="8"/>
      <c r="I839" s="8"/>
    </row>
    <row r="840" ht="15.75" customHeight="1">
      <c r="A840" s="19"/>
      <c r="B840" s="21">
        <v>838.0</v>
      </c>
      <c r="C840" s="23">
        <v>46269.0</v>
      </c>
      <c r="D840" s="26">
        <v>0.3943600925925926</v>
      </c>
      <c r="E840" s="26">
        <v>0.3934609606481482</v>
      </c>
      <c r="F840" s="33">
        <f t="shared" si="1"/>
        <v>1.29475</v>
      </c>
      <c r="G840" s="8"/>
      <c r="H840" s="8"/>
      <c r="I840" s="8"/>
    </row>
    <row r="841" ht="15.75" customHeight="1">
      <c r="A841" s="19"/>
      <c r="B841" s="21">
        <v>839.0</v>
      </c>
      <c r="C841" s="23">
        <v>46269.0</v>
      </c>
      <c r="D841" s="26">
        <v>0.3962460879629629</v>
      </c>
      <c r="E841" s="26">
        <v>0.3943600925925926</v>
      </c>
      <c r="F841" s="33">
        <f t="shared" si="1"/>
        <v>2.715833333</v>
      </c>
      <c r="G841" s="8"/>
      <c r="H841" s="8"/>
      <c r="I841" s="8"/>
    </row>
    <row r="842" ht="15.75" customHeight="1">
      <c r="A842" s="19"/>
      <c r="B842" s="21">
        <v>840.0</v>
      </c>
      <c r="C842" s="23">
        <v>46269.0</v>
      </c>
      <c r="D842" s="26">
        <v>0.3964071759259259</v>
      </c>
      <c r="E842" s="26">
        <v>0.3962460879629629</v>
      </c>
      <c r="F842" s="33">
        <f t="shared" si="1"/>
        <v>0.2319666667</v>
      </c>
      <c r="G842" s="8"/>
      <c r="H842" s="8"/>
      <c r="I842" s="8"/>
    </row>
    <row r="843" ht="15.75" customHeight="1">
      <c r="A843" s="19"/>
      <c r="B843" s="21">
        <v>841.0</v>
      </c>
      <c r="C843" s="23">
        <v>46269.0</v>
      </c>
      <c r="D843" s="26">
        <v>0.3964520949074075</v>
      </c>
      <c r="E843" s="26">
        <v>0.3964071759259259</v>
      </c>
      <c r="F843" s="33">
        <f t="shared" si="1"/>
        <v>0.06468333333</v>
      </c>
      <c r="G843" s="8"/>
      <c r="H843" s="8"/>
      <c r="I843" s="8"/>
    </row>
    <row r="844" ht="15.75" customHeight="1">
      <c r="A844" s="19"/>
      <c r="B844" s="21">
        <v>842.0</v>
      </c>
      <c r="C844" s="23">
        <v>46269.0</v>
      </c>
      <c r="D844" s="26">
        <v>0.3968090393518519</v>
      </c>
      <c r="E844" s="26">
        <v>0.3964520949074075</v>
      </c>
      <c r="F844" s="33">
        <f t="shared" si="1"/>
        <v>0.514</v>
      </c>
      <c r="G844" s="8"/>
      <c r="H844" s="8"/>
      <c r="I844" s="8"/>
    </row>
    <row r="845" ht="15.75" customHeight="1">
      <c r="A845" s="19"/>
      <c r="B845" s="21">
        <v>843.0</v>
      </c>
      <c r="C845" s="23">
        <v>46269.0</v>
      </c>
      <c r="D845" s="26">
        <v>0.3973170254629629</v>
      </c>
      <c r="E845" s="26">
        <v>0.3968090393518519</v>
      </c>
      <c r="F845" s="33">
        <f t="shared" si="1"/>
        <v>0.7315</v>
      </c>
      <c r="G845" s="8"/>
      <c r="H845" s="8"/>
      <c r="I845" s="8"/>
    </row>
    <row r="846" ht="15.75" customHeight="1">
      <c r="A846" s="19"/>
      <c r="B846" s="21">
        <v>844.0</v>
      </c>
      <c r="C846" s="23">
        <v>46269.0</v>
      </c>
      <c r="D846" s="26">
        <v>0.397849375</v>
      </c>
      <c r="E846" s="26">
        <v>0.3973170254629629</v>
      </c>
      <c r="F846" s="33">
        <f t="shared" si="1"/>
        <v>0.7665833333</v>
      </c>
      <c r="G846" s="8"/>
      <c r="H846" s="8"/>
      <c r="I846" s="8"/>
    </row>
    <row r="847" ht="15.75" customHeight="1">
      <c r="A847" s="19"/>
      <c r="B847" s="21">
        <v>845.0</v>
      </c>
      <c r="C847" s="23">
        <v>46269.0</v>
      </c>
      <c r="D847" s="26">
        <v>0.3982688773148148</v>
      </c>
      <c r="E847" s="26">
        <v>0.397849375</v>
      </c>
      <c r="F847" s="33">
        <f t="shared" si="1"/>
        <v>0.6040833333</v>
      </c>
      <c r="G847" s="8"/>
      <c r="H847" s="8"/>
      <c r="I847" s="8"/>
    </row>
    <row r="848" ht="15.75" customHeight="1">
      <c r="A848" s="19"/>
      <c r="B848" s="21">
        <v>846.0</v>
      </c>
      <c r="C848" s="23">
        <v>46269.0</v>
      </c>
      <c r="D848" s="26">
        <v>0.3982856944444444</v>
      </c>
      <c r="E848" s="26">
        <v>0.3982688773148148</v>
      </c>
      <c r="F848" s="33">
        <f t="shared" si="1"/>
        <v>0.02421666667</v>
      </c>
      <c r="G848" s="8"/>
      <c r="H848" s="8"/>
      <c r="I848" s="8"/>
    </row>
    <row r="849" ht="15.75" customHeight="1">
      <c r="A849" s="19"/>
      <c r="B849" s="21">
        <v>847.0</v>
      </c>
      <c r="C849" s="23">
        <v>46269.0</v>
      </c>
      <c r="D849" s="26">
        <v>0.3983744444444445</v>
      </c>
      <c r="E849" s="26">
        <v>0.3982856944444444</v>
      </c>
      <c r="F849" s="33">
        <f t="shared" si="1"/>
        <v>0.1278</v>
      </c>
      <c r="G849" s="8"/>
      <c r="H849" s="8"/>
      <c r="I849" s="8"/>
    </row>
    <row r="850" ht="15.75" customHeight="1">
      <c r="A850" s="19"/>
      <c r="B850" s="21">
        <v>848.0</v>
      </c>
      <c r="C850" s="23">
        <v>46269.0</v>
      </c>
      <c r="D850" s="26">
        <v>0.3989228124999999</v>
      </c>
      <c r="E850" s="26">
        <v>0.3983744444444445</v>
      </c>
      <c r="F850" s="33">
        <f t="shared" si="1"/>
        <v>0.78965</v>
      </c>
      <c r="G850" s="8"/>
      <c r="H850" s="8"/>
      <c r="I850" s="8"/>
    </row>
    <row r="851" ht="15.75" customHeight="1">
      <c r="A851" s="19"/>
      <c r="B851" s="21">
        <v>849.0</v>
      </c>
      <c r="C851" s="23">
        <v>46269.0</v>
      </c>
      <c r="D851" s="26">
        <v>0.3992767939814815</v>
      </c>
      <c r="E851" s="26">
        <v>0.3989228124999999</v>
      </c>
      <c r="F851" s="33">
        <f t="shared" si="1"/>
        <v>0.5097333333</v>
      </c>
      <c r="G851" s="8"/>
      <c r="H851" s="8"/>
      <c r="I851" s="8"/>
    </row>
    <row r="852" ht="15.75" customHeight="1">
      <c r="A852" s="19"/>
      <c r="B852" s="21">
        <v>850.0</v>
      </c>
      <c r="C852" s="23">
        <v>46269.0</v>
      </c>
      <c r="D852" s="26">
        <v>0.4009902430555556</v>
      </c>
      <c r="E852" s="26">
        <v>0.3992767939814815</v>
      </c>
      <c r="F852" s="33">
        <f t="shared" si="1"/>
        <v>2.467366667</v>
      </c>
      <c r="G852" s="8"/>
      <c r="H852" s="8"/>
      <c r="I852" s="8"/>
    </row>
    <row r="853" ht="15.75" customHeight="1">
      <c r="A853" s="19"/>
      <c r="B853" s="21">
        <v>851.0</v>
      </c>
      <c r="C853" s="23">
        <v>46269.0</v>
      </c>
      <c r="D853" s="26">
        <v>0.4017599189814815</v>
      </c>
      <c r="E853" s="26">
        <v>0.4009902430555556</v>
      </c>
      <c r="F853" s="33">
        <f t="shared" si="1"/>
        <v>1.108333333</v>
      </c>
      <c r="G853" s="8"/>
      <c r="H853" s="8"/>
      <c r="I853" s="8"/>
    </row>
    <row r="854" ht="15.75" customHeight="1">
      <c r="A854" s="19"/>
      <c r="B854" s="21">
        <v>852.0</v>
      </c>
      <c r="C854" s="23">
        <v>46269.0</v>
      </c>
      <c r="D854" s="26">
        <v>0.4018155208333333</v>
      </c>
      <c r="E854" s="26">
        <v>0.4017599189814815</v>
      </c>
      <c r="F854" s="33">
        <f t="shared" si="1"/>
        <v>0.08006666667</v>
      </c>
      <c r="G854" s="8"/>
      <c r="H854" s="8"/>
      <c r="I854" s="8"/>
    </row>
    <row r="855" ht="15.75" customHeight="1">
      <c r="A855" s="19"/>
      <c r="B855" s="21">
        <v>853.0</v>
      </c>
      <c r="C855" s="23">
        <v>46269.0</v>
      </c>
      <c r="D855" s="26">
        <v>0.4027434722222222</v>
      </c>
      <c r="E855" s="26">
        <v>0.4018155208333333</v>
      </c>
      <c r="F855" s="33">
        <f t="shared" si="1"/>
        <v>1.33625</v>
      </c>
      <c r="G855" s="8"/>
      <c r="H855" s="8"/>
      <c r="I855" s="8"/>
    </row>
    <row r="856" ht="15.75" customHeight="1">
      <c r="A856" s="19"/>
      <c r="B856" s="21">
        <v>854.0</v>
      </c>
      <c r="C856" s="23">
        <v>46269.0</v>
      </c>
      <c r="D856" s="26">
        <v>0.4028643981481481</v>
      </c>
      <c r="E856" s="26">
        <v>0.4027434722222222</v>
      </c>
      <c r="F856" s="33">
        <f t="shared" si="1"/>
        <v>0.1741333333</v>
      </c>
      <c r="G856" s="8"/>
      <c r="H856" s="8"/>
      <c r="I856" s="8"/>
    </row>
    <row r="857" ht="15.75" customHeight="1">
      <c r="A857" s="19"/>
      <c r="B857" s="21">
        <v>855.0</v>
      </c>
      <c r="C857" s="23">
        <v>46269.0</v>
      </c>
      <c r="D857" s="26">
        <v>0.4032455439814815</v>
      </c>
      <c r="E857" s="26">
        <v>0.4028643981481481</v>
      </c>
      <c r="F857" s="33">
        <f t="shared" si="1"/>
        <v>0.54885</v>
      </c>
      <c r="G857" s="8"/>
      <c r="H857" s="8"/>
      <c r="I857" s="8"/>
    </row>
    <row r="858" ht="15.75" customHeight="1">
      <c r="A858" s="19"/>
      <c r="B858" s="21">
        <v>856.0</v>
      </c>
      <c r="C858" s="23">
        <v>46269.0</v>
      </c>
      <c r="D858" s="26">
        <v>0.4039126157407408</v>
      </c>
      <c r="E858" s="26">
        <v>0.4032455439814815</v>
      </c>
      <c r="F858" s="33">
        <f t="shared" si="1"/>
        <v>0.9605833333</v>
      </c>
      <c r="G858" s="8"/>
      <c r="H858" s="8"/>
      <c r="I858" s="8"/>
    </row>
    <row r="859" ht="15.75" customHeight="1">
      <c r="A859" s="19"/>
      <c r="B859" s="21">
        <v>857.0</v>
      </c>
      <c r="C859" s="23">
        <v>46269.0</v>
      </c>
      <c r="D859" s="26">
        <v>0.4048819328703704</v>
      </c>
      <c r="E859" s="26">
        <v>0.4039126157407408</v>
      </c>
      <c r="F859" s="33">
        <f t="shared" si="1"/>
        <v>1.395816667</v>
      </c>
      <c r="G859" s="8"/>
      <c r="H859" s="8"/>
      <c r="I859" s="8"/>
    </row>
    <row r="860" ht="15.75" customHeight="1">
      <c r="A860" s="19"/>
      <c r="B860" s="21">
        <v>858.0</v>
      </c>
      <c r="C860" s="23">
        <v>46269.0</v>
      </c>
      <c r="D860" s="26">
        <v>0.405209224537037</v>
      </c>
      <c r="E860" s="26">
        <v>0.4048819328703704</v>
      </c>
      <c r="F860" s="33">
        <f t="shared" si="1"/>
        <v>0.4713</v>
      </c>
      <c r="G860" s="8"/>
      <c r="H860" s="8"/>
      <c r="I860" s="8"/>
    </row>
    <row r="861" ht="15.75" customHeight="1">
      <c r="A861" s="19"/>
      <c r="B861" s="21">
        <v>859.0</v>
      </c>
      <c r="C861" s="23">
        <v>46269.0</v>
      </c>
      <c r="D861" s="26">
        <v>0.406402962962963</v>
      </c>
      <c r="E861" s="26">
        <v>0.405209224537037</v>
      </c>
      <c r="F861" s="33">
        <f t="shared" si="1"/>
        <v>1.718983333</v>
      </c>
      <c r="G861" s="8"/>
      <c r="H861" s="8"/>
      <c r="I861" s="8"/>
    </row>
    <row r="862" ht="15.75" customHeight="1">
      <c r="A862" s="19"/>
      <c r="B862" s="21">
        <v>860.0</v>
      </c>
      <c r="C862" s="23">
        <v>46269.0</v>
      </c>
      <c r="D862" s="26">
        <v>0.4070644791666667</v>
      </c>
      <c r="E862" s="26">
        <v>0.406402962962963</v>
      </c>
      <c r="F862" s="33">
        <f t="shared" si="1"/>
        <v>0.9525833333</v>
      </c>
      <c r="G862" s="8"/>
      <c r="H862" s="8"/>
      <c r="I862" s="8"/>
    </row>
    <row r="863" ht="15.75" customHeight="1">
      <c r="A863" s="19"/>
      <c r="B863" s="21">
        <v>861.0</v>
      </c>
      <c r="C863" s="23">
        <v>46269.0</v>
      </c>
      <c r="D863" s="26">
        <v>0.4074665162037037</v>
      </c>
      <c r="E863" s="26">
        <v>0.4070644791666667</v>
      </c>
      <c r="F863" s="33">
        <f t="shared" si="1"/>
        <v>0.5789333333</v>
      </c>
      <c r="G863" s="8"/>
      <c r="H863" s="8"/>
      <c r="I863" s="8"/>
    </row>
    <row r="864" ht="15.75" customHeight="1">
      <c r="A864" s="19"/>
      <c r="B864" s="21">
        <v>862.0</v>
      </c>
      <c r="C864" s="23">
        <v>46269.0</v>
      </c>
      <c r="D864" s="26">
        <v>0.4075969675925926</v>
      </c>
      <c r="E864" s="26">
        <v>0.4074665162037037</v>
      </c>
      <c r="F864" s="33">
        <f t="shared" si="1"/>
        <v>0.18785</v>
      </c>
      <c r="G864" s="8"/>
      <c r="H864" s="8"/>
      <c r="I864" s="8"/>
    </row>
    <row r="865" ht="15.75" customHeight="1">
      <c r="A865" s="19"/>
      <c r="B865" s="21">
        <v>863.0</v>
      </c>
      <c r="C865" s="23">
        <v>46269.0</v>
      </c>
      <c r="D865" s="26">
        <v>0.4076624074074074</v>
      </c>
      <c r="E865" s="26">
        <v>0.4075969675925926</v>
      </c>
      <c r="F865" s="33">
        <f t="shared" si="1"/>
        <v>0.09423333333</v>
      </c>
      <c r="G865" s="8"/>
      <c r="H865" s="8"/>
      <c r="I865" s="8"/>
    </row>
    <row r="866" ht="15.75" customHeight="1">
      <c r="A866" s="19"/>
      <c r="B866" s="21">
        <v>864.0</v>
      </c>
      <c r="C866" s="23">
        <v>46269.0</v>
      </c>
      <c r="D866" s="26">
        <v>0.4092566435185185</v>
      </c>
      <c r="E866" s="26">
        <v>0.4076624074074074</v>
      </c>
      <c r="F866" s="33">
        <f t="shared" si="1"/>
        <v>2.2957</v>
      </c>
      <c r="G866" s="8"/>
      <c r="H866" s="8"/>
      <c r="I866" s="8"/>
    </row>
    <row r="867" ht="15.75" customHeight="1">
      <c r="A867" s="19"/>
      <c r="B867" s="21">
        <v>865.0</v>
      </c>
      <c r="C867" s="23">
        <v>46269.0</v>
      </c>
      <c r="D867" s="26">
        <v>0.4098505787037037</v>
      </c>
      <c r="E867" s="26">
        <v>0.4092566435185185</v>
      </c>
      <c r="F867" s="33">
        <f t="shared" si="1"/>
        <v>0.8552666667</v>
      </c>
      <c r="G867" s="8"/>
      <c r="H867" s="8"/>
      <c r="I867" s="8"/>
    </row>
    <row r="868" ht="15.75" customHeight="1">
      <c r="A868" s="19"/>
      <c r="B868" s="21">
        <v>866.0</v>
      </c>
      <c r="C868" s="23">
        <v>46269.0</v>
      </c>
      <c r="D868" s="26">
        <v>0.4099617013888889</v>
      </c>
      <c r="E868" s="26">
        <v>0.4098505787037037</v>
      </c>
      <c r="F868" s="33">
        <f t="shared" si="1"/>
        <v>0.1600166667</v>
      </c>
      <c r="G868" s="8"/>
      <c r="H868" s="8"/>
      <c r="I868" s="8"/>
    </row>
    <row r="869" ht="15.75" customHeight="1">
      <c r="A869" s="19"/>
      <c r="B869" s="21">
        <v>867.0</v>
      </c>
      <c r="C869" s="23">
        <v>46269.0</v>
      </c>
      <c r="D869" s="26">
        <v>0.4101091666666667</v>
      </c>
      <c r="E869" s="26">
        <v>0.4099617013888889</v>
      </c>
      <c r="F869" s="33">
        <f t="shared" si="1"/>
        <v>0.21235</v>
      </c>
      <c r="G869" s="8"/>
      <c r="H869" s="8"/>
      <c r="I869" s="8"/>
    </row>
    <row r="870" ht="15.75" customHeight="1">
      <c r="A870" s="19"/>
      <c r="B870" s="21">
        <v>868.0</v>
      </c>
      <c r="C870" s="23">
        <v>46269.0</v>
      </c>
      <c r="D870" s="26">
        <v>0.410235625</v>
      </c>
      <c r="E870" s="26">
        <v>0.4101091666666667</v>
      </c>
      <c r="F870" s="33">
        <f t="shared" si="1"/>
        <v>0.1821</v>
      </c>
      <c r="G870" s="8"/>
      <c r="H870" s="8"/>
      <c r="I870" s="8"/>
    </row>
    <row r="871" ht="15.75" customHeight="1">
      <c r="A871" s="19"/>
      <c r="B871" s="21">
        <v>869.0</v>
      </c>
      <c r="C871" s="23">
        <v>46269.0</v>
      </c>
      <c r="D871" s="26">
        <v>0.4104427662037037</v>
      </c>
      <c r="E871" s="26">
        <v>0.410235625</v>
      </c>
      <c r="F871" s="33">
        <f t="shared" si="1"/>
        <v>0.2982833333</v>
      </c>
      <c r="G871" s="8"/>
      <c r="H871" s="8"/>
      <c r="I871" s="8"/>
    </row>
    <row r="872" ht="15.75" customHeight="1">
      <c r="A872" s="19"/>
      <c r="B872" s="21">
        <v>870.0</v>
      </c>
      <c r="C872" s="23">
        <v>46269.0</v>
      </c>
      <c r="D872" s="26">
        <v>0.4110170023148148</v>
      </c>
      <c r="E872" s="26">
        <v>0.4104427662037037</v>
      </c>
      <c r="F872" s="33">
        <f t="shared" si="1"/>
        <v>0.8269</v>
      </c>
      <c r="G872" s="8"/>
      <c r="H872" s="8"/>
      <c r="I872" s="8"/>
    </row>
    <row r="873" ht="15.75" customHeight="1">
      <c r="A873" s="19"/>
      <c r="B873" s="21">
        <v>871.0</v>
      </c>
      <c r="C873" s="23">
        <v>46269.0</v>
      </c>
      <c r="D873" s="26">
        <v>0.4112460995370371</v>
      </c>
      <c r="E873" s="26">
        <v>0.4110170023148148</v>
      </c>
      <c r="F873" s="33">
        <f t="shared" si="1"/>
        <v>0.3299</v>
      </c>
      <c r="G873" s="8"/>
      <c r="H873" s="8"/>
      <c r="I873" s="8"/>
    </row>
    <row r="874" ht="15.75" customHeight="1">
      <c r="A874" s="19"/>
      <c r="B874" s="21">
        <v>872.0</v>
      </c>
      <c r="C874" s="23">
        <v>46269.0</v>
      </c>
      <c r="D874" s="26">
        <v>0.4118350231481482</v>
      </c>
      <c r="E874" s="26">
        <v>0.4112460995370371</v>
      </c>
      <c r="F874" s="33">
        <f t="shared" si="1"/>
        <v>0.84805</v>
      </c>
      <c r="G874" s="8"/>
      <c r="H874" s="8"/>
      <c r="I874" s="8"/>
    </row>
    <row r="875" ht="15.75" customHeight="1">
      <c r="A875" s="19"/>
      <c r="B875" s="21">
        <v>873.0</v>
      </c>
      <c r="C875" s="23">
        <v>46269.0</v>
      </c>
      <c r="D875" s="26">
        <v>0.4131130092592593</v>
      </c>
      <c r="E875" s="26">
        <v>0.4118350231481482</v>
      </c>
      <c r="F875" s="33">
        <f t="shared" si="1"/>
        <v>1.8403</v>
      </c>
      <c r="G875" s="8"/>
      <c r="H875" s="8"/>
      <c r="I875" s="8"/>
    </row>
    <row r="876" ht="15.75" customHeight="1">
      <c r="A876" s="19"/>
      <c r="B876" s="21">
        <v>874.0</v>
      </c>
      <c r="C876" s="23">
        <v>46269.0</v>
      </c>
      <c r="D876" s="26">
        <v>0.4132032523148148</v>
      </c>
      <c r="E876" s="26">
        <v>0.4131130092592593</v>
      </c>
      <c r="F876" s="33">
        <f t="shared" si="1"/>
        <v>0.12995</v>
      </c>
      <c r="G876" s="8"/>
      <c r="H876" s="8"/>
      <c r="I876" s="8"/>
    </row>
    <row r="877" ht="15.75" customHeight="1">
      <c r="A877" s="19"/>
      <c r="B877" s="21">
        <v>875.0</v>
      </c>
      <c r="C877" s="23">
        <v>46269.0</v>
      </c>
      <c r="D877" s="26">
        <v>0.4135249768518518</v>
      </c>
      <c r="E877" s="26">
        <v>0.4132032523148148</v>
      </c>
      <c r="F877" s="33">
        <f t="shared" si="1"/>
        <v>0.4632833333</v>
      </c>
      <c r="G877" s="8"/>
      <c r="H877" s="8"/>
      <c r="I877" s="8"/>
    </row>
    <row r="878" ht="15.75" customHeight="1">
      <c r="A878" s="19"/>
      <c r="B878" s="21">
        <v>876.0</v>
      </c>
      <c r="C878" s="23">
        <v>46269.0</v>
      </c>
      <c r="D878" s="26">
        <v>0.4141820023148148</v>
      </c>
      <c r="E878" s="26">
        <v>0.4135249768518518</v>
      </c>
      <c r="F878" s="33">
        <f t="shared" si="1"/>
        <v>0.9461166667</v>
      </c>
      <c r="G878" s="8"/>
      <c r="H878" s="8"/>
      <c r="I878" s="8"/>
    </row>
    <row r="879" ht="15.75" customHeight="1">
      <c r="A879" s="19"/>
      <c r="B879" s="21">
        <v>877.0</v>
      </c>
      <c r="C879" s="23">
        <v>46269.0</v>
      </c>
      <c r="D879" s="26">
        <v>0.4142145833333333</v>
      </c>
      <c r="E879" s="26">
        <v>0.4141820023148148</v>
      </c>
      <c r="F879" s="33">
        <f t="shared" si="1"/>
        <v>0.04691666667</v>
      </c>
      <c r="G879" s="8"/>
      <c r="H879" s="8"/>
      <c r="I879" s="8"/>
    </row>
    <row r="880" ht="15.75" customHeight="1">
      <c r="A880" s="19"/>
      <c r="B880" s="21">
        <v>878.0</v>
      </c>
      <c r="C880" s="23">
        <v>46269.0</v>
      </c>
      <c r="D880" s="26">
        <v>0.4142156481481482</v>
      </c>
      <c r="E880" s="26">
        <v>0.4142145833333333</v>
      </c>
      <c r="F880" s="33">
        <f t="shared" si="1"/>
        <v>0.001533333334</v>
      </c>
      <c r="G880" s="8"/>
      <c r="H880" s="8"/>
      <c r="I880" s="8"/>
    </row>
    <row r="881" ht="15.75" customHeight="1">
      <c r="A881" s="19"/>
      <c r="B881" s="21">
        <v>879.0</v>
      </c>
      <c r="C881" s="23">
        <v>46269.0</v>
      </c>
      <c r="D881" s="26">
        <v>0.4142324189814814</v>
      </c>
      <c r="E881" s="26">
        <v>0.4142156481481482</v>
      </c>
      <c r="F881" s="33">
        <f t="shared" si="1"/>
        <v>0.02415</v>
      </c>
      <c r="G881" s="8"/>
      <c r="H881" s="8"/>
      <c r="I881" s="8"/>
    </row>
    <row r="882" ht="15.75" customHeight="1">
      <c r="A882" s="19"/>
      <c r="B882" s="21">
        <v>880.0</v>
      </c>
      <c r="C882" s="23">
        <v>46269.0</v>
      </c>
      <c r="D882" s="26">
        <v>0.4157606712962963</v>
      </c>
      <c r="E882" s="26">
        <v>0.4142324189814814</v>
      </c>
      <c r="F882" s="33">
        <f t="shared" si="1"/>
        <v>2.200683333</v>
      </c>
      <c r="G882" s="8"/>
      <c r="H882" s="8"/>
      <c r="I882" s="8"/>
    </row>
    <row r="883" ht="15.75" customHeight="1">
      <c r="A883" s="19"/>
      <c r="B883" s="21">
        <v>881.0</v>
      </c>
      <c r="C883" s="23">
        <v>46269.0</v>
      </c>
      <c r="D883" s="26">
        <v>0.4158165046296297</v>
      </c>
      <c r="E883" s="26">
        <v>0.4157606712962963</v>
      </c>
      <c r="F883" s="33">
        <f t="shared" si="1"/>
        <v>0.0804</v>
      </c>
      <c r="G883" s="8"/>
      <c r="H883" s="8"/>
      <c r="I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</row>
  </sheetData>
  <mergeCells count="1">
    <mergeCell ref="B1:F1"/>
  </mergeCells>
  <printOptions/>
  <pageMargins bottom="1.0" footer="0.0" header="0.0" left="0.75" right="0.75" top="1.0"/>
  <pageSetup orientation="landscape"/>
  <drawing r:id="rId1"/>
</worksheet>
</file>