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ciones" sheetId="1" state="visible" r:id="rId1"/>
    <sheet xmlns:r="http://schemas.openxmlformats.org/officeDocument/2006/relationships" name="Registro" sheetId="2" state="visible" r:id="rId2"/>
    <sheet xmlns:r="http://schemas.openxmlformats.org/officeDocument/2006/relationships" name="Llegadas" sheetId="3" state="visible" r:id="rId3"/>
    <sheet xmlns:r="http://schemas.openxmlformats.org/officeDocument/2006/relationships" name="Intervalos_5min" sheetId="4" state="visible" r:id="rId4"/>
    <sheet xmlns:r="http://schemas.openxmlformats.org/officeDocument/2006/relationships" name="Entre_llegadas" sheetId="5" state="visible" r:id="rId5"/>
    <sheet xmlns:r="http://schemas.openxmlformats.org/officeDocument/2006/relationships" name="Resume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dd/mm/yyyy"/>
    <numFmt numFmtId="165" formatCode="hh:mm:ss"/>
    <numFmt numFmtId="166" formatCode="0.0"/>
    <numFmt numFmtId="167" formatCode="0.0%"/>
    <numFmt numFmtId="168" formatCode="0.000"/>
    <numFmt numFmtId="169" formatCode="0.0000"/>
    <numFmt numFmtId="170" formatCode="yyyy-mm-dd h:mm:ss"/>
  </numFmts>
  <fonts count="10">
    <font>
      <name val="Calibri"/>
      <color theme="1"/>
      <sz val="11"/>
      <scheme val="minor"/>
    </font>
    <font>
      <name val="Arial"/>
      <b val="1"/>
      <color theme="1"/>
      <sz val="14"/>
    </font>
    <font>
      <name val="Arial"/>
      <color theme="1"/>
      <sz val="10"/>
    </font>
    <font>
      <name val="Arial"/>
      <b val="1"/>
      <color theme="1"/>
      <sz val="10"/>
    </font>
    <font>
      <name val="Arial"/>
      <b val="1"/>
      <color rgb="FFFFFFFF"/>
      <sz val="10"/>
    </font>
    <font>
      <name val="Arial"/>
      <color rgb="FF0000FF"/>
      <sz val="10"/>
    </font>
    <font>
      <name val="Arial"/>
      <b val="1"/>
      <color rgb="FFFFFF00"/>
      <sz val="10"/>
    </font>
    <font>
      <name val="Calibri"/>
      <color theme="1"/>
      <sz val="11"/>
    </font>
    <font>
      <b val="1"/>
      <sz val="12"/>
    </font>
    <font>
      <b val="1"/>
    </font>
  </fonts>
  <fills count="5">
    <fill>
      <patternFill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FFF99"/>
        <bgColor rgb="FFFFFF99"/>
      </patternFill>
    </fill>
    <fill>
      <patternFill patternType="solid">
        <fgColor rgb="FFDDEBF7"/>
        <bgColor rgb="FFDDEBF7"/>
      </patternFill>
    </fill>
  </fills>
  <borders count="3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/>
      <right/>
      <top/>
      <bottom/>
    </border>
  </borders>
  <cellStyleXfs count="1">
    <xf numFmtId="0" fontId="0" fillId="0" borderId="0"/>
  </cellStyleXfs>
  <cellXfs count="42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bottom"/>
    </xf>
    <xf numFmtId="0" fontId="4" fillId="2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vertical="bottom"/>
    </xf>
    <xf numFmtId="0" fontId="4" fillId="2" borderId="2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bottom"/>
    </xf>
    <xf numFmtId="164" fontId="2" fillId="0" borderId="0" applyAlignment="1" pivotButton="0" quotePrefix="0" xfId="0">
      <alignment vertical="bottom"/>
    </xf>
    <xf numFmtId="165" fontId="2" fillId="0" borderId="0" applyAlignment="1" pivotButton="0" quotePrefix="0" xfId="0">
      <alignment vertical="bottom"/>
    </xf>
    <xf numFmtId="164" fontId="5" fillId="3" borderId="1" applyAlignment="1" pivotButton="0" quotePrefix="0" xfId="0">
      <alignment vertical="bottom"/>
    </xf>
    <xf numFmtId="0" fontId="6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bottom"/>
    </xf>
    <xf numFmtId="1" fontId="2" fillId="0" borderId="1" applyAlignment="1" pivotButton="0" quotePrefix="0" xfId="0">
      <alignment vertical="bottom"/>
    </xf>
    <xf numFmtId="1" fontId="5" fillId="3" borderId="1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165" fontId="5" fillId="3" borderId="1" applyAlignment="1" pivotButton="0" quotePrefix="0" xfId="0">
      <alignment vertical="bottom"/>
    </xf>
    <xf numFmtId="2" fontId="2" fillId="0" borderId="1" applyAlignment="1" pivotButton="0" quotePrefix="0" xfId="0">
      <alignment vertical="bottom"/>
    </xf>
    <xf numFmtId="166" fontId="2" fillId="0" borderId="1" applyAlignment="1" pivotButton="0" quotePrefix="0" xfId="0">
      <alignment horizontal="center" vertical="bottom"/>
    </xf>
    <xf numFmtId="167" fontId="2" fillId="0" borderId="1" applyAlignment="1" pivotButton="0" quotePrefix="0" xfId="0">
      <alignment horizontal="center" vertical="bottom"/>
    </xf>
    <xf numFmtId="0" fontId="4" fillId="2" borderId="2" applyAlignment="1" pivotButton="0" quotePrefix="0" xfId="0">
      <alignment vertical="bottom"/>
    </xf>
    <xf numFmtId="0" fontId="7" fillId="2" borderId="2" applyAlignment="1" pivotButton="0" quotePrefix="0" xfId="0">
      <alignment vertical="bottom"/>
    </xf>
    <xf numFmtId="0" fontId="3" fillId="0" borderId="1" applyAlignment="1" pivotButton="0" quotePrefix="0" xfId="0">
      <alignment vertical="bottom"/>
    </xf>
    <xf numFmtId="0" fontId="5" fillId="3" borderId="1" applyAlignment="1" pivotButton="0" quotePrefix="0" xfId="0">
      <alignment horizontal="center" vertical="bottom"/>
    </xf>
    <xf numFmtId="0" fontId="5" fillId="0" borderId="1" applyAlignment="1" pivotButton="0" quotePrefix="0" xfId="0">
      <alignment horizontal="center" vertical="bottom"/>
    </xf>
    <xf numFmtId="168" fontId="2" fillId="0" borderId="1" applyAlignment="1" pivotButton="0" quotePrefix="0" xfId="0">
      <alignment horizontal="center" vertical="bottom"/>
    </xf>
    <xf numFmtId="0" fontId="2" fillId="0" borderId="1" applyAlignment="1" pivotButton="0" quotePrefix="0" xfId="0">
      <alignment horizontal="center" vertical="bottom"/>
    </xf>
    <xf numFmtId="167" fontId="2" fillId="0" borderId="1" applyAlignment="1" pivotButton="0" quotePrefix="0" xfId="0">
      <alignment vertical="bottom"/>
    </xf>
    <xf numFmtId="166" fontId="5" fillId="3" borderId="1" applyAlignment="1" pivotButton="0" quotePrefix="0" xfId="0">
      <alignment vertical="bottom"/>
    </xf>
    <xf numFmtId="168" fontId="2" fillId="0" borderId="1" applyAlignment="1" pivotButton="0" quotePrefix="0" xfId="0">
      <alignment vertical="bottom"/>
    </xf>
    <xf numFmtId="49" fontId="2" fillId="0" borderId="1" applyAlignment="1" pivotButton="0" quotePrefix="0" xfId="0">
      <alignment vertical="bottom"/>
    </xf>
    <xf numFmtId="2" fontId="2" fillId="0" borderId="1" applyAlignment="1" pivotButton="0" quotePrefix="0" xfId="0">
      <alignment horizontal="center" vertical="bottom"/>
    </xf>
    <xf numFmtId="0" fontId="4" fillId="2" borderId="1" applyAlignment="1" pivotButton="0" quotePrefix="0" xfId="0">
      <alignment vertical="bottom"/>
    </xf>
    <xf numFmtId="169" fontId="2" fillId="0" borderId="1" applyAlignment="1" pivotButton="0" quotePrefix="0" xfId="0">
      <alignment vertical="bottom"/>
    </xf>
    <xf numFmtId="0" fontId="0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8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ColWidth="14.43" defaultRowHeight="15" customHeight="1"/>
  <cols>
    <col width="24" customWidth="1" style="36" min="1" max="1"/>
    <col width="100" customWidth="1" style="36" min="2" max="2"/>
    <col width="14" customWidth="1" style="36" min="3" max="10"/>
    <col width="8.710000000000001" customWidth="1" style="36" min="11" max="26"/>
  </cols>
  <sheetData>
    <row r="1">
      <c r="A1" s="1" t="inlineStr">
        <is>
          <t>Registro y análisis de colas - Audifarma, sede Plaza del Sol</t>
        </is>
      </c>
    </row>
    <row r="2" ht="43.5" customHeight="1" s="36">
      <c r="A2" s="3" t="inlineStr">
        <is>
          <t>Qué es esto</t>
        </is>
      </c>
      <c r="B2" s="4" t="inlineStr">
        <is>
          <t>Libro con DATOS SIMULADOS (generados aleatoriamente) para ilustrar el registro y el cálculo de las estadísticas y los modelos M/M/1, M/M/s y M/G/1 del trabajo. Reemplácelos por mediciones reales de la sede cuando estén disponibles.</t>
        </is>
      </c>
    </row>
    <row r="3" ht="43.5" customHeight="1" s="36">
      <c r="A3" s="3" t="inlineStr">
        <is>
          <t>Leyenda</t>
        </is>
      </c>
      <c r="B3" s="4" t="inlineStr">
        <is>
          <t>Celdas amarillas con letra azul = se llenan con datos o supuestos propios. Celdas sin relleno = fórmulas, no se editan.</t>
        </is>
      </c>
    </row>
    <row r="4" ht="43.5" customHeight="1" s="36">
      <c r="A4" s="3" t="inlineStr">
        <is>
          <t>Paso 1 - Registro</t>
        </is>
      </c>
      <c r="B4" s="4" t="inlineStr">
        <is>
          <t>Una fila por usuario observado: fecha, turno, tipo de trámite, preferencial (S/N), hora del turno, del llamado, inicio y fin de la atención, módulo. Las columnas K (espera), L (atención) y M (franja) se calculan solas.</t>
        </is>
      </c>
    </row>
    <row r="5" ht="43.5" customHeight="1" s="36">
      <c r="A5" s="3" t="inlineStr">
        <is>
          <t>Paso 2 - Llegadas</t>
        </is>
      </c>
      <c r="B5" s="4" t="inlineStr">
        <is>
          <t>Cuente los turnos emitidos por franja y por día. Edite los rótulos de las franjas según el horario real y registre los módulos habilitados (s) en cada franja.</t>
        </is>
      </c>
    </row>
    <row r="6" ht="43.5" customHeight="1" s="36">
      <c r="A6" s="3" t="inlineStr">
        <is>
          <t>Paso 3 - Intervalos_5min</t>
        </is>
      </c>
      <c r="B6" s="4" t="inlineStr">
        <is>
          <t>Opcional: llegadas en intervalos consecutivos de 5 minutos para comparar media y varianza (indicio de Poisson).</t>
        </is>
      </c>
    </row>
    <row r="7" ht="43.5" customHeight="1" s="36">
      <c r="A7" s="3" t="inlineStr">
        <is>
          <t>Paso 4 - Resumen</t>
        </is>
      </c>
      <c r="B7" s="4" t="inlineStr">
        <is>
          <t>Lea las estadísticas de servicio y espera. En la sección C escriba λ y s del escenario y compare los tres modelos.</t>
        </is>
      </c>
    </row>
    <row r="8" ht="43.5" customHeight="1" s="36">
      <c r="A8" s="3" t="inlineStr">
        <is>
          <t>Supuestos ajustables</t>
        </is>
      </c>
      <c r="B8" s="4" t="inlineStr">
        <is>
          <t>El umbral 'Crítico' (ρ ≥ 0,85, hoja Llegadas) y el umbral de espera de 15 min (hoja Resumen) son convenciones de trabajo, no normas. Cámbielos si su director define otros.</t>
        </is>
      </c>
    </row>
    <row r="9" ht="43.5" customHeight="1" s="36">
      <c r="A9" s="3" t="inlineStr">
        <is>
          <t>Límites</t>
        </is>
      </c>
      <c r="B9" s="4" t="inlineStr">
        <is>
          <t>Las pruebas de bondad de ajuste (chi-cuadrado, Kolmogorov-Smirnov) y la simulación de eventos discretos no están en este libro; se hacen aparte (por ejemplo, en Python con SciPy).</t>
        </is>
      </c>
    </row>
    <row r="10" ht="43.5" customHeight="1" s="36">
      <c r="A10" s="3" t="inlineStr">
        <is>
          <t>Capacidad</t>
        </is>
      </c>
      <c r="B10" s="4" t="inlineStr">
        <is>
          <t>Registro admite 1000 usuarios, Llegadas 15 días y 10 franjas, Intervalos_5min 300 intervalos, y la sección C hasta 12 módulos.</t>
        </is>
      </c>
    </row>
    <row r="12">
      <c r="A12" s="5" t="inlineStr">
        <is>
          <t>Ejemplo de FORMATO (no es un dato real, no se usa en los cálculos)</t>
        </is>
      </c>
    </row>
    <row r="13">
      <c r="A13" s="8" t="inlineStr">
        <is>
          <t>N.º</t>
        </is>
      </c>
      <c r="B13" s="8" t="inlineStr">
        <is>
          <t>Fecha</t>
        </is>
      </c>
      <c r="C13" s="8" t="inlineStr">
        <is>
          <t>Turno</t>
        </is>
      </c>
      <c r="D13" s="8" t="inlineStr">
        <is>
          <t>Tipo de trámite</t>
        </is>
      </c>
      <c r="E13" s="8" t="inlineStr">
        <is>
          <t>Pref. (S/N)</t>
        </is>
      </c>
      <c r="F13" s="8" t="inlineStr">
        <is>
          <t>Hora turno</t>
        </is>
      </c>
      <c r="G13" s="8" t="inlineStr">
        <is>
          <t>Hora llamado</t>
        </is>
      </c>
      <c r="H13" s="8" t="inlineStr">
        <is>
          <t>Inicio atención</t>
        </is>
      </c>
      <c r="I13" s="8" t="inlineStr">
        <is>
          <t>Fin atención</t>
        </is>
      </c>
      <c r="J13" s="8" t="inlineStr">
        <is>
          <t>Módulo</t>
        </is>
      </c>
    </row>
    <row r="14">
      <c r="A14" s="2" t="n">
        <v>1</v>
      </c>
      <c r="B14" s="10" t="n">
        <v>46023</v>
      </c>
      <c r="C14" s="2" t="inlineStr">
        <is>
          <t>D-001</t>
        </is>
      </c>
      <c r="D14" s="2" t="inlineStr">
        <is>
          <t>Dispensación</t>
        </is>
      </c>
      <c r="E14" s="2" t="inlineStr">
        <is>
          <t>N</t>
        </is>
      </c>
      <c r="F14" s="11" t="n">
        <v>0.3333333333333333</v>
      </c>
      <c r="G14" s="11" t="n">
        <v>0.3368055555555556</v>
      </c>
      <c r="H14" s="11" t="n">
        <v>0.3369212962962963</v>
      </c>
      <c r="I14" s="11" t="n">
        <v>0.3388888888888889</v>
      </c>
      <c r="J14" s="2" t="n">
        <v>1</v>
      </c>
    </row>
    <row r="20" ht="15.75" customHeight="1" s="36"/>
    <row r="21" ht="15.75" customHeight="1" s="36"/>
    <row r="22" ht="15.75" customHeight="1" s="36"/>
    <row r="23" ht="15.75" customHeight="1" s="36"/>
    <row r="24" ht="15.75" customHeight="1" s="36"/>
    <row r="25" ht="15.75" customHeight="1" s="36"/>
    <row r="26" ht="15.75" customHeight="1" s="36"/>
    <row r="27" ht="15.75" customHeight="1" s="36"/>
    <row r="28" ht="15.75" customHeight="1" s="36"/>
    <row r="29" ht="15.75" customHeight="1" s="36"/>
    <row r="30" ht="15.75" customHeight="1" s="36"/>
    <row r="31" ht="15.75" customHeight="1" s="36"/>
    <row r="32" ht="15.75" customHeight="1" s="36"/>
    <row r="33" ht="15.75" customHeight="1" s="36"/>
    <row r="34" ht="15.75" customHeight="1" s="36"/>
    <row r="35" ht="15.75" customHeight="1" s="36"/>
    <row r="36" ht="15.75" customHeight="1" s="36"/>
    <row r="37" ht="15.75" customHeight="1" s="36"/>
    <row r="38" ht="15.75" customHeight="1" s="36"/>
    <row r="39" ht="15.75" customHeight="1" s="36"/>
    <row r="40" ht="15.75" customHeight="1" s="36"/>
    <row r="41" ht="15.75" customHeight="1" s="36"/>
    <row r="42" ht="15.75" customHeight="1" s="36"/>
    <row r="43" ht="15.75" customHeight="1" s="36"/>
    <row r="44" ht="15.75" customHeight="1" s="36"/>
    <row r="45" ht="15.75" customHeight="1" s="36"/>
    <row r="46" ht="15.75" customHeight="1" s="36"/>
    <row r="47" ht="15.75" customHeight="1" s="36"/>
    <row r="48" ht="15.75" customHeight="1" s="36"/>
    <row r="49" ht="15.75" customHeight="1" s="36"/>
    <row r="50" ht="15.75" customHeight="1" s="36"/>
    <row r="51" ht="15.75" customHeight="1" s="36"/>
    <row r="52" ht="15.75" customHeight="1" s="36"/>
    <row r="53" ht="15.75" customHeight="1" s="36"/>
    <row r="54" ht="15.75" customHeight="1" s="36"/>
    <row r="55" ht="15.75" customHeight="1" s="36"/>
    <row r="56" ht="15.75" customHeight="1" s="36"/>
    <row r="57" ht="15.75" customHeight="1" s="36"/>
    <row r="58" ht="15.75" customHeight="1" s="36"/>
    <row r="59" ht="15.75" customHeight="1" s="36"/>
    <row r="60" ht="15.75" customHeight="1" s="36"/>
    <row r="61" ht="15.75" customHeight="1" s="36"/>
    <row r="62" ht="15.75" customHeight="1" s="36"/>
    <row r="63" ht="15.75" customHeight="1" s="36"/>
    <row r="64" ht="15.75" customHeight="1" s="36"/>
    <row r="65" ht="15.75" customHeight="1" s="36"/>
    <row r="66" ht="15.75" customHeight="1" s="36"/>
    <row r="67" ht="15.75" customHeight="1" s="36"/>
    <row r="68" ht="15.75" customHeight="1" s="36"/>
    <row r="69" ht="15.75" customHeight="1" s="36"/>
    <row r="70" ht="15.75" customHeight="1" s="36"/>
    <row r="71" ht="15.75" customHeight="1" s="36"/>
    <row r="72" ht="15.75" customHeight="1" s="36"/>
    <row r="73" ht="15.75" customHeight="1" s="36"/>
    <row r="74" ht="15.75" customHeight="1" s="36"/>
    <row r="75" ht="15.75" customHeight="1" s="36"/>
    <row r="76" ht="15.75" customHeight="1" s="36"/>
    <row r="77" ht="15.75" customHeight="1" s="36"/>
    <row r="78" ht="15.75" customHeight="1" s="36"/>
    <row r="79" ht="15.75" customHeight="1" s="36"/>
    <row r="80" ht="15.75" customHeight="1" s="36"/>
    <row r="81" ht="15.75" customHeight="1" s="36"/>
    <row r="82" ht="15.75" customHeight="1" s="36"/>
    <row r="83" ht="15.75" customHeight="1" s="36"/>
    <row r="84" ht="15.75" customHeight="1" s="36"/>
    <row r="85" ht="15.75" customHeight="1" s="36"/>
    <row r="86" ht="15.75" customHeight="1" s="36"/>
    <row r="87" ht="15.75" customHeight="1" s="36"/>
    <row r="88" ht="15.75" customHeight="1" s="36"/>
    <row r="89" ht="15.75" customHeight="1" s="36"/>
    <row r="90" ht="15.75" customHeight="1" s="36"/>
    <row r="91" ht="15.75" customHeight="1" s="36"/>
    <row r="92" ht="15.75" customHeight="1" s="36"/>
    <row r="93" ht="15.75" customHeight="1" s="36"/>
    <row r="94" ht="15.75" customHeight="1" s="36"/>
    <row r="95" ht="15.75" customHeight="1" s="36"/>
    <row r="96" ht="15.75" customHeight="1" s="36"/>
    <row r="97" ht="15.75" customHeight="1" s="36"/>
    <row r="98" ht="15.75" customHeight="1" s="36"/>
    <row r="99" ht="15.75" customHeight="1" s="36"/>
    <row r="100" ht="15.75" customHeight="1" s="36"/>
    <row r="101" ht="15.75" customHeight="1" s="36"/>
    <row r="102" ht="15.75" customHeight="1" s="36"/>
    <row r="103" ht="15.75" customHeight="1" s="36"/>
    <row r="104" ht="15.75" customHeight="1" s="36"/>
    <row r="105" ht="15.75" customHeight="1" s="36"/>
    <row r="106" ht="15.75" customHeight="1" s="36"/>
    <row r="107" ht="15.75" customHeight="1" s="36"/>
    <row r="108" ht="15.75" customHeight="1" s="36"/>
    <row r="109" ht="15.75" customHeight="1" s="36"/>
    <row r="110" ht="15.75" customHeight="1" s="36"/>
    <row r="111" ht="15.75" customHeight="1" s="36"/>
    <row r="112" ht="15.75" customHeight="1" s="36"/>
    <row r="113" ht="15.75" customHeight="1" s="36"/>
    <row r="114" ht="15.75" customHeight="1" s="36"/>
    <row r="115" ht="15.75" customHeight="1" s="36"/>
    <row r="116" ht="15.75" customHeight="1" s="36"/>
    <row r="117" ht="15.75" customHeight="1" s="36"/>
    <row r="118" ht="15.75" customHeight="1" s="36"/>
    <row r="119" ht="15.75" customHeight="1" s="36"/>
    <row r="120" ht="15.75" customHeight="1" s="36"/>
    <row r="121" ht="15.75" customHeight="1" s="36"/>
    <row r="122" ht="15.75" customHeight="1" s="36"/>
    <row r="123" ht="15.75" customHeight="1" s="36"/>
    <row r="124" ht="15.75" customHeight="1" s="36"/>
    <row r="125" ht="15.75" customHeight="1" s="36"/>
    <row r="126" ht="15.75" customHeight="1" s="36"/>
    <row r="127" ht="15.75" customHeight="1" s="36"/>
    <row r="128" ht="15.75" customHeight="1" s="36"/>
    <row r="129" ht="15.75" customHeight="1" s="36"/>
    <row r="130" ht="15.75" customHeight="1" s="36"/>
    <row r="131" ht="15.75" customHeight="1" s="36"/>
    <row r="132" ht="15.75" customHeight="1" s="36"/>
    <row r="133" ht="15.75" customHeight="1" s="36"/>
    <row r="134" ht="15.75" customHeight="1" s="36"/>
    <row r="135" ht="15.75" customHeight="1" s="36"/>
    <row r="136" ht="15.75" customHeight="1" s="36"/>
    <row r="137" ht="15.75" customHeight="1" s="36"/>
    <row r="138" ht="15.75" customHeight="1" s="36"/>
    <row r="139" ht="15.75" customHeight="1" s="36"/>
    <row r="140" ht="15.75" customHeight="1" s="36"/>
    <row r="141" ht="15.75" customHeight="1" s="36"/>
    <row r="142" ht="15.75" customHeight="1" s="36"/>
    <row r="143" ht="15.75" customHeight="1" s="36"/>
    <row r="144" ht="15.75" customHeight="1" s="36"/>
    <row r="145" ht="15.75" customHeight="1" s="36"/>
    <row r="146" ht="15.75" customHeight="1" s="36"/>
    <row r="147" ht="15.75" customHeight="1" s="36"/>
    <row r="148" ht="15.75" customHeight="1" s="36"/>
    <row r="149" ht="15.75" customHeight="1" s="36"/>
    <row r="150" ht="15.75" customHeight="1" s="36"/>
    <row r="151" ht="15.75" customHeight="1" s="36"/>
    <row r="152" ht="15.75" customHeight="1" s="36"/>
    <row r="153" ht="15.75" customHeight="1" s="36"/>
    <row r="154" ht="15.75" customHeight="1" s="36"/>
    <row r="155" ht="15.75" customHeight="1" s="36"/>
    <row r="156" ht="15.75" customHeight="1" s="36"/>
    <row r="157" ht="15.75" customHeight="1" s="36"/>
    <row r="158" ht="15.75" customHeight="1" s="36"/>
    <row r="159" ht="15.75" customHeight="1" s="36"/>
    <row r="160" ht="15.75" customHeight="1" s="36"/>
    <row r="161" ht="15.75" customHeight="1" s="36"/>
    <row r="162" ht="15.75" customHeight="1" s="36"/>
    <row r="163" ht="15.75" customHeight="1" s="36"/>
    <row r="164" ht="15.75" customHeight="1" s="36"/>
    <row r="165" ht="15.75" customHeight="1" s="36"/>
    <row r="166" ht="15.75" customHeight="1" s="36"/>
    <row r="167" ht="15.75" customHeight="1" s="36"/>
    <row r="168" ht="15.75" customHeight="1" s="36"/>
    <row r="169" ht="15.75" customHeight="1" s="36"/>
    <row r="170" ht="15.75" customHeight="1" s="36"/>
    <row r="171" ht="15.75" customHeight="1" s="36"/>
    <row r="172" ht="15.75" customHeight="1" s="36"/>
    <row r="173" ht="15.75" customHeight="1" s="36"/>
    <row r="174" ht="15.75" customHeight="1" s="36"/>
    <row r="175" ht="15.75" customHeight="1" s="36"/>
    <row r="176" ht="15.75" customHeight="1" s="36"/>
    <row r="177" ht="15.75" customHeight="1" s="36"/>
    <row r="178" ht="15.75" customHeight="1" s="36"/>
    <row r="179" ht="15.75" customHeight="1" s="36"/>
    <row r="180" ht="15.75" customHeight="1" s="36"/>
    <row r="181" ht="15.75" customHeight="1" s="36"/>
    <row r="182" ht="15.75" customHeight="1" s="36"/>
    <row r="183" ht="15.75" customHeight="1" s="36"/>
    <row r="184" ht="15.75" customHeight="1" s="36"/>
    <row r="185" ht="15.75" customHeight="1" s="36"/>
    <row r="186" ht="15.75" customHeight="1" s="36"/>
    <row r="187" ht="15.75" customHeight="1" s="36"/>
    <row r="188" ht="15.75" customHeight="1" s="36"/>
    <row r="189" ht="15.75" customHeight="1" s="36"/>
    <row r="190" ht="15.75" customHeight="1" s="36"/>
    <row r="191" ht="15.75" customHeight="1" s="36"/>
    <row r="192" ht="15.75" customHeight="1" s="36"/>
    <row r="193" ht="15.75" customHeight="1" s="36"/>
    <row r="194" ht="15.75" customHeight="1" s="36"/>
    <row r="195" ht="15.75" customHeight="1" s="36"/>
    <row r="196" ht="15.75" customHeight="1" s="36"/>
    <row r="197" ht="15.75" customHeight="1" s="36"/>
    <row r="198" ht="15.75" customHeight="1" s="36"/>
    <row r="199" ht="15.75" customHeight="1" s="36"/>
    <row r="200" ht="15.75" customHeight="1" s="36"/>
    <row r="201" ht="15.75" customHeight="1" s="36"/>
    <row r="202" ht="15.75" customHeight="1" s="36"/>
    <row r="203" ht="15.75" customHeight="1" s="36"/>
    <row r="204" ht="15.75" customHeight="1" s="36"/>
    <row r="205" ht="15.75" customHeight="1" s="36"/>
    <row r="206" ht="15.75" customHeight="1" s="36"/>
    <row r="207" ht="15.75" customHeight="1" s="36"/>
    <row r="208" ht="15.75" customHeight="1" s="36"/>
    <row r="209" ht="15.75" customHeight="1" s="36"/>
    <row r="210" ht="15.75" customHeight="1" s="36"/>
    <row r="211" ht="15.75" customHeight="1" s="36"/>
    <row r="212" ht="15.75" customHeight="1" s="36"/>
    <row r="213" ht="15.75" customHeight="1" s="36"/>
    <row r="214" ht="15.75" customHeight="1" s="36"/>
    <row r="215" ht="15.75" customHeight="1" s="36"/>
    <row r="216" ht="15.75" customHeight="1" s="36"/>
    <row r="217" ht="15.75" customHeight="1" s="36"/>
    <row r="218" ht="15.75" customHeight="1" s="36"/>
    <row r="219" ht="15.75" customHeight="1" s="36"/>
    <row r="220" ht="15.75" customHeight="1" s="36"/>
    <row r="221" ht="15.75" customHeight="1" s="36"/>
    <row r="222" ht="15.75" customHeight="1" s="36"/>
    <row r="223" ht="15.75" customHeight="1" s="36"/>
    <row r="224" ht="15.75" customHeight="1" s="36"/>
    <row r="225" ht="15.75" customHeight="1" s="36"/>
    <row r="226" ht="15.75" customHeight="1" s="36"/>
    <row r="227" ht="15.75" customHeight="1" s="36"/>
    <row r="228" ht="15.75" customHeight="1" s="36"/>
    <row r="229" ht="15.75" customHeight="1" s="36"/>
    <row r="230" ht="15.75" customHeight="1" s="36"/>
    <row r="231" ht="15.75" customHeight="1" s="36"/>
    <row r="232" ht="15.75" customHeight="1" s="36"/>
    <row r="233" ht="15.75" customHeight="1" s="36"/>
    <row r="234" ht="15.75" customHeight="1" s="36"/>
    <row r="235" ht="15.75" customHeight="1" s="36"/>
    <row r="236" ht="15.75" customHeight="1" s="36"/>
    <row r="237" ht="15.75" customHeight="1" s="36"/>
    <row r="238" ht="15.75" customHeight="1" s="36"/>
    <row r="239" ht="15.75" customHeight="1" s="36"/>
    <row r="240" ht="15.75" customHeight="1" s="36"/>
    <row r="241" ht="15.75" customHeight="1" s="36"/>
    <row r="242" ht="15.75" customHeight="1" s="36"/>
    <row r="243" ht="15.75" customHeight="1" s="36"/>
    <row r="244" ht="15.75" customHeight="1" s="36"/>
    <row r="245" ht="15.75" customHeight="1" s="36"/>
    <row r="246" ht="15.75" customHeight="1" s="36"/>
    <row r="247" ht="15.75" customHeight="1" s="36"/>
    <row r="248" ht="15.75" customHeight="1" s="36"/>
    <row r="249" ht="15.75" customHeight="1" s="36"/>
    <row r="250" ht="15.75" customHeight="1" s="36"/>
    <row r="251" ht="15.75" customHeight="1" s="36"/>
    <row r="252" ht="15.75" customHeight="1" s="36"/>
    <row r="253" ht="15.75" customHeight="1" s="36"/>
    <row r="254" ht="15.75" customHeight="1" s="36"/>
    <row r="255" ht="15.75" customHeight="1" s="36"/>
    <row r="256" ht="15.75" customHeight="1" s="36"/>
    <row r="257" ht="15.75" customHeight="1" s="36"/>
    <row r="258" ht="15.75" customHeight="1" s="36"/>
    <row r="259" ht="15.75" customHeight="1" s="36"/>
    <row r="260" ht="15.75" customHeight="1" s="36"/>
    <row r="261" ht="15.75" customHeight="1" s="36"/>
    <row r="262" ht="15.75" customHeight="1" s="36"/>
    <row r="263" ht="15.75" customHeight="1" s="36"/>
    <row r="264" ht="15.75" customHeight="1" s="36"/>
    <row r="265" ht="15.75" customHeight="1" s="36"/>
    <row r="266" ht="15.75" customHeight="1" s="36"/>
    <row r="267" ht="15.75" customHeight="1" s="36"/>
    <row r="268" ht="15.75" customHeight="1" s="36"/>
    <row r="269" ht="15.75" customHeight="1" s="36"/>
    <row r="270" ht="15.75" customHeight="1" s="36"/>
    <row r="271" ht="15.75" customHeight="1" s="36"/>
    <row r="272" ht="15.75" customHeight="1" s="36"/>
    <row r="273" ht="15.75" customHeight="1" s="36"/>
    <row r="274" ht="15.75" customHeight="1" s="36"/>
    <row r="275" ht="15.75" customHeight="1" s="36"/>
    <row r="276" ht="15.75" customHeight="1" s="36"/>
    <row r="277" ht="15.75" customHeight="1" s="36"/>
    <row r="278" ht="15.75" customHeight="1" s="36"/>
    <row r="279" ht="15.75" customHeight="1" s="36"/>
    <row r="280" ht="15.75" customHeight="1" s="36"/>
    <row r="281" ht="15.75" customHeight="1" s="36"/>
    <row r="282" ht="15.75" customHeight="1" s="36"/>
    <row r="283" ht="15.75" customHeight="1" s="36"/>
    <row r="284" ht="15.75" customHeight="1" s="36"/>
    <row r="285" ht="15.75" customHeight="1" s="36"/>
    <row r="286" ht="15.75" customHeight="1" s="36"/>
    <row r="287" ht="15.75" customHeight="1" s="36"/>
    <row r="288" ht="15.75" customHeight="1" s="36"/>
    <row r="289" ht="15.75" customHeight="1" s="36"/>
    <row r="290" ht="15.75" customHeight="1" s="36"/>
    <row r="291" ht="15.75" customHeight="1" s="36"/>
    <row r="292" ht="15.75" customHeight="1" s="36"/>
    <row r="293" ht="15.75" customHeight="1" s="36"/>
    <row r="294" ht="15.75" customHeight="1" s="36"/>
    <row r="295" ht="15.75" customHeight="1" s="36"/>
    <row r="296" ht="15.75" customHeight="1" s="36"/>
    <row r="297" ht="15.75" customHeight="1" s="36"/>
    <row r="298" ht="15.75" customHeight="1" s="36"/>
    <row r="299" ht="15.75" customHeight="1" s="36"/>
    <row r="300" ht="15.75" customHeight="1" s="36"/>
    <row r="301" ht="15.75" customHeight="1" s="36"/>
    <row r="302" ht="15.75" customHeight="1" s="36"/>
    <row r="303" ht="15.75" customHeight="1" s="36"/>
    <row r="304" ht="15.75" customHeight="1" s="36"/>
    <row r="305" ht="15.75" customHeight="1" s="36"/>
    <row r="306" ht="15.75" customHeight="1" s="36"/>
    <row r="307" ht="15.75" customHeight="1" s="36"/>
    <row r="308" ht="15.75" customHeight="1" s="36"/>
    <row r="309" ht="15.75" customHeight="1" s="36"/>
    <row r="310" ht="15.75" customHeight="1" s="36"/>
    <row r="311" ht="15.75" customHeight="1" s="36"/>
    <row r="312" ht="15.75" customHeight="1" s="36"/>
    <row r="313" ht="15.75" customHeight="1" s="36"/>
    <row r="314" ht="15.75" customHeight="1" s="36"/>
    <row r="315" ht="15.75" customHeight="1" s="36"/>
    <row r="316" ht="15.75" customHeight="1" s="36"/>
    <row r="317" ht="15.75" customHeight="1" s="36"/>
    <row r="318" ht="15.75" customHeight="1" s="36"/>
    <row r="319" ht="15.75" customHeight="1" s="36"/>
    <row r="320" ht="15.75" customHeight="1" s="36"/>
    <row r="321" ht="15.75" customHeight="1" s="36"/>
    <row r="322" ht="15.75" customHeight="1" s="36"/>
    <row r="323" ht="15.75" customHeight="1" s="36"/>
    <row r="324" ht="15.75" customHeight="1" s="36"/>
    <row r="325" ht="15.75" customHeight="1" s="36"/>
    <row r="326" ht="15.75" customHeight="1" s="36"/>
    <row r="327" ht="15.75" customHeight="1" s="36"/>
    <row r="328" ht="15.75" customHeight="1" s="36"/>
    <row r="329" ht="15.75" customHeight="1" s="36"/>
    <row r="330" ht="15.75" customHeight="1" s="36"/>
    <row r="331" ht="15.75" customHeight="1" s="36"/>
    <row r="332" ht="15.75" customHeight="1" s="36"/>
    <row r="333" ht="15.75" customHeight="1" s="36"/>
    <row r="334" ht="15.75" customHeight="1" s="36"/>
    <row r="335" ht="15.75" customHeight="1" s="36"/>
    <row r="336" ht="15.75" customHeight="1" s="36"/>
    <row r="337" ht="15.75" customHeight="1" s="36"/>
    <row r="338" ht="15.75" customHeight="1" s="36"/>
    <row r="339" ht="15.75" customHeight="1" s="36"/>
    <row r="340" ht="15.75" customHeight="1" s="36"/>
    <row r="341" ht="15.75" customHeight="1" s="36"/>
    <row r="342" ht="15.75" customHeight="1" s="36"/>
    <row r="343" ht="15.75" customHeight="1" s="36"/>
    <row r="344" ht="15.75" customHeight="1" s="36"/>
    <row r="345" ht="15.75" customHeight="1" s="36"/>
    <row r="346" ht="15.75" customHeight="1" s="36"/>
    <row r="347" ht="15.75" customHeight="1" s="36"/>
    <row r="348" ht="15.75" customHeight="1" s="36"/>
    <row r="349" ht="15.75" customHeight="1" s="36"/>
    <row r="350" ht="15.75" customHeight="1" s="36"/>
    <row r="351" ht="15.75" customHeight="1" s="36"/>
    <row r="352" ht="15.75" customHeight="1" s="36"/>
    <row r="353" ht="15.75" customHeight="1" s="36"/>
    <row r="354" ht="15.75" customHeight="1" s="36"/>
    <row r="355" ht="15.75" customHeight="1" s="36"/>
    <row r="356" ht="15.75" customHeight="1" s="36"/>
    <row r="357" ht="15.75" customHeight="1" s="36"/>
    <row r="358" ht="15.75" customHeight="1" s="36"/>
    <row r="359" ht="15.75" customHeight="1" s="36"/>
    <row r="360" ht="15.75" customHeight="1" s="36"/>
    <row r="361" ht="15.75" customHeight="1" s="36"/>
    <row r="362" ht="15.75" customHeight="1" s="36"/>
    <row r="363" ht="15.75" customHeight="1" s="36"/>
    <row r="364" ht="15.75" customHeight="1" s="36"/>
    <row r="365" ht="15.75" customHeight="1" s="36"/>
    <row r="366" ht="15.75" customHeight="1" s="36"/>
    <row r="367" ht="15.75" customHeight="1" s="36"/>
    <row r="368" ht="15.75" customHeight="1" s="36"/>
    <row r="369" ht="15.75" customHeight="1" s="36"/>
    <row r="370" ht="15.75" customHeight="1" s="36"/>
    <row r="371" ht="15.75" customHeight="1" s="36"/>
    <row r="372" ht="15.75" customHeight="1" s="36"/>
    <row r="373" ht="15.75" customHeight="1" s="36"/>
    <row r="374" ht="15.75" customHeight="1" s="36"/>
    <row r="375" ht="15.75" customHeight="1" s="36"/>
    <row r="376" ht="15.75" customHeight="1" s="36"/>
    <row r="377" ht="15.75" customHeight="1" s="36"/>
    <row r="378" ht="15.75" customHeight="1" s="36"/>
    <row r="379" ht="15.75" customHeight="1" s="36"/>
    <row r="380" ht="15.75" customHeight="1" s="36"/>
    <row r="381" ht="15.75" customHeight="1" s="36"/>
    <row r="382" ht="15.75" customHeight="1" s="36"/>
    <row r="383" ht="15.75" customHeight="1" s="36"/>
    <row r="384" ht="15.75" customHeight="1" s="36"/>
    <row r="385" ht="15.75" customHeight="1" s="36"/>
    <row r="386" ht="15.75" customHeight="1" s="36"/>
    <row r="387" ht="15.75" customHeight="1" s="36"/>
    <row r="388" ht="15.75" customHeight="1" s="36"/>
    <row r="389" ht="15.75" customHeight="1" s="36"/>
    <row r="390" ht="15.75" customHeight="1" s="36"/>
    <row r="391" ht="15.75" customHeight="1" s="36"/>
    <row r="392" ht="15.75" customHeight="1" s="36"/>
    <row r="393" ht="15.75" customHeight="1" s="36"/>
    <row r="394" ht="15.75" customHeight="1" s="36"/>
    <row r="395" ht="15.75" customHeight="1" s="36"/>
    <row r="396" ht="15.75" customHeight="1" s="36"/>
    <row r="397" ht="15.75" customHeight="1" s="36"/>
    <row r="398" ht="15.75" customHeight="1" s="36"/>
    <row r="399" ht="15.75" customHeight="1" s="36"/>
    <row r="400" ht="15.75" customHeight="1" s="36"/>
    <row r="401" ht="15.75" customHeight="1" s="36"/>
    <row r="402" ht="15.75" customHeight="1" s="36"/>
    <row r="403" ht="15.75" customHeight="1" s="36"/>
    <row r="404" ht="15.75" customHeight="1" s="36"/>
    <row r="405" ht="15.75" customHeight="1" s="36"/>
    <row r="406" ht="15.75" customHeight="1" s="36"/>
    <row r="407" ht="15.75" customHeight="1" s="36"/>
    <row r="408" ht="15.75" customHeight="1" s="36"/>
    <row r="409" ht="15.75" customHeight="1" s="36"/>
    <row r="410" ht="15.75" customHeight="1" s="36"/>
    <row r="411" ht="15.75" customHeight="1" s="36"/>
    <row r="412" ht="15.75" customHeight="1" s="36"/>
    <row r="413" ht="15.75" customHeight="1" s="36"/>
    <row r="414" ht="15.75" customHeight="1" s="36"/>
    <row r="415" ht="15.75" customHeight="1" s="36"/>
    <row r="416" ht="15.75" customHeight="1" s="36"/>
    <row r="417" ht="15.75" customHeight="1" s="36"/>
    <row r="418" ht="15.75" customHeight="1" s="36"/>
    <row r="419" ht="15.75" customHeight="1" s="36"/>
    <row r="420" ht="15.75" customHeight="1" s="36"/>
    <row r="421" ht="15.75" customHeight="1" s="36"/>
    <row r="422" ht="15.75" customHeight="1" s="36"/>
    <row r="423" ht="15.75" customHeight="1" s="36"/>
    <row r="424" ht="15.75" customHeight="1" s="36"/>
    <row r="425" ht="15.75" customHeight="1" s="36"/>
    <row r="426" ht="15.75" customHeight="1" s="36"/>
    <row r="427" ht="15.75" customHeight="1" s="36"/>
    <row r="428" ht="15.75" customHeight="1" s="36"/>
    <row r="429" ht="15.75" customHeight="1" s="36"/>
    <row r="430" ht="15.75" customHeight="1" s="36"/>
    <row r="431" ht="15.75" customHeight="1" s="36"/>
    <row r="432" ht="15.75" customHeight="1" s="36"/>
    <row r="433" ht="15.75" customHeight="1" s="36"/>
    <row r="434" ht="15.75" customHeight="1" s="36"/>
    <row r="435" ht="15.75" customHeight="1" s="36"/>
    <row r="436" ht="15.75" customHeight="1" s="36"/>
    <row r="437" ht="15.75" customHeight="1" s="36"/>
    <row r="438" ht="15.75" customHeight="1" s="36"/>
    <row r="439" ht="15.75" customHeight="1" s="36"/>
    <row r="440" ht="15.75" customHeight="1" s="36"/>
    <row r="441" ht="15.75" customHeight="1" s="36"/>
    <row r="442" ht="15.75" customHeight="1" s="36"/>
    <row r="443" ht="15.75" customHeight="1" s="36"/>
    <row r="444" ht="15.75" customHeight="1" s="36"/>
    <row r="445" ht="15.75" customHeight="1" s="36"/>
    <row r="446" ht="15.75" customHeight="1" s="36"/>
    <row r="447" ht="15.75" customHeight="1" s="36"/>
    <row r="448" ht="15.75" customHeight="1" s="36"/>
    <row r="449" ht="15.75" customHeight="1" s="36"/>
    <row r="450" ht="15.75" customHeight="1" s="36"/>
    <row r="451" ht="15.75" customHeight="1" s="36"/>
    <row r="452" ht="15.75" customHeight="1" s="36"/>
    <row r="453" ht="15.75" customHeight="1" s="36"/>
    <row r="454" ht="15.75" customHeight="1" s="36"/>
    <row r="455" ht="15.75" customHeight="1" s="36"/>
    <row r="456" ht="15.75" customHeight="1" s="36"/>
    <row r="457" ht="15.75" customHeight="1" s="36"/>
    <row r="458" ht="15.75" customHeight="1" s="36"/>
    <row r="459" ht="15.75" customHeight="1" s="36"/>
    <row r="460" ht="15.75" customHeight="1" s="36"/>
    <row r="461" ht="15.75" customHeight="1" s="36"/>
    <row r="462" ht="15.75" customHeight="1" s="36"/>
    <row r="463" ht="15.75" customHeight="1" s="36"/>
    <row r="464" ht="15.75" customHeight="1" s="36"/>
    <row r="465" ht="15.75" customHeight="1" s="36"/>
    <row r="466" ht="15.75" customHeight="1" s="36"/>
    <row r="467" ht="15.75" customHeight="1" s="36"/>
    <row r="468" ht="15.75" customHeight="1" s="36"/>
    <row r="469" ht="15.75" customHeight="1" s="36"/>
    <row r="470" ht="15.75" customHeight="1" s="36"/>
    <row r="471" ht="15.75" customHeight="1" s="36"/>
    <row r="472" ht="15.75" customHeight="1" s="36"/>
    <row r="473" ht="15.75" customHeight="1" s="36"/>
    <row r="474" ht="15.75" customHeight="1" s="36"/>
    <row r="475" ht="15.75" customHeight="1" s="36"/>
    <row r="476" ht="15.75" customHeight="1" s="36"/>
    <row r="477" ht="15.75" customHeight="1" s="36"/>
    <row r="478" ht="15.75" customHeight="1" s="36"/>
    <row r="479" ht="15.75" customHeight="1" s="36"/>
    <row r="480" ht="15.75" customHeight="1" s="36"/>
    <row r="481" ht="15.75" customHeight="1" s="36"/>
    <row r="482" ht="15.75" customHeight="1" s="36"/>
    <row r="483" ht="15.75" customHeight="1" s="36"/>
    <row r="484" ht="15.75" customHeight="1" s="36"/>
    <row r="485" ht="15.75" customHeight="1" s="36"/>
    <row r="486" ht="15.75" customHeight="1" s="36"/>
    <row r="487" ht="15.75" customHeight="1" s="36"/>
    <row r="488" ht="15.75" customHeight="1" s="36"/>
    <row r="489" ht="15.75" customHeight="1" s="36"/>
    <row r="490" ht="15.75" customHeight="1" s="36"/>
    <row r="491" ht="15.75" customHeight="1" s="36"/>
    <row r="492" ht="15.75" customHeight="1" s="36"/>
    <row r="493" ht="15.75" customHeight="1" s="36"/>
    <row r="494" ht="15.75" customHeight="1" s="36"/>
    <row r="495" ht="15.75" customHeight="1" s="36"/>
    <row r="496" ht="15.75" customHeight="1" s="36"/>
    <row r="497" ht="15.75" customHeight="1" s="36"/>
    <row r="498" ht="15.75" customHeight="1" s="36"/>
    <row r="499" ht="15.75" customHeight="1" s="36"/>
    <row r="500" ht="15.75" customHeight="1" s="36"/>
    <row r="501" ht="15.75" customHeight="1" s="36"/>
    <row r="502" ht="15.75" customHeight="1" s="36"/>
    <row r="503" ht="15.75" customHeight="1" s="36"/>
    <row r="504" ht="15.75" customHeight="1" s="36"/>
    <row r="505" ht="15.75" customHeight="1" s="36"/>
    <row r="506" ht="15.75" customHeight="1" s="36"/>
    <row r="507" ht="15.75" customHeight="1" s="36"/>
    <row r="508" ht="15.75" customHeight="1" s="36"/>
    <row r="509" ht="15.75" customHeight="1" s="36"/>
    <row r="510" ht="15.75" customHeight="1" s="36"/>
    <row r="511" ht="15.75" customHeight="1" s="36"/>
    <row r="512" ht="15.75" customHeight="1" s="36"/>
    <row r="513" ht="15.75" customHeight="1" s="36"/>
    <row r="514" ht="15.75" customHeight="1" s="36"/>
    <row r="515" ht="15.75" customHeight="1" s="36"/>
    <row r="516" ht="15.75" customHeight="1" s="36"/>
    <row r="517" ht="15.75" customHeight="1" s="36"/>
    <row r="518" ht="15.75" customHeight="1" s="36"/>
    <row r="519" ht="15.75" customHeight="1" s="36"/>
    <row r="520" ht="15.75" customHeight="1" s="36"/>
    <row r="521" ht="15.75" customHeight="1" s="36"/>
    <row r="522" ht="15.75" customHeight="1" s="36"/>
    <row r="523" ht="15.75" customHeight="1" s="36"/>
    <row r="524" ht="15.75" customHeight="1" s="36"/>
    <row r="525" ht="15.75" customHeight="1" s="36"/>
    <row r="526" ht="15.75" customHeight="1" s="36"/>
    <row r="527" ht="15.75" customHeight="1" s="36"/>
    <row r="528" ht="15.75" customHeight="1" s="36"/>
    <row r="529" ht="15.75" customHeight="1" s="36"/>
    <row r="530" ht="15.75" customHeight="1" s="36"/>
    <row r="531" ht="15.75" customHeight="1" s="36"/>
    <row r="532" ht="15.75" customHeight="1" s="36"/>
    <row r="533" ht="15.75" customHeight="1" s="36"/>
    <row r="534" ht="15.75" customHeight="1" s="36"/>
    <row r="535" ht="15.75" customHeight="1" s="36"/>
    <row r="536" ht="15.75" customHeight="1" s="36"/>
    <row r="537" ht="15.75" customHeight="1" s="36"/>
    <row r="538" ht="15.75" customHeight="1" s="36"/>
    <row r="539" ht="15.75" customHeight="1" s="36"/>
    <row r="540" ht="15.75" customHeight="1" s="36"/>
    <row r="541" ht="15.75" customHeight="1" s="36"/>
    <row r="542" ht="15.75" customHeight="1" s="36"/>
    <row r="543" ht="15.75" customHeight="1" s="36"/>
    <row r="544" ht="15.75" customHeight="1" s="36"/>
    <row r="545" ht="15.75" customHeight="1" s="36"/>
    <row r="546" ht="15.75" customHeight="1" s="36"/>
    <row r="547" ht="15.75" customHeight="1" s="36"/>
    <row r="548" ht="15.75" customHeight="1" s="36"/>
    <row r="549" ht="15.75" customHeight="1" s="36"/>
    <row r="550" ht="15.75" customHeight="1" s="36"/>
    <row r="551" ht="15.75" customHeight="1" s="36"/>
    <row r="552" ht="15.75" customHeight="1" s="36"/>
    <row r="553" ht="15.75" customHeight="1" s="36"/>
    <row r="554" ht="15.75" customHeight="1" s="36"/>
    <row r="555" ht="15.75" customHeight="1" s="36"/>
    <row r="556" ht="15.75" customHeight="1" s="36"/>
    <row r="557" ht="15.75" customHeight="1" s="36"/>
    <row r="558" ht="15.75" customHeight="1" s="36"/>
    <row r="559" ht="15.75" customHeight="1" s="36"/>
    <row r="560" ht="15.75" customHeight="1" s="36"/>
    <row r="561" ht="15.75" customHeight="1" s="36"/>
    <row r="562" ht="15.75" customHeight="1" s="36"/>
    <row r="563" ht="15.75" customHeight="1" s="36"/>
    <row r="564" ht="15.75" customHeight="1" s="36"/>
    <row r="565" ht="15.75" customHeight="1" s="36"/>
    <row r="566" ht="15.75" customHeight="1" s="36"/>
    <row r="567" ht="15.75" customHeight="1" s="36"/>
    <row r="568" ht="15.75" customHeight="1" s="36"/>
    <row r="569" ht="15.75" customHeight="1" s="36"/>
    <row r="570" ht="15.75" customHeight="1" s="36"/>
    <row r="571" ht="15.75" customHeight="1" s="36"/>
    <row r="572" ht="15.75" customHeight="1" s="36"/>
    <row r="573" ht="15.75" customHeight="1" s="36"/>
    <row r="574" ht="15.75" customHeight="1" s="36"/>
    <row r="575" ht="15.75" customHeight="1" s="36"/>
    <row r="576" ht="15.75" customHeight="1" s="36"/>
    <row r="577" ht="15.75" customHeight="1" s="36"/>
    <row r="578" ht="15.75" customHeight="1" s="36"/>
    <row r="579" ht="15.75" customHeight="1" s="36"/>
    <row r="580" ht="15.75" customHeight="1" s="36"/>
    <row r="581" ht="15.75" customHeight="1" s="36"/>
    <row r="582" ht="15.75" customHeight="1" s="36"/>
    <row r="583" ht="15.75" customHeight="1" s="36"/>
    <row r="584" ht="15.75" customHeight="1" s="36"/>
    <row r="585" ht="15.75" customHeight="1" s="36"/>
    <row r="586" ht="15.75" customHeight="1" s="36"/>
    <row r="587" ht="15.75" customHeight="1" s="36"/>
    <row r="588" ht="15.75" customHeight="1" s="36"/>
    <row r="589" ht="15.75" customHeight="1" s="36"/>
    <row r="590" ht="15.75" customHeight="1" s="36"/>
    <row r="591" ht="15.75" customHeight="1" s="36"/>
    <row r="592" ht="15.75" customHeight="1" s="36"/>
    <row r="593" ht="15.75" customHeight="1" s="36"/>
    <row r="594" ht="15.75" customHeight="1" s="36"/>
    <row r="595" ht="15.75" customHeight="1" s="36"/>
    <row r="596" ht="15.75" customHeight="1" s="36"/>
    <row r="597" ht="15.75" customHeight="1" s="36"/>
    <row r="598" ht="15.75" customHeight="1" s="36"/>
    <row r="599" ht="15.75" customHeight="1" s="36"/>
    <row r="600" ht="15.75" customHeight="1" s="36"/>
    <row r="601" ht="15.75" customHeight="1" s="36"/>
    <row r="602" ht="15.75" customHeight="1" s="36"/>
    <row r="603" ht="15.75" customHeight="1" s="36"/>
    <row r="604" ht="15.75" customHeight="1" s="36"/>
    <row r="605" ht="15.75" customHeight="1" s="36"/>
    <row r="606" ht="15.75" customHeight="1" s="36"/>
    <row r="607" ht="15.75" customHeight="1" s="36"/>
    <row r="608" ht="15.75" customHeight="1" s="36"/>
    <row r="609" ht="15.75" customHeight="1" s="36"/>
    <row r="610" ht="15.75" customHeight="1" s="36"/>
    <row r="611" ht="15.75" customHeight="1" s="36"/>
    <row r="612" ht="15.75" customHeight="1" s="36"/>
    <row r="613" ht="15.75" customHeight="1" s="36"/>
    <row r="614" ht="15.75" customHeight="1" s="36"/>
    <row r="615" ht="15.75" customHeight="1" s="36"/>
    <row r="616" ht="15.75" customHeight="1" s="36"/>
    <row r="617" ht="15.75" customHeight="1" s="36"/>
    <row r="618" ht="15.75" customHeight="1" s="36"/>
    <row r="619" ht="15.75" customHeight="1" s="36"/>
    <row r="620" ht="15.75" customHeight="1" s="36"/>
    <row r="621" ht="15.75" customHeight="1" s="36"/>
    <row r="622" ht="15.75" customHeight="1" s="36"/>
    <row r="623" ht="15.75" customHeight="1" s="36"/>
    <row r="624" ht="15.75" customHeight="1" s="36"/>
    <row r="625" ht="15.75" customHeight="1" s="36"/>
    <row r="626" ht="15.75" customHeight="1" s="36"/>
    <row r="627" ht="15.75" customHeight="1" s="36"/>
    <row r="628" ht="15.75" customHeight="1" s="36"/>
    <row r="629" ht="15.75" customHeight="1" s="36"/>
    <row r="630" ht="15.75" customHeight="1" s="36"/>
    <row r="631" ht="15.75" customHeight="1" s="36"/>
    <row r="632" ht="15.75" customHeight="1" s="36"/>
    <row r="633" ht="15.75" customHeight="1" s="36"/>
    <row r="634" ht="15.75" customHeight="1" s="36"/>
    <row r="635" ht="15.75" customHeight="1" s="36"/>
    <row r="636" ht="15.75" customHeight="1" s="36"/>
    <row r="637" ht="15.75" customHeight="1" s="36"/>
    <row r="638" ht="15.75" customHeight="1" s="36"/>
    <row r="639" ht="15.75" customHeight="1" s="36"/>
    <row r="640" ht="15.75" customHeight="1" s="36"/>
    <row r="641" ht="15.75" customHeight="1" s="36"/>
    <row r="642" ht="15.75" customHeight="1" s="36"/>
    <row r="643" ht="15.75" customHeight="1" s="36"/>
    <row r="644" ht="15.75" customHeight="1" s="36"/>
    <row r="645" ht="15.75" customHeight="1" s="36"/>
    <row r="646" ht="15.75" customHeight="1" s="36"/>
    <row r="647" ht="15.75" customHeight="1" s="36"/>
    <row r="648" ht="15.75" customHeight="1" s="36"/>
    <row r="649" ht="15.75" customHeight="1" s="36"/>
    <row r="650" ht="15.75" customHeight="1" s="36"/>
    <row r="651" ht="15.75" customHeight="1" s="36"/>
    <row r="652" ht="15.75" customHeight="1" s="36"/>
    <row r="653" ht="15.75" customHeight="1" s="36"/>
    <row r="654" ht="15.75" customHeight="1" s="36"/>
    <row r="655" ht="15.75" customHeight="1" s="36"/>
    <row r="656" ht="15.75" customHeight="1" s="36"/>
    <row r="657" ht="15.75" customHeight="1" s="36"/>
    <row r="658" ht="15.75" customHeight="1" s="36"/>
    <row r="659" ht="15.75" customHeight="1" s="36"/>
    <row r="660" ht="15.75" customHeight="1" s="36"/>
    <row r="661" ht="15.75" customHeight="1" s="36"/>
    <row r="662" ht="15.75" customHeight="1" s="36"/>
    <row r="663" ht="15.75" customHeight="1" s="36"/>
    <row r="664" ht="15.75" customHeight="1" s="36"/>
    <row r="665" ht="15.75" customHeight="1" s="36"/>
    <row r="666" ht="15.75" customHeight="1" s="36"/>
    <row r="667" ht="15.75" customHeight="1" s="36"/>
    <row r="668" ht="15.75" customHeight="1" s="36"/>
    <row r="669" ht="15.75" customHeight="1" s="36"/>
    <row r="670" ht="15.75" customHeight="1" s="36"/>
    <row r="671" ht="15.75" customHeight="1" s="36"/>
    <row r="672" ht="15.75" customHeight="1" s="36"/>
    <row r="673" ht="15.75" customHeight="1" s="36"/>
    <row r="674" ht="15.75" customHeight="1" s="36"/>
    <row r="675" ht="15.75" customHeight="1" s="36"/>
    <row r="676" ht="15.75" customHeight="1" s="36"/>
    <row r="677" ht="15.75" customHeight="1" s="36"/>
    <row r="678" ht="15.75" customHeight="1" s="36"/>
    <row r="679" ht="15.75" customHeight="1" s="36"/>
    <row r="680" ht="15.75" customHeight="1" s="36"/>
    <row r="681" ht="15.75" customHeight="1" s="36"/>
    <row r="682" ht="15.75" customHeight="1" s="36"/>
    <row r="683" ht="15.75" customHeight="1" s="36"/>
    <row r="684" ht="15.75" customHeight="1" s="36"/>
    <row r="685" ht="15.75" customHeight="1" s="36"/>
    <row r="686" ht="15.75" customHeight="1" s="36"/>
    <row r="687" ht="15.75" customHeight="1" s="36"/>
    <row r="688" ht="15.75" customHeight="1" s="36"/>
    <row r="689" ht="15.75" customHeight="1" s="36"/>
    <row r="690" ht="15.75" customHeight="1" s="36"/>
    <row r="691" ht="15.75" customHeight="1" s="36"/>
    <row r="692" ht="15.75" customHeight="1" s="36"/>
    <row r="693" ht="15.75" customHeight="1" s="36"/>
    <row r="694" ht="15.75" customHeight="1" s="36"/>
    <row r="695" ht="15.75" customHeight="1" s="36"/>
    <row r="696" ht="15.75" customHeight="1" s="36"/>
    <row r="697" ht="15.75" customHeight="1" s="36"/>
    <row r="698" ht="15.75" customHeight="1" s="36"/>
    <row r="699" ht="15.75" customHeight="1" s="36"/>
    <row r="700" ht="15.75" customHeight="1" s="36"/>
    <row r="701" ht="15.75" customHeight="1" s="36"/>
    <row r="702" ht="15.75" customHeight="1" s="36"/>
    <row r="703" ht="15.75" customHeight="1" s="36"/>
    <row r="704" ht="15.75" customHeight="1" s="36"/>
    <row r="705" ht="15.75" customHeight="1" s="36"/>
    <row r="706" ht="15.75" customHeight="1" s="36"/>
    <row r="707" ht="15.75" customHeight="1" s="36"/>
    <row r="708" ht="15.75" customHeight="1" s="36"/>
    <row r="709" ht="15.75" customHeight="1" s="36"/>
    <row r="710" ht="15.75" customHeight="1" s="36"/>
    <row r="711" ht="15.75" customHeight="1" s="36"/>
    <row r="712" ht="15.75" customHeight="1" s="36"/>
    <row r="713" ht="15.75" customHeight="1" s="36"/>
    <row r="714" ht="15.75" customHeight="1" s="36"/>
    <row r="715" ht="15.75" customHeight="1" s="36"/>
    <row r="716" ht="15.75" customHeight="1" s="36"/>
    <row r="717" ht="15.75" customHeight="1" s="36"/>
    <row r="718" ht="15.75" customHeight="1" s="36"/>
    <row r="719" ht="15.75" customHeight="1" s="36"/>
    <row r="720" ht="15.75" customHeight="1" s="36"/>
    <row r="721" ht="15.75" customHeight="1" s="36"/>
    <row r="722" ht="15.75" customHeight="1" s="36"/>
    <row r="723" ht="15.75" customHeight="1" s="36"/>
    <row r="724" ht="15.75" customHeight="1" s="36"/>
    <row r="725" ht="15.75" customHeight="1" s="36"/>
    <row r="726" ht="15.75" customHeight="1" s="36"/>
    <row r="727" ht="15.75" customHeight="1" s="36"/>
    <row r="728" ht="15.75" customHeight="1" s="36"/>
    <row r="729" ht="15.75" customHeight="1" s="36"/>
    <row r="730" ht="15.75" customHeight="1" s="36"/>
    <row r="731" ht="15.75" customHeight="1" s="36"/>
    <row r="732" ht="15.75" customHeight="1" s="36"/>
    <row r="733" ht="15.75" customHeight="1" s="36"/>
    <row r="734" ht="15.75" customHeight="1" s="36"/>
    <row r="735" ht="15.75" customHeight="1" s="36"/>
    <row r="736" ht="15.75" customHeight="1" s="36"/>
    <row r="737" ht="15.75" customHeight="1" s="36"/>
    <row r="738" ht="15.75" customHeight="1" s="36"/>
    <row r="739" ht="15.75" customHeight="1" s="36"/>
    <row r="740" ht="15.75" customHeight="1" s="36"/>
    <row r="741" ht="15.75" customHeight="1" s="36"/>
    <row r="742" ht="15.75" customHeight="1" s="36"/>
    <row r="743" ht="15.75" customHeight="1" s="36"/>
    <row r="744" ht="15.75" customHeight="1" s="36"/>
    <row r="745" ht="15.75" customHeight="1" s="36"/>
    <row r="746" ht="15.75" customHeight="1" s="36"/>
    <row r="747" ht="15.75" customHeight="1" s="36"/>
    <row r="748" ht="15.75" customHeight="1" s="36"/>
    <row r="749" ht="15.75" customHeight="1" s="36"/>
    <row r="750" ht="15.75" customHeight="1" s="36"/>
    <row r="751" ht="15.75" customHeight="1" s="36"/>
    <row r="752" ht="15.75" customHeight="1" s="36"/>
    <row r="753" ht="15.75" customHeight="1" s="36"/>
    <row r="754" ht="15.75" customHeight="1" s="36"/>
    <row r="755" ht="15.75" customHeight="1" s="36"/>
    <row r="756" ht="15.75" customHeight="1" s="36"/>
    <row r="757" ht="15.75" customHeight="1" s="36"/>
    <row r="758" ht="15.75" customHeight="1" s="36"/>
    <row r="759" ht="15.75" customHeight="1" s="36"/>
    <row r="760" ht="15.75" customHeight="1" s="36"/>
    <row r="761" ht="15.75" customHeight="1" s="36"/>
    <row r="762" ht="15.75" customHeight="1" s="36"/>
    <row r="763" ht="15.75" customHeight="1" s="36"/>
    <row r="764" ht="15.75" customHeight="1" s="36"/>
    <row r="765" ht="15.75" customHeight="1" s="36"/>
    <row r="766" ht="15.75" customHeight="1" s="36"/>
    <row r="767" ht="15.75" customHeight="1" s="36"/>
    <row r="768" ht="15.75" customHeight="1" s="36"/>
    <row r="769" ht="15.75" customHeight="1" s="36"/>
    <row r="770" ht="15.75" customHeight="1" s="36"/>
    <row r="771" ht="15.75" customHeight="1" s="36"/>
    <row r="772" ht="15.75" customHeight="1" s="36"/>
    <row r="773" ht="15.75" customHeight="1" s="36"/>
    <row r="774" ht="15.75" customHeight="1" s="36"/>
    <row r="775" ht="15.75" customHeight="1" s="36"/>
    <row r="776" ht="15.75" customHeight="1" s="36"/>
    <row r="777" ht="15.75" customHeight="1" s="36"/>
    <row r="778" ht="15.75" customHeight="1" s="36"/>
    <row r="779" ht="15.75" customHeight="1" s="36"/>
    <row r="780" ht="15.75" customHeight="1" s="36"/>
    <row r="781" ht="15.75" customHeight="1" s="36"/>
    <row r="782" ht="15.75" customHeight="1" s="36"/>
    <row r="783" ht="15.75" customHeight="1" s="36"/>
    <row r="784" ht="15.75" customHeight="1" s="36"/>
    <row r="785" ht="15.75" customHeight="1" s="36"/>
    <row r="786" ht="15.75" customHeight="1" s="36"/>
    <row r="787" ht="15.75" customHeight="1" s="36"/>
    <row r="788" ht="15.75" customHeight="1" s="36"/>
    <row r="789" ht="15.75" customHeight="1" s="36"/>
    <row r="790" ht="15.75" customHeight="1" s="36"/>
    <row r="791" ht="15.75" customHeight="1" s="36"/>
    <row r="792" ht="15.75" customHeight="1" s="36"/>
    <row r="793" ht="15.75" customHeight="1" s="36"/>
    <row r="794" ht="15.75" customHeight="1" s="36"/>
    <row r="795" ht="15.75" customHeight="1" s="36"/>
    <row r="796" ht="15.75" customHeight="1" s="36"/>
    <row r="797" ht="15.75" customHeight="1" s="36"/>
    <row r="798" ht="15.75" customHeight="1" s="36"/>
    <row r="799" ht="15.75" customHeight="1" s="36"/>
    <row r="800" ht="15.75" customHeight="1" s="36"/>
    <row r="801" ht="15.75" customHeight="1" s="36"/>
    <row r="802" ht="15.75" customHeight="1" s="36"/>
    <row r="803" ht="15.75" customHeight="1" s="36"/>
    <row r="804" ht="15.75" customHeight="1" s="36"/>
    <row r="805" ht="15.75" customHeight="1" s="36"/>
    <row r="806" ht="15.75" customHeight="1" s="36"/>
    <row r="807" ht="15.75" customHeight="1" s="36"/>
    <row r="808" ht="15.75" customHeight="1" s="36"/>
    <row r="809" ht="15.75" customHeight="1" s="36"/>
    <row r="810" ht="15.75" customHeight="1" s="36"/>
    <row r="811" ht="15.75" customHeight="1" s="36"/>
    <row r="812" ht="15.75" customHeight="1" s="36"/>
    <row r="813" ht="15.75" customHeight="1" s="36"/>
    <row r="814" ht="15.75" customHeight="1" s="36"/>
    <row r="815" ht="15.75" customHeight="1" s="36"/>
    <row r="816" ht="15.75" customHeight="1" s="36"/>
    <row r="817" ht="15.75" customHeight="1" s="36"/>
    <row r="818" ht="15.75" customHeight="1" s="36"/>
    <row r="819" ht="15.75" customHeight="1" s="36"/>
    <row r="820" ht="15.75" customHeight="1" s="36"/>
    <row r="821" ht="15.75" customHeight="1" s="36"/>
    <row r="822" ht="15.75" customHeight="1" s="36"/>
    <row r="823" ht="15.75" customHeight="1" s="36"/>
    <row r="824" ht="15.75" customHeight="1" s="36"/>
    <row r="825" ht="15.75" customHeight="1" s="36"/>
    <row r="826" ht="15.75" customHeight="1" s="36"/>
    <row r="827" ht="15.75" customHeight="1" s="36"/>
    <row r="828" ht="15.75" customHeight="1" s="36"/>
    <row r="829" ht="15.75" customHeight="1" s="36"/>
    <row r="830" ht="15.75" customHeight="1" s="36"/>
    <row r="831" ht="15.75" customHeight="1" s="36"/>
    <row r="832" ht="15.75" customHeight="1" s="36"/>
    <row r="833" ht="15.75" customHeight="1" s="36"/>
    <row r="834" ht="15.75" customHeight="1" s="36"/>
    <row r="835" ht="15.75" customHeight="1" s="36"/>
    <row r="836" ht="15.75" customHeight="1" s="36"/>
    <row r="837" ht="15.75" customHeight="1" s="36"/>
    <row r="838" ht="15.75" customHeight="1" s="36"/>
    <row r="839" ht="15.75" customHeight="1" s="36"/>
    <row r="840" ht="15.75" customHeight="1" s="36"/>
    <row r="841" ht="15.75" customHeight="1" s="36"/>
    <row r="842" ht="15.75" customHeight="1" s="36"/>
    <row r="843" ht="15.75" customHeight="1" s="36"/>
    <row r="844" ht="15.75" customHeight="1" s="36"/>
    <row r="845" ht="15.75" customHeight="1" s="36"/>
    <row r="846" ht="15.75" customHeight="1" s="36"/>
    <row r="847" ht="15.75" customHeight="1" s="36"/>
    <row r="848" ht="15.75" customHeight="1" s="36"/>
    <row r="849" ht="15.75" customHeight="1" s="36"/>
    <row r="850" ht="15.75" customHeight="1" s="36"/>
    <row r="851" ht="15.75" customHeight="1" s="36"/>
    <row r="852" ht="15.75" customHeight="1" s="36"/>
    <row r="853" ht="15.75" customHeight="1" s="36"/>
    <row r="854" ht="15.75" customHeight="1" s="36"/>
    <row r="855" ht="15.75" customHeight="1" s="36"/>
    <row r="856" ht="15.75" customHeight="1" s="36"/>
    <row r="857" ht="15.75" customHeight="1" s="36"/>
    <row r="858" ht="15.75" customHeight="1" s="36"/>
    <row r="859" ht="15.75" customHeight="1" s="36"/>
    <row r="860" ht="15.75" customHeight="1" s="36"/>
    <row r="861" ht="15.75" customHeight="1" s="36"/>
    <row r="862" ht="15.75" customHeight="1" s="36"/>
    <row r="863" ht="15.75" customHeight="1" s="36"/>
    <row r="864" ht="15.75" customHeight="1" s="36"/>
    <row r="865" ht="15.75" customHeight="1" s="36"/>
    <row r="866" ht="15.75" customHeight="1" s="36"/>
    <row r="867" ht="15.75" customHeight="1" s="36"/>
    <row r="868" ht="15.75" customHeight="1" s="36"/>
    <row r="869" ht="15.75" customHeight="1" s="36"/>
    <row r="870" ht="15.75" customHeight="1" s="36"/>
    <row r="871" ht="15.75" customHeight="1" s="36"/>
    <row r="872" ht="15.75" customHeight="1" s="36"/>
    <row r="873" ht="15.75" customHeight="1" s="36"/>
    <row r="874" ht="15.75" customHeight="1" s="36"/>
    <row r="875" ht="15.75" customHeight="1" s="36"/>
    <row r="876" ht="15.75" customHeight="1" s="36"/>
    <row r="877" ht="15.75" customHeight="1" s="36"/>
    <row r="878" ht="15.75" customHeight="1" s="36"/>
    <row r="879" ht="15.75" customHeight="1" s="36"/>
    <row r="880" ht="15.75" customHeight="1" s="36"/>
    <row r="881" ht="15.75" customHeight="1" s="36"/>
    <row r="882" ht="15.75" customHeight="1" s="36"/>
    <row r="883" ht="15.75" customHeight="1" s="36"/>
    <row r="884" ht="15.75" customHeight="1" s="36"/>
    <row r="885" ht="15.75" customHeight="1" s="36"/>
    <row r="886" ht="15.75" customHeight="1" s="36"/>
    <row r="887" ht="15.75" customHeight="1" s="36"/>
    <row r="888" ht="15.75" customHeight="1" s="36"/>
    <row r="889" ht="15.75" customHeight="1" s="36"/>
    <row r="890" ht="15.75" customHeight="1" s="36"/>
    <row r="891" ht="15.75" customHeight="1" s="36"/>
    <row r="892" ht="15.75" customHeight="1" s="36"/>
    <row r="893" ht="15.75" customHeight="1" s="36"/>
    <row r="894" ht="15.75" customHeight="1" s="36"/>
    <row r="895" ht="15.75" customHeight="1" s="36"/>
    <row r="896" ht="15.75" customHeight="1" s="36"/>
    <row r="897" ht="15.75" customHeight="1" s="36"/>
    <row r="898" ht="15.75" customHeight="1" s="36"/>
    <row r="899" ht="15.75" customHeight="1" s="36"/>
    <row r="900" ht="15.75" customHeight="1" s="36"/>
    <row r="901" ht="15.75" customHeight="1" s="36"/>
    <row r="902" ht="15.75" customHeight="1" s="36"/>
    <row r="903" ht="15.75" customHeight="1" s="36"/>
    <row r="904" ht="15.75" customHeight="1" s="36"/>
    <row r="905" ht="15.75" customHeight="1" s="36"/>
    <row r="906" ht="15.75" customHeight="1" s="36"/>
    <row r="907" ht="15.75" customHeight="1" s="36"/>
    <row r="908" ht="15.75" customHeight="1" s="36"/>
    <row r="909" ht="15.75" customHeight="1" s="36"/>
    <row r="910" ht="15.75" customHeight="1" s="36"/>
    <row r="911" ht="15.75" customHeight="1" s="36"/>
    <row r="912" ht="15.75" customHeight="1" s="36"/>
    <row r="913" ht="15.75" customHeight="1" s="36"/>
    <row r="914" ht="15.75" customHeight="1" s="36"/>
    <row r="915" ht="15.75" customHeight="1" s="36"/>
    <row r="916" ht="15.75" customHeight="1" s="36"/>
    <row r="917" ht="15.75" customHeight="1" s="36"/>
    <row r="918" ht="15.75" customHeight="1" s="36"/>
    <row r="919" ht="15.75" customHeight="1" s="36"/>
    <row r="920" ht="15.75" customHeight="1" s="36"/>
    <row r="921" ht="15.75" customHeight="1" s="36"/>
    <row r="922" ht="15.75" customHeight="1" s="36"/>
    <row r="923" ht="15.75" customHeight="1" s="36"/>
    <row r="924" ht="15.75" customHeight="1" s="36"/>
    <row r="925" ht="15.75" customHeight="1" s="36"/>
    <row r="926" ht="15.75" customHeight="1" s="36"/>
    <row r="927" ht="15.75" customHeight="1" s="36"/>
    <row r="928" ht="15.75" customHeight="1" s="36"/>
    <row r="929" ht="15.75" customHeight="1" s="36"/>
    <row r="930" ht="15.75" customHeight="1" s="36"/>
    <row r="931" ht="15.75" customHeight="1" s="36"/>
    <row r="932" ht="15.75" customHeight="1" s="36"/>
    <row r="933" ht="15.75" customHeight="1" s="36"/>
    <row r="934" ht="15.75" customHeight="1" s="36"/>
    <row r="935" ht="15.75" customHeight="1" s="36"/>
    <row r="936" ht="15.75" customHeight="1" s="36"/>
    <row r="937" ht="15.75" customHeight="1" s="36"/>
    <row r="938" ht="15.75" customHeight="1" s="36"/>
    <row r="939" ht="15.75" customHeight="1" s="36"/>
    <row r="940" ht="15.75" customHeight="1" s="36"/>
    <row r="941" ht="15.75" customHeight="1" s="36"/>
    <row r="942" ht="15.75" customHeight="1" s="36"/>
    <row r="943" ht="15.75" customHeight="1" s="36"/>
    <row r="944" ht="15.75" customHeight="1" s="36"/>
    <row r="945" ht="15.75" customHeight="1" s="36"/>
    <row r="946" ht="15.75" customHeight="1" s="36"/>
    <row r="947" ht="15.75" customHeight="1" s="36"/>
    <row r="948" ht="15.75" customHeight="1" s="36"/>
    <row r="949" ht="15.75" customHeight="1" s="36"/>
    <row r="950" ht="15.75" customHeight="1" s="36"/>
    <row r="951" ht="15.75" customHeight="1" s="36"/>
    <row r="952" ht="15.75" customHeight="1" s="36"/>
    <row r="953" ht="15.75" customHeight="1" s="36"/>
    <row r="954" ht="15.75" customHeight="1" s="36"/>
    <row r="955" ht="15.75" customHeight="1" s="36"/>
    <row r="956" ht="15.75" customHeight="1" s="36"/>
    <row r="957" ht="15.75" customHeight="1" s="36"/>
    <row r="958" ht="15.75" customHeight="1" s="36"/>
    <row r="959" ht="15.75" customHeight="1" s="36"/>
    <row r="960" ht="15.75" customHeight="1" s="36"/>
    <row r="961" ht="15.75" customHeight="1" s="36"/>
    <row r="962" ht="15.75" customHeight="1" s="36"/>
    <row r="963" ht="15.75" customHeight="1" s="36"/>
    <row r="964" ht="15.75" customHeight="1" s="36"/>
    <row r="965" ht="15.75" customHeight="1" s="36"/>
    <row r="966" ht="15.75" customHeight="1" s="36"/>
    <row r="967" ht="15.75" customHeight="1" s="36"/>
    <row r="968" ht="15.75" customHeight="1" s="36"/>
    <row r="969" ht="15.75" customHeight="1" s="36"/>
    <row r="970" ht="15.75" customHeight="1" s="36"/>
    <row r="971" ht="15.75" customHeight="1" s="36"/>
    <row r="972" ht="15.75" customHeight="1" s="36"/>
    <row r="973" ht="15.75" customHeight="1" s="36"/>
    <row r="974" ht="15.75" customHeight="1" s="36"/>
    <row r="975" ht="15.75" customHeight="1" s="36"/>
    <row r="976" ht="15.75" customHeight="1" s="36"/>
    <row r="977" ht="15.75" customHeight="1" s="36"/>
    <row r="978" ht="15.75" customHeight="1" s="36"/>
    <row r="979" ht="15.75" customHeight="1" s="36"/>
    <row r="980" ht="15.75" customHeight="1" s="36"/>
    <row r="981" ht="15.75" customHeight="1" s="36"/>
    <row r="982" ht="15.75" customHeight="1" s="36"/>
    <row r="983" ht="15.75" customHeight="1" s="36"/>
    <row r="984" ht="15.75" customHeight="1" s="36"/>
    <row r="985" ht="15.75" customHeight="1" s="36"/>
    <row r="986" ht="15.75" customHeight="1" s="36"/>
    <row r="987" ht="15.75" customHeight="1" s="36"/>
    <row r="988" ht="15.75" customHeight="1" s="36"/>
    <row r="989" ht="15.75" customHeight="1" s="36"/>
    <row r="990" ht="15.75" customHeight="1" s="36"/>
    <row r="991" ht="15.75" customHeight="1" s="36"/>
    <row r="992" ht="15.75" customHeight="1" s="36"/>
    <row r="993" ht="15.75" customHeight="1" s="36"/>
    <row r="994" ht="15.75" customHeight="1" s="36"/>
    <row r="995" ht="15.75" customHeight="1" s="36"/>
    <row r="996" ht="15.75" customHeight="1" s="36"/>
    <row r="997" ht="15.75" customHeight="1" s="36"/>
    <row r="998" ht="15.75" customHeight="1" s="36"/>
    <row r="999" ht="15.75" customHeight="1" s="36"/>
  </sheetData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03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7" customWidth="1" style="36" min="1" max="1"/>
    <col width="12" customWidth="1" style="36" min="2" max="2"/>
    <col width="9" customWidth="1" style="36" min="3" max="3"/>
    <col width="18" customWidth="1" style="36" min="4" max="4"/>
    <col width="10" customWidth="1" style="36" min="5" max="5"/>
    <col width="12" customWidth="1" style="36" min="6" max="7"/>
    <col width="13" customWidth="1" style="36" min="8" max="8"/>
    <col width="12" customWidth="1" style="36" min="9" max="9"/>
    <col width="9" customWidth="1" style="36" min="10" max="10"/>
    <col width="15" customWidth="1" style="36" min="11" max="11"/>
    <col width="16" customWidth="1" style="36" min="12" max="13"/>
    <col width="8.710000000000001" customWidth="1" style="36" min="14" max="26"/>
  </cols>
  <sheetData>
    <row r="1">
      <c r="A1" s="1" t="inlineStr">
        <is>
          <t>Registro de observación - tiempos en los módulos de atención</t>
        </is>
      </c>
    </row>
    <row r="2">
      <c r="A2" s="2" t="inlineStr">
        <is>
          <t>Celdas amarillas: se llenan con las observaciones reales. Columnas K, L y M se calculan solas. Horas en formato hh:mm:ss.</t>
        </is>
      </c>
    </row>
    <row r="3" ht="31.5" customHeight="1" s="36">
      <c r="A3" s="6" t="inlineStr">
        <is>
          <t>N.º</t>
        </is>
      </c>
      <c r="B3" s="6" t="inlineStr">
        <is>
          <t>Fecha</t>
        </is>
      </c>
      <c r="C3" s="6" t="inlineStr">
        <is>
          <t>Turno</t>
        </is>
      </c>
      <c r="D3" s="6" t="inlineStr">
        <is>
          <t>Tipo de trámite</t>
        </is>
      </c>
      <c r="E3" s="6" t="inlineStr">
        <is>
          <t>Pref. (S/N)</t>
        </is>
      </c>
      <c r="F3" s="6" t="inlineStr">
        <is>
          <t>Hora turno</t>
        </is>
      </c>
      <c r="G3" s="6" t="inlineStr">
        <is>
          <t>Hora llamado</t>
        </is>
      </c>
      <c r="H3" s="6" t="inlineStr">
        <is>
          <t>Inicio atención</t>
        </is>
      </c>
      <c r="I3" s="6" t="inlineStr">
        <is>
          <t>Fin atención</t>
        </is>
      </c>
      <c r="J3" s="6" t="inlineStr">
        <is>
          <t>Módulo</t>
        </is>
      </c>
      <c r="K3" s="6" t="inlineStr">
        <is>
          <t>Espera en fila (min)</t>
        </is>
      </c>
      <c r="L3" s="6" t="inlineStr">
        <is>
          <t>Duración atención (min)</t>
        </is>
      </c>
      <c r="M3" s="6" t="inlineStr">
        <is>
          <t>Franja (hora de llegada)</t>
        </is>
      </c>
    </row>
    <row r="4">
      <c r="A4" s="2" t="n">
        <v>1</v>
      </c>
      <c r="B4" s="12" t="n">
        <v>46083</v>
      </c>
      <c r="C4" s="14" t="inlineStr">
        <is>
          <t>P-002</t>
        </is>
      </c>
      <c r="D4" s="14" t="inlineStr">
        <is>
          <t>Pendientes</t>
        </is>
      </c>
      <c r="E4" s="14" t="inlineStr">
        <is>
          <t>N</t>
        </is>
      </c>
      <c r="F4" s="18" t="n">
        <v>0.2947625373263889</v>
      </c>
      <c r="G4" s="18" t="n">
        <v>0.2947625373263889</v>
      </c>
      <c r="H4" s="18" t="n">
        <v>0.294785685474537</v>
      </c>
      <c r="I4" s="18" t="n">
        <v>0.2991606854745371</v>
      </c>
      <c r="J4" s="14" t="n">
        <v>2</v>
      </c>
      <c r="K4" s="19">
        <f>IF(AND(ISNUMBER(F4),ISNUMBER(G4)),(G4-F4)*1440,"")</f>
        <v/>
      </c>
      <c r="L4" s="19">
        <f>IF(AND(ISNUMBER(H4),ISNUMBER(I4)),(I4-H4)*1440,"")</f>
        <v/>
      </c>
      <c r="M4" s="15">
        <f>IF(ISNUMBER(F4),HOUR(F4),"")</f>
        <v/>
      </c>
    </row>
    <row r="5">
      <c r="A5" s="2" t="n">
        <v>2</v>
      </c>
      <c r="B5" s="12" t="n">
        <v>46083</v>
      </c>
      <c r="C5" s="14" t="inlineStr">
        <is>
          <t>D-012</t>
        </is>
      </c>
      <c r="D5" s="14" t="inlineStr">
        <is>
          <t>Dispensación</t>
        </is>
      </c>
      <c r="E5" s="14" t="inlineStr">
        <is>
          <t>S</t>
        </is>
      </c>
      <c r="F5" s="18" t="n">
        <v>0.2998889628356481</v>
      </c>
      <c r="G5" s="18" t="n">
        <v>0.3001907780671296</v>
      </c>
      <c r="H5" s="18" t="n">
        <v>0.3002255002893519</v>
      </c>
      <c r="I5" s="18" t="n">
        <v>0.3034778151041667</v>
      </c>
      <c r="J5" s="14" t="n">
        <v>2</v>
      </c>
      <c r="K5" s="19">
        <f>IF(AND(ISNUMBER(F5),ISNUMBER(G5)),(G5-F5)*1440,"")</f>
        <v/>
      </c>
      <c r="L5" s="19">
        <f>IF(AND(ISNUMBER(H5),ISNUMBER(I5)),(I5-H5)*1440,"")</f>
        <v/>
      </c>
      <c r="M5" s="15">
        <f>IF(ISNUMBER(F5),HOUR(F5),"")</f>
        <v/>
      </c>
    </row>
    <row r="6">
      <c r="A6" s="2" t="n">
        <v>3</v>
      </c>
      <c r="B6" s="12" t="n">
        <v>46083</v>
      </c>
      <c r="C6" s="14" t="inlineStr">
        <is>
          <t>V-007</t>
        </is>
      </c>
      <c r="D6" s="14" t="inlineStr">
        <is>
          <t>Turno virtual</t>
        </is>
      </c>
      <c r="E6" s="14" t="inlineStr">
        <is>
          <t>N</t>
        </is>
      </c>
      <c r="F6" s="18" t="n">
        <v>0.3038045492361111</v>
      </c>
      <c r="G6" s="18" t="n">
        <v>0.3085337771990741</v>
      </c>
      <c r="H6" s="18" t="n">
        <v>0.3085569253472222</v>
      </c>
      <c r="I6" s="18" t="n">
        <v>0.3102120179398148</v>
      </c>
      <c r="J6" s="14" t="n">
        <v>3</v>
      </c>
      <c r="K6" s="19">
        <f>IF(AND(ISNUMBER(F6),ISNUMBER(G6)),(G6-F6)*1440,"")</f>
        <v/>
      </c>
      <c r="L6" s="19">
        <f>IF(AND(ISNUMBER(H6),ISNUMBER(I6)),(I6-H6)*1440,"")</f>
        <v/>
      </c>
      <c r="M6" s="15">
        <f>IF(ISNUMBER(F6),HOUR(F6),"")</f>
        <v/>
      </c>
    </row>
    <row r="7">
      <c r="A7" s="2" t="n">
        <v>4</v>
      </c>
      <c r="B7" s="12" t="n">
        <v>46083</v>
      </c>
      <c r="C7" s="14" t="inlineStr">
        <is>
          <t>P-012</t>
        </is>
      </c>
      <c r="D7" s="14" t="inlineStr">
        <is>
          <t>Pendientes</t>
        </is>
      </c>
      <c r="E7" s="14" t="inlineStr">
        <is>
          <t>N</t>
        </is>
      </c>
      <c r="F7" s="18" t="n">
        <v>0.3041539769212963</v>
      </c>
      <c r="G7" s="18" t="n">
        <v>0.3112796850347222</v>
      </c>
      <c r="H7" s="18" t="n">
        <v>0.3113259813310185</v>
      </c>
      <c r="I7" s="18" t="n">
        <v>0.3133977405902778</v>
      </c>
      <c r="J7" s="14" t="n">
        <v>1</v>
      </c>
      <c r="K7" s="19">
        <f>IF(AND(ISNUMBER(F7),ISNUMBER(G7)),(G7-F7)*1440,"")</f>
        <v/>
      </c>
      <c r="L7" s="19">
        <f>IF(AND(ISNUMBER(H7),ISNUMBER(I7)),(I7-H7)*1440,"")</f>
        <v/>
      </c>
      <c r="M7" s="15">
        <f>IF(ISNUMBER(F7),HOUR(F7),"")</f>
        <v/>
      </c>
    </row>
    <row r="8">
      <c r="A8" s="2" t="n">
        <v>5</v>
      </c>
      <c r="B8" s="12" t="n">
        <v>46083</v>
      </c>
      <c r="C8" s="14" t="inlineStr">
        <is>
          <t>D-022</t>
        </is>
      </c>
      <c r="D8" s="14" t="inlineStr">
        <is>
          <t>Dispensación</t>
        </is>
      </c>
      <c r="E8" s="14" t="inlineStr">
        <is>
          <t>N</t>
        </is>
      </c>
      <c r="F8" s="18" t="n">
        <v>0.3161259985300926</v>
      </c>
      <c r="G8" s="18" t="n">
        <v>0.3203428909490741</v>
      </c>
      <c r="H8" s="18" t="n">
        <v>0.3203891872453704</v>
      </c>
      <c r="I8" s="18" t="n">
        <v>0.3231785390972222</v>
      </c>
      <c r="J8" s="14" t="n">
        <v>4</v>
      </c>
      <c r="K8" s="19">
        <f>IF(AND(ISNUMBER(F8),ISNUMBER(G8)),(G8-F8)*1440,"")</f>
        <v/>
      </c>
      <c r="L8" s="19">
        <f>IF(AND(ISNUMBER(H8),ISNUMBER(I8)),(I8-H8)*1440,"")</f>
        <v/>
      </c>
      <c r="M8" s="15">
        <f>IF(ISNUMBER(F8),HOUR(F8),"")</f>
        <v/>
      </c>
    </row>
    <row r="9">
      <c r="A9" s="2" t="n">
        <v>6</v>
      </c>
      <c r="B9" s="12" t="n">
        <v>46083</v>
      </c>
      <c r="C9" s="14" t="inlineStr">
        <is>
          <t>V-017</t>
        </is>
      </c>
      <c r="D9" s="14" t="inlineStr">
        <is>
          <t>Turno virtual</t>
        </is>
      </c>
      <c r="E9" s="14" t="inlineStr">
        <is>
          <t>N</t>
        </is>
      </c>
      <c r="F9" s="18" t="n">
        <v>0.3189950379166667</v>
      </c>
      <c r="G9" s="18" t="n">
        <v>0.3251229835416667</v>
      </c>
      <c r="H9" s="18" t="n">
        <v>0.3251345576157408</v>
      </c>
      <c r="I9" s="18" t="n">
        <v>0.3269053909490741</v>
      </c>
      <c r="J9" s="14" t="n">
        <v>4</v>
      </c>
      <c r="K9" s="19">
        <f>IF(AND(ISNUMBER(F9),ISNUMBER(G9)),(G9-F9)*1440,"")</f>
        <v/>
      </c>
      <c r="L9" s="19">
        <f>IF(AND(ISNUMBER(H9),ISNUMBER(I9)),(I9-H9)*1440,"")</f>
        <v/>
      </c>
      <c r="M9" s="15">
        <f>IF(ISNUMBER(F9),HOUR(F9),"")</f>
        <v/>
      </c>
    </row>
    <row r="10">
      <c r="A10" s="2" t="n">
        <v>7</v>
      </c>
      <c r="B10" s="12" t="n">
        <v>46083</v>
      </c>
      <c r="C10" s="14" t="inlineStr">
        <is>
          <t>P-038</t>
        </is>
      </c>
      <c r="D10" s="14" t="inlineStr">
        <is>
          <t>Pendientes</t>
        </is>
      </c>
      <c r="E10" s="14" t="inlineStr">
        <is>
          <t>N</t>
        </is>
      </c>
      <c r="F10" s="18" t="n">
        <v>0.342749332974537</v>
      </c>
      <c r="G10" s="18" t="n">
        <v>0.3594153151041667</v>
      </c>
      <c r="H10" s="18" t="n">
        <v>0.3594500373263889</v>
      </c>
      <c r="I10" s="18" t="n">
        <v>0.3613829076967592</v>
      </c>
      <c r="J10" s="14" t="n">
        <v>2</v>
      </c>
      <c r="K10" s="19">
        <f>IF(AND(ISNUMBER(F10),ISNUMBER(G10)),(G10-F10)*1440,"")</f>
        <v/>
      </c>
      <c r="L10" s="19">
        <f>IF(AND(ISNUMBER(H10),ISNUMBER(I10)),(I10-H10)*1440,"")</f>
        <v/>
      </c>
      <c r="M10" s="15">
        <f>IF(ISNUMBER(F10),HOUR(F10),"")</f>
        <v/>
      </c>
    </row>
    <row r="11">
      <c r="A11" s="2" t="n">
        <v>8</v>
      </c>
      <c r="B11" s="12" t="n">
        <v>46083</v>
      </c>
      <c r="C11" s="14" t="inlineStr">
        <is>
          <t>D-054</t>
        </is>
      </c>
      <c r="D11" s="14" t="inlineStr">
        <is>
          <t>Dispensación</t>
        </is>
      </c>
      <c r="E11" s="14" t="inlineStr">
        <is>
          <t>N</t>
        </is>
      </c>
      <c r="F11" s="18" t="n">
        <v>0.3447704375347222</v>
      </c>
      <c r="G11" s="18" t="n">
        <v>0.3606785390972223</v>
      </c>
      <c r="H11" s="18" t="n">
        <v>0.3606901131712963</v>
      </c>
      <c r="I11" s="18" t="n">
        <v>0.3637803909490741</v>
      </c>
      <c r="J11" s="14" t="n">
        <v>4</v>
      </c>
      <c r="K11" s="19">
        <f>IF(AND(ISNUMBER(F11),ISNUMBER(G11)),(G11-F11)*1440,"")</f>
        <v/>
      </c>
      <c r="L11" s="19">
        <f>IF(AND(ISNUMBER(H11),ISNUMBER(I11)),(I11-H11)*1440,"")</f>
        <v/>
      </c>
      <c r="M11" s="15">
        <f>IF(ISNUMBER(F11),HOUR(F11),"")</f>
        <v/>
      </c>
    </row>
    <row r="12">
      <c r="A12" s="2" t="n">
        <v>9</v>
      </c>
      <c r="B12" s="12" t="n">
        <v>46083</v>
      </c>
      <c r="C12" s="14" t="inlineStr">
        <is>
          <t>P-044</t>
        </is>
      </c>
      <c r="D12" s="14" t="inlineStr">
        <is>
          <t>Pendientes</t>
        </is>
      </c>
      <c r="E12" s="14" t="inlineStr">
        <is>
          <t>N</t>
        </is>
      </c>
      <c r="F12" s="18" t="n">
        <v>0.3495527822916667</v>
      </c>
      <c r="G12" s="18" t="n">
        <v>0.3700750373263889</v>
      </c>
      <c r="H12" s="18" t="n">
        <v>0.370086611400463</v>
      </c>
      <c r="I12" s="18" t="n">
        <v>0.371961611400463</v>
      </c>
      <c r="J12" s="14" t="n">
        <v>2</v>
      </c>
      <c r="K12" s="19">
        <f>IF(AND(ISNUMBER(F12),ISNUMBER(G12)),(G12-F12)*1440,"")</f>
        <v/>
      </c>
      <c r="L12" s="19">
        <f>IF(AND(ISNUMBER(H12),ISNUMBER(I12)),(I12-H12)*1440,"")</f>
        <v/>
      </c>
      <c r="M12" s="15">
        <f>IF(ISNUMBER(F12),HOUR(F12),"")</f>
        <v/>
      </c>
    </row>
    <row r="13">
      <c r="A13" s="2" t="n">
        <v>10</v>
      </c>
      <c r="B13" s="12" t="n">
        <v>46083</v>
      </c>
      <c r="C13" s="14" t="inlineStr">
        <is>
          <t>P-052</t>
        </is>
      </c>
      <c r="D13" s="14" t="inlineStr">
        <is>
          <t>Pendientes</t>
        </is>
      </c>
      <c r="E13" s="14" t="inlineStr">
        <is>
          <t>S</t>
        </is>
      </c>
      <c r="F13" s="18" t="n">
        <v>0.3579336518634259</v>
      </c>
      <c r="G13" s="18" t="n">
        <v>0.3591384813310185</v>
      </c>
      <c r="H13" s="18" t="n">
        <v>0.3591847776273148</v>
      </c>
      <c r="I13" s="18" t="n">
        <v>0.3608051479976852</v>
      </c>
      <c r="J13" s="14" t="n">
        <v>1</v>
      </c>
      <c r="K13" s="19">
        <f>IF(AND(ISNUMBER(F13),ISNUMBER(G13)),(G13-F13)*1440,"")</f>
        <v/>
      </c>
      <c r="L13" s="19">
        <f>IF(AND(ISNUMBER(H13),ISNUMBER(I13)),(I13-H13)*1440,"")</f>
        <v/>
      </c>
      <c r="M13" s="15">
        <f>IF(ISNUMBER(F13),HOUR(F13),"")</f>
        <v/>
      </c>
    </row>
    <row r="14">
      <c r="A14" s="2" t="n">
        <v>11</v>
      </c>
      <c r="B14" s="12" t="n">
        <v>46083</v>
      </c>
      <c r="C14" s="14" t="inlineStr">
        <is>
          <t>P-058</t>
        </is>
      </c>
      <c r="D14" s="14" t="inlineStr">
        <is>
          <t>Pendientes</t>
        </is>
      </c>
      <c r="E14" s="14" t="inlineStr">
        <is>
          <t>N</t>
        </is>
      </c>
      <c r="F14" s="18" t="n">
        <v>0.3670949660069445</v>
      </c>
      <c r="G14" s="18" t="n">
        <v>0.3874014262152778</v>
      </c>
      <c r="H14" s="18" t="n">
        <v>0.387424574363426</v>
      </c>
      <c r="I14" s="18" t="n">
        <v>0.3896930928819445</v>
      </c>
      <c r="J14" s="14" t="n">
        <v>2</v>
      </c>
      <c r="K14" s="19">
        <f>IF(AND(ISNUMBER(F14),ISNUMBER(G14)),(G14-F14)*1440,"")</f>
        <v/>
      </c>
      <c r="L14" s="19">
        <f>IF(AND(ISNUMBER(H14),ISNUMBER(I14)),(I14-H14)*1440,"")</f>
        <v/>
      </c>
      <c r="M14" s="15">
        <f>IF(ISNUMBER(F14),HOUR(F14),"")</f>
        <v/>
      </c>
    </row>
    <row r="15">
      <c r="A15" s="2" t="n">
        <v>12</v>
      </c>
      <c r="B15" s="12" t="n">
        <v>46083</v>
      </c>
      <c r="C15" s="14" t="inlineStr">
        <is>
          <t>P-060</t>
        </is>
      </c>
      <c r="D15" s="14" t="inlineStr">
        <is>
          <t>Pendientes</t>
        </is>
      </c>
      <c r="E15" s="14" t="inlineStr">
        <is>
          <t>N</t>
        </is>
      </c>
      <c r="F15" s="18" t="n">
        <v>0.3694842179513889</v>
      </c>
      <c r="G15" s="18" t="n">
        <v>0.3895088517013889</v>
      </c>
      <c r="H15" s="18" t="n">
        <v>0.3895551479976852</v>
      </c>
      <c r="I15" s="18" t="n">
        <v>0.3919162591087963</v>
      </c>
      <c r="J15" s="14" t="n">
        <v>1</v>
      </c>
      <c r="K15" s="19">
        <f>IF(AND(ISNUMBER(F15),ISNUMBER(G15)),(G15-F15)*1440,"")</f>
        <v/>
      </c>
      <c r="L15" s="19">
        <f>IF(AND(ISNUMBER(H15),ISNUMBER(I15)),(I15-H15)*1440,"")</f>
        <v/>
      </c>
      <c r="M15" s="15">
        <f>IF(ISNUMBER(F15),HOUR(F15),"")</f>
        <v/>
      </c>
    </row>
    <row r="16">
      <c r="A16" s="2" t="n">
        <v>13</v>
      </c>
      <c r="B16" s="12" t="n">
        <v>46083</v>
      </c>
      <c r="C16" s="14" t="inlineStr">
        <is>
          <t>V-049</t>
        </is>
      </c>
      <c r="D16" s="14" t="inlineStr">
        <is>
          <t>Turno virtual</t>
        </is>
      </c>
      <c r="E16" s="14" t="inlineStr">
        <is>
          <t>N</t>
        </is>
      </c>
      <c r="F16" s="18" t="n">
        <v>0.3706656062037037</v>
      </c>
      <c r="G16" s="18" t="n">
        <v>0.3919162591087963</v>
      </c>
      <c r="H16" s="18" t="n">
        <v>0.3919278331828704</v>
      </c>
      <c r="I16" s="18" t="n">
        <v>0.3928769072569445</v>
      </c>
      <c r="J16" s="14" t="n">
        <v>1</v>
      </c>
      <c r="K16" s="19">
        <f>IF(AND(ISNUMBER(F16),ISNUMBER(G16)),(G16-F16)*1440,"")</f>
        <v/>
      </c>
      <c r="L16" s="19">
        <f>IF(AND(ISNUMBER(H16),ISNUMBER(I16)),(I16-H16)*1440,"")</f>
        <v/>
      </c>
      <c r="M16" s="15">
        <f>IF(ISNUMBER(F16),HOUR(F16),"")</f>
        <v/>
      </c>
    </row>
    <row r="17">
      <c r="A17" s="2" t="n">
        <v>14</v>
      </c>
      <c r="B17" s="12" t="n">
        <v>46083</v>
      </c>
      <c r="C17" s="14" t="inlineStr">
        <is>
          <t>V-065</t>
        </is>
      </c>
      <c r="D17" s="14" t="inlineStr">
        <is>
          <t>Turno virtual</t>
        </is>
      </c>
      <c r="E17" s="14" t="inlineStr">
        <is>
          <t>N</t>
        </is>
      </c>
      <c r="F17" s="18" t="n">
        <v>0.3939188498263889</v>
      </c>
      <c r="G17" s="18" t="n">
        <v>0.4172641872453704</v>
      </c>
      <c r="H17" s="18" t="n">
        <v>0.4173104835416667</v>
      </c>
      <c r="I17" s="18" t="n">
        <v>0.4181785390972222</v>
      </c>
      <c r="J17" s="14" t="n">
        <v>4</v>
      </c>
      <c r="K17" s="19">
        <f>IF(AND(ISNUMBER(F17),ISNUMBER(G17)),(G17-F17)*1440,"")</f>
        <v/>
      </c>
      <c r="L17" s="19">
        <f>IF(AND(ISNUMBER(H17),ISNUMBER(I17)),(I17-H17)*1440,"")</f>
        <v/>
      </c>
      <c r="M17" s="15">
        <f>IF(ISNUMBER(F17),HOUR(F17),"")</f>
        <v/>
      </c>
    </row>
    <row r="18">
      <c r="A18" s="2" t="n">
        <v>15</v>
      </c>
      <c r="B18" s="12" t="n">
        <v>46083</v>
      </c>
      <c r="C18" s="14" t="inlineStr">
        <is>
          <t>V-066</t>
        </is>
      </c>
      <c r="D18" s="14" t="inlineStr">
        <is>
          <t>Turno virtual</t>
        </is>
      </c>
      <c r="E18" s="14" t="inlineStr">
        <is>
          <t>N</t>
        </is>
      </c>
      <c r="F18" s="18" t="n">
        <v>0.3958000322685185</v>
      </c>
      <c r="G18" s="18" t="n">
        <v>0.4197046669560185</v>
      </c>
      <c r="H18" s="18" t="n">
        <v>0.4197393891782408</v>
      </c>
      <c r="I18" s="18" t="n">
        <v>0.4242880002893519</v>
      </c>
      <c r="J18" s="14" t="n">
        <v>2</v>
      </c>
      <c r="K18" s="19">
        <f>IF(AND(ISNUMBER(F18),ISNUMBER(G18)),(G18-F18)*1440,"")</f>
        <v/>
      </c>
      <c r="L18" s="19">
        <f>IF(AND(ISNUMBER(H18),ISNUMBER(I18)),(I18-H18)*1440,"")</f>
        <v/>
      </c>
      <c r="M18" s="15">
        <f>IF(ISNUMBER(F18),HOUR(F18),"")</f>
        <v/>
      </c>
    </row>
    <row r="19">
      <c r="A19" s="2" t="n">
        <v>16</v>
      </c>
      <c r="B19" s="12" t="n">
        <v>46083</v>
      </c>
      <c r="C19" s="14" t="inlineStr">
        <is>
          <t>V-071</t>
        </is>
      </c>
      <c r="D19" s="14" t="inlineStr">
        <is>
          <t>Turno virtual</t>
        </is>
      </c>
      <c r="E19" s="14" t="inlineStr">
        <is>
          <t>N</t>
        </is>
      </c>
      <c r="F19" s="18" t="n">
        <v>0.3992137595717593</v>
      </c>
      <c r="G19" s="18" t="n">
        <v>0.4254116294791667</v>
      </c>
      <c r="H19" s="18" t="n">
        <v>0.4254463517013889</v>
      </c>
      <c r="I19" s="18" t="n">
        <v>0.4274602405902778</v>
      </c>
      <c r="J19" s="14" t="n">
        <v>1</v>
      </c>
      <c r="K19" s="19">
        <f>IF(AND(ISNUMBER(F19),ISNUMBER(G19)),(G19-F19)*1440,"")</f>
        <v/>
      </c>
      <c r="L19" s="19">
        <f>IF(AND(ISNUMBER(H19),ISNUMBER(I19)),(I19-H19)*1440,"")</f>
        <v/>
      </c>
      <c r="M19" s="15">
        <f>IF(ISNUMBER(F19),HOUR(F19),"")</f>
        <v/>
      </c>
    </row>
    <row r="20" ht="15.75" customHeight="1" s="36">
      <c r="A20" s="2" t="n">
        <v>17</v>
      </c>
      <c r="B20" s="12" t="n">
        <v>46083</v>
      </c>
      <c r="C20" s="14" t="inlineStr">
        <is>
          <t>D-105</t>
        </is>
      </c>
      <c r="D20" s="14" t="inlineStr">
        <is>
          <t>Dispensación</t>
        </is>
      </c>
      <c r="E20" s="14" t="inlineStr">
        <is>
          <t>N</t>
        </is>
      </c>
      <c r="F20" s="18" t="n">
        <v>0.4000461646875</v>
      </c>
      <c r="G20" s="18" t="n">
        <v>0.4267282216435185</v>
      </c>
      <c r="H20" s="18" t="n">
        <v>0.4267513697916667</v>
      </c>
      <c r="I20" s="18" t="n">
        <v>0.4285916475694445</v>
      </c>
      <c r="J20" s="14" t="n">
        <v>3</v>
      </c>
      <c r="K20" s="19">
        <f>IF(AND(ISNUMBER(F20),ISNUMBER(G20)),(G20-F20)*1440,"")</f>
        <v/>
      </c>
      <c r="L20" s="19">
        <f>IF(AND(ISNUMBER(H20),ISNUMBER(I20)),(I20-H20)*1440,"")</f>
        <v/>
      </c>
      <c r="M20" s="15">
        <f>IF(ISNUMBER(F20),HOUR(F20),"")</f>
        <v/>
      </c>
    </row>
    <row r="21" ht="15.75" customHeight="1" s="36">
      <c r="A21" s="2" t="n">
        <v>18</v>
      </c>
      <c r="B21" s="12" t="n">
        <v>46083</v>
      </c>
      <c r="C21" s="14" t="inlineStr">
        <is>
          <t>D-106</t>
        </is>
      </c>
      <c r="D21" s="14" t="inlineStr">
        <is>
          <t>Dispensación</t>
        </is>
      </c>
      <c r="E21" s="14" t="inlineStr">
        <is>
          <t>S</t>
        </is>
      </c>
      <c r="F21" s="18" t="n">
        <v>0.4024045205671296</v>
      </c>
      <c r="G21" s="18" t="n">
        <v>0.4032559994212963</v>
      </c>
      <c r="H21" s="18" t="n">
        <v>0.4033022957175926</v>
      </c>
      <c r="I21" s="18" t="n">
        <v>0.404147203125</v>
      </c>
      <c r="J21" s="14" t="n">
        <v>3</v>
      </c>
      <c r="K21" s="19">
        <f>IF(AND(ISNUMBER(F21),ISNUMBER(G21)),(G21-F21)*1440,"")</f>
        <v/>
      </c>
      <c r="L21" s="19">
        <f>IF(AND(ISNUMBER(H21),ISNUMBER(I21)),(I21-H21)*1440,"")</f>
        <v/>
      </c>
      <c r="M21" s="15">
        <f>IF(ISNUMBER(F21),HOUR(F21),"")</f>
        <v/>
      </c>
    </row>
    <row r="22" ht="15.75" customHeight="1" s="36">
      <c r="A22" s="2" t="n">
        <v>19</v>
      </c>
      <c r="B22" s="12" t="n">
        <v>46083</v>
      </c>
      <c r="C22" s="14" t="inlineStr">
        <is>
          <t>V-090</t>
        </is>
      </c>
      <c r="D22" s="14" t="inlineStr">
        <is>
          <t>Turno virtual</t>
        </is>
      </c>
      <c r="E22" s="14" t="inlineStr">
        <is>
          <t>N</t>
        </is>
      </c>
      <c r="F22" s="18" t="n">
        <v>0.4280742331365741</v>
      </c>
      <c r="G22" s="18" t="n">
        <v>0.4514648702199074</v>
      </c>
      <c r="H22" s="18" t="n">
        <v>0.4514995924421297</v>
      </c>
      <c r="I22" s="18" t="n">
        <v>0.4539417220717593</v>
      </c>
      <c r="J22" s="14" t="n">
        <v>1</v>
      </c>
      <c r="K22" s="19">
        <f>IF(AND(ISNUMBER(F22),ISNUMBER(G22)),(G22-F22)*1440,"")</f>
        <v/>
      </c>
      <c r="L22" s="19">
        <f>IF(AND(ISNUMBER(H22),ISNUMBER(I22)),(I22-H22)*1440,"")</f>
        <v/>
      </c>
      <c r="M22" s="15">
        <f>IF(ISNUMBER(F22),HOUR(F22),"")</f>
        <v/>
      </c>
    </row>
    <row r="23" ht="15.75" customHeight="1" s="36">
      <c r="A23" s="2" t="n">
        <v>20</v>
      </c>
      <c r="B23" s="12" t="n">
        <v>46083</v>
      </c>
      <c r="C23" s="14" t="inlineStr">
        <is>
          <t>V-099</t>
        </is>
      </c>
      <c r="D23" s="14" t="inlineStr">
        <is>
          <t>Turno virtual</t>
        </is>
      </c>
      <c r="E23" s="14" t="inlineStr">
        <is>
          <t>N</t>
        </is>
      </c>
      <c r="F23" s="18" t="n">
        <v>0.4482167062037037</v>
      </c>
      <c r="G23" s="18" t="n">
        <v>0.4685482035532408</v>
      </c>
      <c r="H23" s="18" t="n">
        <v>0.4685597776273148</v>
      </c>
      <c r="I23" s="18" t="n">
        <v>0.4693583887384259</v>
      </c>
      <c r="J23" s="14" t="n">
        <v>1</v>
      </c>
      <c r="K23" s="19">
        <f>IF(AND(ISNUMBER(F23),ISNUMBER(G23)),(G23-F23)*1440,"")</f>
        <v/>
      </c>
      <c r="L23" s="19">
        <f>IF(AND(ISNUMBER(H23),ISNUMBER(I23)),(I23-H23)*1440,"")</f>
        <v/>
      </c>
      <c r="M23" s="15">
        <f>IF(ISNUMBER(F23),HOUR(F23),"")</f>
        <v/>
      </c>
    </row>
    <row r="24" ht="15.75" customHeight="1" s="36">
      <c r="A24" s="2" t="n">
        <v>21</v>
      </c>
      <c r="B24" s="12" t="n">
        <v>46083</v>
      </c>
      <c r="C24" s="14" t="inlineStr">
        <is>
          <t>V-100</t>
        </is>
      </c>
      <c r="D24" s="14" t="inlineStr">
        <is>
          <t>Turno virtual</t>
        </is>
      </c>
      <c r="E24" s="14" t="inlineStr">
        <is>
          <t>N</t>
        </is>
      </c>
      <c r="F24" s="18" t="n">
        <v>0.4490237231944445</v>
      </c>
      <c r="G24" s="18" t="n">
        <v>0.4693805928819445</v>
      </c>
      <c r="H24" s="18" t="n">
        <v>0.4693921669560185</v>
      </c>
      <c r="I24" s="18" t="n">
        <v>0.4710009632523148</v>
      </c>
      <c r="J24" s="14" t="n">
        <v>2</v>
      </c>
      <c r="K24" s="19">
        <f>IF(AND(ISNUMBER(F24),ISNUMBER(G24)),(G24-F24)*1440,"")</f>
        <v/>
      </c>
      <c r="L24" s="19">
        <f>IF(AND(ISNUMBER(H24),ISNUMBER(I24)),(I24-H24)*1440,"")</f>
        <v/>
      </c>
      <c r="M24" s="15">
        <f>IF(ISNUMBER(F24),HOUR(F24),"")</f>
        <v/>
      </c>
    </row>
    <row r="25" ht="15.75" customHeight="1" s="36">
      <c r="A25" s="2" t="n">
        <v>22</v>
      </c>
      <c r="B25" s="12" t="n">
        <v>46083</v>
      </c>
      <c r="C25" s="14" t="inlineStr">
        <is>
          <t>D-155</t>
        </is>
      </c>
      <c r="D25" s="14" t="inlineStr">
        <is>
          <t>Dispensación</t>
        </is>
      </c>
      <c r="E25" s="14" t="inlineStr">
        <is>
          <t>N</t>
        </is>
      </c>
      <c r="F25" s="18" t="n">
        <v>0.4547471994560185</v>
      </c>
      <c r="G25" s="18" t="n">
        <v>0.4764041475694444</v>
      </c>
      <c r="H25" s="18" t="n">
        <v>0.4764388697916667</v>
      </c>
      <c r="I25" s="18" t="n">
        <v>0.4780013697916667</v>
      </c>
      <c r="J25" s="14" t="n">
        <v>3</v>
      </c>
      <c r="K25" s="19">
        <f>IF(AND(ISNUMBER(F25),ISNUMBER(G25)),(G25-F25)*1440,"")</f>
        <v/>
      </c>
      <c r="L25" s="19">
        <f>IF(AND(ISNUMBER(H25),ISNUMBER(I25)),(I25-H25)*1440,"")</f>
        <v/>
      </c>
      <c r="M25" s="15">
        <f>IF(ISNUMBER(F25),HOUR(F25),"")</f>
        <v/>
      </c>
    </row>
    <row r="26" ht="15.75" customHeight="1" s="36">
      <c r="A26" s="2" t="n">
        <v>23</v>
      </c>
      <c r="B26" s="12" t="n">
        <v>46083</v>
      </c>
      <c r="C26" s="14" t="inlineStr">
        <is>
          <t>D-165</t>
        </is>
      </c>
      <c r="D26" s="14" t="inlineStr">
        <is>
          <t>Dispensación</t>
        </is>
      </c>
      <c r="E26" s="14" t="inlineStr">
        <is>
          <t>N</t>
        </is>
      </c>
      <c r="F26" s="18" t="n">
        <v>0.4719216609837963</v>
      </c>
      <c r="G26" s="18" t="n">
        <v>0.4852814623842593</v>
      </c>
      <c r="H26" s="18" t="n">
        <v>0.4853161846064815</v>
      </c>
      <c r="I26" s="18" t="n">
        <v>0.4873300734953704</v>
      </c>
      <c r="J26" s="14" t="n">
        <v>3</v>
      </c>
      <c r="K26" s="19">
        <f>IF(AND(ISNUMBER(F26),ISNUMBER(G26)),(G26-F26)*1440,"")</f>
        <v/>
      </c>
      <c r="L26" s="19">
        <f>IF(AND(ISNUMBER(H26),ISNUMBER(I26)),(I26-H26)*1440,"")</f>
        <v/>
      </c>
      <c r="M26" s="15">
        <f>IF(ISNUMBER(F26),HOUR(F26),"")</f>
        <v/>
      </c>
    </row>
    <row r="27" ht="15.75" customHeight="1" s="36">
      <c r="A27" s="2" t="n">
        <v>24</v>
      </c>
      <c r="B27" s="12" t="n">
        <v>46083</v>
      </c>
      <c r="C27" s="14" t="inlineStr">
        <is>
          <t>P-098</t>
        </is>
      </c>
      <c r="D27" s="14" t="inlineStr">
        <is>
          <t>Pendientes</t>
        </is>
      </c>
      <c r="E27" s="14" t="inlineStr">
        <is>
          <t>N</t>
        </is>
      </c>
      <c r="F27" s="18" t="n">
        <v>0.4751316290740741</v>
      </c>
      <c r="G27" s="18" t="n">
        <v>0.4873300734953704</v>
      </c>
      <c r="H27" s="18" t="n">
        <v>0.4873763697916667</v>
      </c>
      <c r="I27" s="18" t="n">
        <v>0.4877583142361111</v>
      </c>
      <c r="J27" s="14" t="n">
        <v>3</v>
      </c>
      <c r="K27" s="19">
        <f>IF(AND(ISNUMBER(F27),ISNUMBER(G27)),(G27-F27)*1440,"")</f>
        <v/>
      </c>
      <c r="L27" s="19">
        <f>IF(AND(ISNUMBER(H27),ISNUMBER(I27)),(I27-H27)*1440,"")</f>
        <v/>
      </c>
      <c r="M27" s="15">
        <f>IF(ISNUMBER(F27),HOUR(F27),"")</f>
        <v/>
      </c>
    </row>
    <row r="28" ht="15.75" customHeight="1" s="36">
      <c r="A28" s="2" t="n">
        <v>25</v>
      </c>
      <c r="B28" s="12" t="n">
        <v>46083</v>
      </c>
      <c r="C28" s="14" t="inlineStr">
        <is>
          <t>D-170</t>
        </is>
      </c>
      <c r="D28" s="14" t="inlineStr">
        <is>
          <t>Dispensación</t>
        </is>
      </c>
      <c r="E28" s="14" t="inlineStr">
        <is>
          <t>N</t>
        </is>
      </c>
      <c r="F28" s="18" t="n">
        <v>0.4837125442476852</v>
      </c>
      <c r="G28" s="18" t="n">
        <v>0.492831316875</v>
      </c>
      <c r="H28" s="18" t="n">
        <v>0.4928428909490741</v>
      </c>
      <c r="I28" s="18" t="n">
        <v>0.4941623353935186</v>
      </c>
      <c r="J28" s="14" t="n">
        <v>4</v>
      </c>
      <c r="K28" s="19">
        <f>IF(AND(ISNUMBER(F28),ISNUMBER(G28)),(G28-F28)*1440,"")</f>
        <v/>
      </c>
      <c r="L28" s="19">
        <f>IF(AND(ISNUMBER(H28),ISNUMBER(I28)),(I28-H28)*1440,"")</f>
        <v/>
      </c>
      <c r="M28" s="15">
        <f>IF(ISNUMBER(F28),HOUR(F28),"")</f>
        <v/>
      </c>
    </row>
    <row r="29" ht="15.75" customHeight="1" s="36">
      <c r="A29" s="2" t="n">
        <v>26</v>
      </c>
      <c r="B29" s="12" t="n">
        <v>46083</v>
      </c>
      <c r="C29" s="14" t="inlineStr">
        <is>
          <t>D-176</t>
        </is>
      </c>
      <c r="D29" s="14" t="inlineStr">
        <is>
          <t>Dispensación</t>
        </is>
      </c>
      <c r="E29" s="14" t="inlineStr">
        <is>
          <t>N</t>
        </is>
      </c>
      <c r="F29" s="18" t="n">
        <v>0.5037756356481481</v>
      </c>
      <c r="G29" s="18" t="n">
        <v>0.5037756356481481</v>
      </c>
      <c r="H29" s="18" t="n">
        <v>0.5038103578703703</v>
      </c>
      <c r="I29" s="18" t="n">
        <v>0.506576561574074</v>
      </c>
      <c r="J29" s="14" t="n">
        <v>3</v>
      </c>
      <c r="K29" s="19">
        <f>IF(AND(ISNUMBER(F29),ISNUMBER(G29)),(G29-F29)*1440,"")</f>
        <v/>
      </c>
      <c r="L29" s="19">
        <f>IF(AND(ISNUMBER(H29),ISNUMBER(I29)),(I29-H29)*1440,"")</f>
        <v/>
      </c>
      <c r="M29" s="15">
        <f>IF(ISNUMBER(F29),HOUR(F29),"")</f>
        <v/>
      </c>
    </row>
    <row r="30" ht="15.75" customHeight="1" s="36">
      <c r="A30" s="2" t="n">
        <v>27</v>
      </c>
      <c r="B30" s="12" t="n">
        <v>46083</v>
      </c>
      <c r="C30" s="14" t="inlineStr">
        <is>
          <t>P-122</t>
        </is>
      </c>
      <c r="D30" s="14" t="inlineStr">
        <is>
          <t>Pendientes</t>
        </is>
      </c>
      <c r="E30" s="14" t="inlineStr">
        <is>
          <t>N</t>
        </is>
      </c>
      <c r="F30" s="18" t="n">
        <v>0.5369152876157407</v>
      </c>
      <c r="G30" s="18" t="n">
        <v>0.5369152876157407</v>
      </c>
      <c r="H30" s="18" t="n">
        <v>0.5369268616898148</v>
      </c>
      <c r="I30" s="18" t="n">
        <v>0.5386166765046296</v>
      </c>
      <c r="J30" s="14" t="n">
        <v>1</v>
      </c>
      <c r="K30" s="19">
        <f>IF(AND(ISNUMBER(F30),ISNUMBER(G30)),(G30-F30)*1440,"")</f>
        <v/>
      </c>
      <c r="L30" s="19">
        <f>IF(AND(ISNUMBER(H30),ISNUMBER(I30)),(I30-H30)*1440,"")</f>
        <v/>
      </c>
      <c r="M30" s="15">
        <f>IF(ISNUMBER(F30),HOUR(F30),"")</f>
        <v/>
      </c>
    </row>
    <row r="31" ht="15.75" customHeight="1" s="36">
      <c r="A31" s="2" t="n">
        <v>28</v>
      </c>
      <c r="B31" s="12" t="n">
        <v>46083</v>
      </c>
      <c r="C31" s="14" t="inlineStr">
        <is>
          <t>D-199</t>
        </is>
      </c>
      <c r="D31" s="14" t="inlineStr">
        <is>
          <t>Dispensación</t>
        </is>
      </c>
      <c r="E31" s="14" t="inlineStr">
        <is>
          <t>N</t>
        </is>
      </c>
      <c r="F31" s="18" t="n">
        <v>0.5399139532175926</v>
      </c>
      <c r="G31" s="18" t="n">
        <v>0.540561120949074</v>
      </c>
      <c r="H31" s="18" t="n">
        <v>0.5406074172453703</v>
      </c>
      <c r="I31" s="18" t="n">
        <v>0.5417648246527778</v>
      </c>
      <c r="J31" s="14" t="n">
        <v>1</v>
      </c>
      <c r="K31" s="19">
        <f>IF(AND(ISNUMBER(F31),ISNUMBER(G31)),(G31-F31)*1440,"")</f>
        <v/>
      </c>
      <c r="L31" s="19">
        <f>IF(AND(ISNUMBER(H31),ISNUMBER(I31)),(I31-H31)*1440,"")</f>
        <v/>
      </c>
      <c r="M31" s="15">
        <f>IF(ISNUMBER(F31),HOUR(F31),"")</f>
        <v/>
      </c>
    </row>
    <row r="32" ht="15.75" customHeight="1" s="36">
      <c r="A32" s="2" t="n">
        <v>29</v>
      </c>
      <c r="B32" s="12" t="n">
        <v>46083</v>
      </c>
      <c r="C32" s="14" t="inlineStr">
        <is>
          <t>D-202</t>
        </is>
      </c>
      <c r="D32" s="14" t="inlineStr">
        <is>
          <t>Dispensación</t>
        </is>
      </c>
      <c r="E32" s="14" t="inlineStr">
        <is>
          <t>N</t>
        </is>
      </c>
      <c r="F32" s="18" t="n">
        <v>0.5535555740277778</v>
      </c>
      <c r="G32" s="18" t="n">
        <v>0.5535555740277778</v>
      </c>
      <c r="H32" s="18" t="n">
        <v>0.553601870324074</v>
      </c>
      <c r="I32" s="18" t="n">
        <v>0.5547708518055555</v>
      </c>
      <c r="J32" s="14" t="n">
        <v>1</v>
      </c>
      <c r="K32" s="19">
        <f>IF(AND(ISNUMBER(F32),ISNUMBER(G32)),(G32-F32)*1440,"")</f>
        <v/>
      </c>
      <c r="L32" s="19">
        <f>IF(AND(ISNUMBER(H32),ISNUMBER(I32)),(I32-H32)*1440,"")</f>
        <v/>
      </c>
      <c r="M32" s="15">
        <f>IF(ISNUMBER(F32),HOUR(F32),"")</f>
        <v/>
      </c>
    </row>
    <row r="33" ht="15.75" customHeight="1" s="36">
      <c r="A33" s="2" t="n">
        <v>30</v>
      </c>
      <c r="B33" s="12" t="n">
        <v>46083</v>
      </c>
      <c r="C33" s="14" t="inlineStr">
        <is>
          <t>D-204</t>
        </is>
      </c>
      <c r="D33" s="14" t="inlineStr">
        <is>
          <t>Dispensación</t>
        </is>
      </c>
      <c r="E33" s="14" t="inlineStr">
        <is>
          <t>N</t>
        </is>
      </c>
      <c r="F33" s="18" t="n">
        <v>0.5546695162615741</v>
      </c>
      <c r="G33" s="18" t="n">
        <v>0.5546695162615741</v>
      </c>
      <c r="H33" s="18" t="n">
        <v>0.5547158125578704</v>
      </c>
      <c r="I33" s="18" t="n">
        <v>0.5574935903356482</v>
      </c>
      <c r="J33" s="14" t="n">
        <v>2</v>
      </c>
      <c r="K33" s="19">
        <f>IF(AND(ISNUMBER(F33),ISNUMBER(G33)),(G33-F33)*1440,"")</f>
        <v/>
      </c>
      <c r="L33" s="19">
        <f>IF(AND(ISNUMBER(H33),ISNUMBER(I33)),(I33-H33)*1440,"")</f>
        <v/>
      </c>
      <c r="M33" s="15">
        <f>IF(ISNUMBER(F33),HOUR(F33),"")</f>
        <v/>
      </c>
    </row>
    <row r="34" ht="15.75" customHeight="1" s="36">
      <c r="A34" s="2" t="n">
        <v>31</v>
      </c>
      <c r="B34" s="12" t="n">
        <v>46083</v>
      </c>
      <c r="C34" s="14" t="inlineStr">
        <is>
          <t>V-137</t>
        </is>
      </c>
      <c r="D34" s="14" t="inlineStr">
        <is>
          <t>Turno virtual</t>
        </is>
      </c>
      <c r="E34" s="14" t="inlineStr">
        <is>
          <t>N</t>
        </is>
      </c>
      <c r="F34" s="18" t="n">
        <v>0.5584469606597222</v>
      </c>
      <c r="G34" s="18" t="n">
        <v>0.561232016261574</v>
      </c>
      <c r="H34" s="18" t="n">
        <v>0.5612551644097222</v>
      </c>
      <c r="I34" s="18" t="n">
        <v>0.5648778495949074</v>
      </c>
      <c r="J34" s="14" t="n">
        <v>2</v>
      </c>
      <c r="K34" s="19">
        <f>IF(AND(ISNUMBER(F34),ISNUMBER(G34)),(G34-F34)*1440,"")</f>
        <v/>
      </c>
      <c r="L34" s="19">
        <f>IF(AND(ISNUMBER(H34),ISNUMBER(I34)),(I34-H34)*1440,"")</f>
        <v/>
      </c>
      <c r="M34" s="15">
        <f>IF(ISNUMBER(F34),HOUR(F34),"")</f>
        <v/>
      </c>
    </row>
    <row r="35" ht="15.75" customHeight="1" s="36">
      <c r="A35" s="2" t="n">
        <v>32</v>
      </c>
      <c r="B35" s="12" t="n">
        <v>46083</v>
      </c>
      <c r="C35" s="14" t="inlineStr">
        <is>
          <t>P-133</t>
        </is>
      </c>
      <c r="D35" s="14" t="inlineStr">
        <is>
          <t>Pendientes</t>
        </is>
      </c>
      <c r="E35" s="14" t="inlineStr">
        <is>
          <t>N</t>
        </is>
      </c>
      <c r="F35" s="18" t="n">
        <v>0.5903803963078704</v>
      </c>
      <c r="G35" s="18" t="n">
        <v>0.5903803963078704</v>
      </c>
      <c r="H35" s="18" t="n">
        <v>0.5904266926041667</v>
      </c>
      <c r="I35" s="18" t="n">
        <v>0.5943850259375001</v>
      </c>
      <c r="J35" s="14" t="n">
        <v>2</v>
      </c>
      <c r="K35" s="19">
        <f>IF(AND(ISNUMBER(F35),ISNUMBER(G35)),(G35-F35)*1440,"")</f>
        <v/>
      </c>
      <c r="L35" s="19">
        <f>IF(AND(ISNUMBER(H35),ISNUMBER(I35)),(I35-H35)*1440,"")</f>
        <v/>
      </c>
      <c r="M35" s="15">
        <f>IF(ISNUMBER(F35),HOUR(F35),"")</f>
        <v/>
      </c>
    </row>
    <row r="36" ht="15.75" customHeight="1" s="36">
      <c r="A36" s="2" t="n">
        <v>33</v>
      </c>
      <c r="B36" s="12" t="n">
        <v>46083</v>
      </c>
      <c r="C36" s="14" t="inlineStr">
        <is>
          <t>P-142</t>
        </is>
      </c>
      <c r="D36" s="14" t="inlineStr">
        <is>
          <t>Pendientes</t>
        </is>
      </c>
      <c r="E36" s="14" t="inlineStr">
        <is>
          <t>N</t>
        </is>
      </c>
      <c r="F36" s="18" t="n">
        <v>0.6103630732523149</v>
      </c>
      <c r="G36" s="18" t="n">
        <v>0.6103630732523149</v>
      </c>
      <c r="H36" s="18" t="n">
        <v>0.6103862214004629</v>
      </c>
      <c r="I36" s="18" t="n">
        <v>0.6131639991782408</v>
      </c>
      <c r="J36" s="14" t="n">
        <v>3</v>
      </c>
      <c r="K36" s="19">
        <f>IF(AND(ISNUMBER(F36),ISNUMBER(G36)),(G36-F36)*1440,"")</f>
        <v/>
      </c>
      <c r="L36" s="19">
        <f>IF(AND(ISNUMBER(H36),ISNUMBER(I36)),(I36-H36)*1440,"")</f>
        <v/>
      </c>
      <c r="M36" s="15">
        <f>IF(ISNUMBER(F36),HOUR(F36),"")</f>
        <v/>
      </c>
    </row>
    <row r="37" ht="15.75" customHeight="1" s="36">
      <c r="A37" s="2" t="n">
        <v>34</v>
      </c>
      <c r="B37" s="12" t="n">
        <v>46083</v>
      </c>
      <c r="C37" s="14" t="inlineStr">
        <is>
          <t>D-238</t>
        </is>
      </c>
      <c r="D37" s="14" t="inlineStr">
        <is>
          <t>Dispensación</t>
        </is>
      </c>
      <c r="E37" s="14" t="inlineStr">
        <is>
          <t>N</t>
        </is>
      </c>
      <c r="F37" s="18" t="n">
        <v>0.6154331900231481</v>
      </c>
      <c r="G37" s="18" t="n">
        <v>0.6158058208796297</v>
      </c>
      <c r="H37" s="18" t="n">
        <v>0.6158289690277778</v>
      </c>
      <c r="I37" s="18" t="n">
        <v>0.6171715616203705</v>
      </c>
      <c r="J37" s="14" t="n">
        <v>4</v>
      </c>
      <c r="K37" s="19">
        <f>IF(AND(ISNUMBER(F37),ISNUMBER(G37)),(G37-F37)*1440,"")</f>
        <v/>
      </c>
      <c r="L37" s="19">
        <f>IF(AND(ISNUMBER(H37),ISNUMBER(I37)),(I37-H37)*1440,"")</f>
        <v/>
      </c>
      <c r="M37" s="15">
        <f>IF(ISNUMBER(F37),HOUR(F37),"")</f>
        <v/>
      </c>
    </row>
    <row r="38" ht="15.75" customHeight="1" s="36">
      <c r="A38" s="2" t="n">
        <v>35</v>
      </c>
      <c r="B38" s="12" t="n">
        <v>46083</v>
      </c>
      <c r="C38" s="14" t="inlineStr">
        <is>
          <t>V-158</t>
        </is>
      </c>
      <c r="D38" s="14" t="inlineStr">
        <is>
          <t>Turno virtual</t>
        </is>
      </c>
      <c r="E38" s="14" t="inlineStr">
        <is>
          <t>N</t>
        </is>
      </c>
      <c r="F38" s="18" t="n">
        <v>0.6162322867708334</v>
      </c>
      <c r="G38" s="18" t="n">
        <v>0.6179701727314815</v>
      </c>
      <c r="H38" s="18" t="n">
        <v>0.6180048949537037</v>
      </c>
      <c r="I38" s="18" t="n">
        <v>0.6208289690277778</v>
      </c>
      <c r="J38" s="14" t="n">
        <v>4</v>
      </c>
      <c r="K38" s="19">
        <f>IF(AND(ISNUMBER(F38),ISNUMBER(G38)),(G38-F38)*1440,"")</f>
        <v/>
      </c>
      <c r="L38" s="19">
        <f>IF(AND(ISNUMBER(H38),ISNUMBER(I38)),(I38-H38)*1440,"")</f>
        <v/>
      </c>
      <c r="M38" s="15">
        <f>IF(ISNUMBER(F38),HOUR(F38),"")</f>
        <v/>
      </c>
    </row>
    <row r="39" ht="15.75" customHeight="1" s="36">
      <c r="A39" s="2" t="n">
        <v>36</v>
      </c>
      <c r="B39" s="12" t="n">
        <v>46083</v>
      </c>
      <c r="C39" s="14" t="inlineStr">
        <is>
          <t>D-249</t>
        </is>
      </c>
      <c r="D39" s="14" t="inlineStr">
        <is>
          <t>Dispensación</t>
        </is>
      </c>
      <c r="E39" s="14" t="inlineStr">
        <is>
          <t>N</t>
        </is>
      </c>
      <c r="F39" s="18" t="n">
        <v>0.6364292721875</v>
      </c>
      <c r="G39" s="18" t="n">
        <v>0.6364292721875</v>
      </c>
      <c r="H39" s="18" t="n">
        <v>0.6364639944097222</v>
      </c>
      <c r="I39" s="18" t="n">
        <v>0.6386399203356481</v>
      </c>
      <c r="J39" s="14" t="n">
        <v>4</v>
      </c>
      <c r="K39" s="19">
        <f>IF(AND(ISNUMBER(F39),ISNUMBER(G39)),(G39-F39)*1440,"")</f>
        <v/>
      </c>
      <c r="L39" s="19">
        <f>IF(AND(ISNUMBER(H39),ISNUMBER(I39)),(I39-H39)*1440,"")</f>
        <v/>
      </c>
      <c r="M39" s="15">
        <f>IF(ISNUMBER(F39),HOUR(F39),"")</f>
        <v/>
      </c>
    </row>
    <row r="40" ht="15.75" customHeight="1" s="36">
      <c r="A40" s="2" t="n">
        <v>37</v>
      </c>
      <c r="B40" s="12" t="n">
        <v>46083</v>
      </c>
      <c r="C40" s="14" t="inlineStr">
        <is>
          <t>V-175</t>
        </is>
      </c>
      <c r="D40" s="14" t="inlineStr">
        <is>
          <t>Turno virtual</t>
        </is>
      </c>
      <c r="E40" s="14" t="inlineStr">
        <is>
          <t>N</t>
        </is>
      </c>
      <c r="F40" s="18" t="n">
        <v>0.6421426538657408</v>
      </c>
      <c r="G40" s="18" t="n">
        <v>0.6421426538657408</v>
      </c>
      <c r="H40" s="18" t="n">
        <v>0.6421658020138888</v>
      </c>
      <c r="I40" s="18" t="n">
        <v>0.644538487199074</v>
      </c>
      <c r="J40" s="14" t="n">
        <v>3</v>
      </c>
      <c r="K40" s="19">
        <f>IF(AND(ISNUMBER(F40),ISNUMBER(G40)),(G40-F40)*1440,"")</f>
        <v/>
      </c>
      <c r="L40" s="19">
        <f>IF(AND(ISNUMBER(H40),ISNUMBER(I40)),(I40-H40)*1440,"")</f>
        <v/>
      </c>
      <c r="M40" s="15">
        <f>IF(ISNUMBER(F40),HOUR(F40),"")</f>
        <v/>
      </c>
    </row>
    <row r="41" ht="15.75" customHeight="1" s="36">
      <c r="A41" s="2" t="n">
        <v>38</v>
      </c>
      <c r="B41" s="12" t="n">
        <v>46083</v>
      </c>
      <c r="C41" s="14" t="inlineStr">
        <is>
          <t>V-182</t>
        </is>
      </c>
      <c r="D41" s="14" t="inlineStr">
        <is>
          <t>Turno virtual</t>
        </is>
      </c>
      <c r="E41" s="14" t="inlineStr">
        <is>
          <t>N</t>
        </is>
      </c>
      <c r="F41" s="18" t="n">
        <v>0.6580721305208334</v>
      </c>
      <c r="G41" s="18" t="n">
        <v>0.6580721305208334</v>
      </c>
      <c r="H41" s="18" t="n">
        <v>0.6581068527430556</v>
      </c>
      <c r="I41" s="18" t="n">
        <v>0.6589170379282407</v>
      </c>
      <c r="J41" s="14" t="n">
        <v>2</v>
      </c>
      <c r="K41" s="19">
        <f>IF(AND(ISNUMBER(F41),ISNUMBER(G41)),(G41-F41)*1440,"")</f>
        <v/>
      </c>
      <c r="L41" s="19">
        <f>IF(AND(ISNUMBER(H41),ISNUMBER(I41)),(I41-H41)*1440,"")</f>
        <v/>
      </c>
      <c r="M41" s="15">
        <f>IF(ISNUMBER(F41),HOUR(F41),"")</f>
        <v/>
      </c>
    </row>
    <row r="42" ht="15.75" customHeight="1" s="36">
      <c r="A42" s="2" t="n">
        <v>39</v>
      </c>
      <c r="B42" s="12" t="n">
        <v>46083</v>
      </c>
      <c r="C42" s="14" t="inlineStr">
        <is>
          <t>P-159</t>
        </is>
      </c>
      <c r="D42" s="14" t="inlineStr">
        <is>
          <t>Pendientes</t>
        </is>
      </c>
      <c r="E42" s="14" t="inlineStr">
        <is>
          <t>N</t>
        </is>
      </c>
      <c r="F42" s="18" t="n">
        <v>0.6611763003009259</v>
      </c>
      <c r="G42" s="18" t="n">
        <v>0.6611763003009259</v>
      </c>
      <c r="H42" s="18" t="n">
        <v>0.6612225965972222</v>
      </c>
      <c r="I42" s="18" t="n">
        <v>0.662437874375</v>
      </c>
      <c r="J42" s="14" t="n">
        <v>1</v>
      </c>
      <c r="K42" s="19">
        <f>IF(AND(ISNUMBER(F42),ISNUMBER(G42)),(G42-F42)*1440,"")</f>
        <v/>
      </c>
      <c r="L42" s="19">
        <f>IF(AND(ISNUMBER(H42),ISNUMBER(I42)),(I42-H42)*1440,"")</f>
        <v/>
      </c>
      <c r="M42" s="15">
        <f>IF(ISNUMBER(F42),HOUR(F42),"")</f>
        <v/>
      </c>
    </row>
    <row r="43" ht="15.75" customHeight="1" s="36">
      <c r="A43" s="2" t="n">
        <v>40</v>
      </c>
      <c r="B43" s="12" t="n">
        <v>46083</v>
      </c>
      <c r="C43" s="14" t="inlineStr">
        <is>
          <t>P-162</t>
        </is>
      </c>
      <c r="D43" s="14" t="inlineStr">
        <is>
          <t>Pendientes</t>
        </is>
      </c>
      <c r="E43" s="14" t="inlineStr">
        <is>
          <t>S</t>
        </is>
      </c>
      <c r="F43" s="18" t="n">
        <v>0.673408282025463</v>
      </c>
      <c r="G43" s="18" t="n">
        <v>0.673408282025463</v>
      </c>
      <c r="H43" s="18" t="n">
        <v>0.6734430042476852</v>
      </c>
      <c r="I43" s="18" t="n">
        <v>0.6742647635069444</v>
      </c>
      <c r="J43" s="14" t="n">
        <v>3</v>
      </c>
      <c r="K43" s="19">
        <f>IF(AND(ISNUMBER(F43),ISNUMBER(G43)),(G43-F43)*1440,"")</f>
        <v/>
      </c>
      <c r="L43" s="19">
        <f>IF(AND(ISNUMBER(H43),ISNUMBER(I43)),(I43-H43)*1440,"")</f>
        <v/>
      </c>
      <c r="M43" s="15">
        <f>IF(ISNUMBER(F43),HOUR(F43),"")</f>
        <v/>
      </c>
    </row>
    <row r="44" ht="15.75" customHeight="1" s="36">
      <c r="A44" s="2" t="n">
        <v>41</v>
      </c>
      <c r="B44" s="12" t="n">
        <v>46083</v>
      </c>
      <c r="C44" s="14" t="inlineStr">
        <is>
          <t>D-278</t>
        </is>
      </c>
      <c r="D44" s="14" t="inlineStr">
        <is>
          <t>Dispensación</t>
        </is>
      </c>
      <c r="E44" s="14" t="inlineStr">
        <is>
          <t>N</t>
        </is>
      </c>
      <c r="F44" s="18" t="n">
        <v>0.6966375062962963</v>
      </c>
      <c r="G44" s="18" t="n">
        <v>0.6971493810532408</v>
      </c>
      <c r="H44" s="18" t="n">
        <v>0.6971609551273148</v>
      </c>
      <c r="I44" s="18" t="n">
        <v>0.6982141958680556</v>
      </c>
      <c r="J44" s="14" t="n">
        <v>2</v>
      </c>
      <c r="K44" s="19">
        <f>IF(AND(ISNUMBER(F44),ISNUMBER(G44)),(G44-F44)*1440,"")</f>
        <v/>
      </c>
      <c r="L44" s="19">
        <f>IF(AND(ISNUMBER(H44),ISNUMBER(I44)),(I44-H44)*1440,"")</f>
        <v/>
      </c>
      <c r="M44" s="15">
        <f>IF(ISNUMBER(F44),HOUR(F44),"")</f>
        <v/>
      </c>
    </row>
    <row r="45" ht="15.75" customHeight="1" s="36">
      <c r="A45" s="2" t="n">
        <v>42</v>
      </c>
      <c r="B45" s="12" t="n">
        <v>46083</v>
      </c>
      <c r="C45" s="14" t="inlineStr">
        <is>
          <t>D-281</t>
        </is>
      </c>
      <c r="D45" s="14" t="inlineStr">
        <is>
          <t>Dispensación</t>
        </is>
      </c>
      <c r="E45" s="14" t="inlineStr">
        <is>
          <t>N</t>
        </is>
      </c>
      <c r="F45" s="18" t="n">
        <v>0.7058423171643519</v>
      </c>
      <c r="G45" s="18" t="n">
        <v>0.7058423171643519</v>
      </c>
      <c r="H45" s="18" t="n">
        <v>0.7058886134606481</v>
      </c>
      <c r="I45" s="18" t="n">
        <v>0.7062705579050926</v>
      </c>
      <c r="J45" s="14" t="n">
        <v>3</v>
      </c>
      <c r="K45" s="19">
        <f>IF(AND(ISNUMBER(F45),ISNUMBER(G45)),(G45-F45)*1440,"")</f>
        <v/>
      </c>
      <c r="L45" s="19">
        <f>IF(AND(ISNUMBER(H45),ISNUMBER(I45)),(I45-H45)*1440,"")</f>
        <v/>
      </c>
      <c r="M45" s="15">
        <f>IF(ISNUMBER(F45),HOUR(F45),"")</f>
        <v/>
      </c>
    </row>
    <row r="46" ht="15.75" customHeight="1" s="36">
      <c r="A46" s="2" t="n">
        <v>43</v>
      </c>
      <c r="B46" s="12" t="n">
        <v>46084</v>
      </c>
      <c r="C46" s="14" t="inlineStr">
        <is>
          <t>P-004</t>
        </is>
      </c>
      <c r="D46" s="14" t="inlineStr">
        <is>
          <t>Pendientes</t>
        </is>
      </c>
      <c r="E46" s="14" t="inlineStr">
        <is>
          <t>N</t>
        </is>
      </c>
      <c r="F46" s="18" t="n">
        <v>0.2969880947453704</v>
      </c>
      <c r="G46" s="18" t="n">
        <v>0.2982773917013889</v>
      </c>
      <c r="H46" s="18" t="n">
        <v>0.298288965775463</v>
      </c>
      <c r="I46" s="18" t="n">
        <v>0.3000482250347222</v>
      </c>
      <c r="J46" s="14" t="n">
        <v>2</v>
      </c>
      <c r="K46" s="19">
        <f>IF(AND(ISNUMBER(F46),ISNUMBER(G46)),(G46-F46)*1440,"")</f>
        <v/>
      </c>
      <c r="L46" s="19">
        <f>IF(AND(ISNUMBER(H46),ISNUMBER(I46)),(I46-H46)*1440,"")</f>
        <v/>
      </c>
      <c r="M46" s="15">
        <f>IF(ISNUMBER(F46),HOUR(F46),"")</f>
        <v/>
      </c>
    </row>
    <row r="47" ht="15.75" customHeight="1" s="36">
      <c r="A47" s="2" t="n">
        <v>44</v>
      </c>
      <c r="B47" s="12" t="n">
        <v>46084</v>
      </c>
      <c r="C47" s="14" t="inlineStr">
        <is>
          <t>D-017</t>
        </is>
      </c>
      <c r="D47" s="14" t="inlineStr">
        <is>
          <t>Dispensación</t>
        </is>
      </c>
      <c r="E47" s="14" t="inlineStr">
        <is>
          <t>N</t>
        </is>
      </c>
      <c r="F47" s="18" t="n">
        <v>0.3087651544444445</v>
      </c>
      <c r="G47" s="18" t="n">
        <v>0.3122465837731481</v>
      </c>
      <c r="H47" s="18" t="n">
        <v>0.3122813059953704</v>
      </c>
      <c r="I47" s="18" t="n">
        <v>0.3143993615509259</v>
      </c>
      <c r="J47" s="14" t="n">
        <v>3</v>
      </c>
      <c r="K47" s="19">
        <f>IF(AND(ISNUMBER(F47),ISNUMBER(G47)),(G47-F47)*1440,"")</f>
        <v/>
      </c>
      <c r="L47" s="19">
        <f>IF(AND(ISNUMBER(H47),ISNUMBER(I47)),(I47-H47)*1440,"")</f>
        <v/>
      </c>
      <c r="M47" s="15">
        <f>IF(ISNUMBER(F47),HOUR(F47),"")</f>
        <v/>
      </c>
    </row>
    <row r="48" ht="15.75" customHeight="1" s="36">
      <c r="A48" s="2" t="n">
        <v>45</v>
      </c>
      <c r="B48" s="12" t="n">
        <v>46084</v>
      </c>
      <c r="C48" s="14" t="inlineStr">
        <is>
          <t>P-017</t>
        </is>
      </c>
      <c r="D48" s="14" t="inlineStr">
        <is>
          <t>Pendientes</t>
        </is>
      </c>
      <c r="E48" s="14" t="inlineStr">
        <is>
          <t>N</t>
        </is>
      </c>
      <c r="F48" s="18" t="n">
        <v>0.3125036377777778</v>
      </c>
      <c r="G48" s="18" t="n">
        <v>0.3193246021180556</v>
      </c>
      <c r="H48" s="18" t="n">
        <v>0.3193593243402778</v>
      </c>
      <c r="I48" s="18" t="n">
        <v>0.3203546947106481</v>
      </c>
      <c r="J48" s="14" t="n">
        <v>4</v>
      </c>
      <c r="K48" s="19">
        <f>IF(AND(ISNUMBER(F48),ISNUMBER(G48)),(G48-F48)*1440,"")</f>
        <v/>
      </c>
      <c r="L48" s="19">
        <f>IF(AND(ISNUMBER(H48),ISNUMBER(I48)),(I48-H48)*1440,"")</f>
        <v/>
      </c>
      <c r="M48" s="15">
        <f>IF(ISNUMBER(F48),HOUR(F48),"")</f>
        <v/>
      </c>
    </row>
    <row r="49" ht="15.75" customHeight="1" s="36">
      <c r="A49" s="2" t="n">
        <v>46</v>
      </c>
      <c r="B49" s="12" t="n">
        <v>46084</v>
      </c>
      <c r="C49" s="14" t="inlineStr">
        <is>
          <t>P-018</t>
        </is>
      </c>
      <c r="D49" s="14" t="inlineStr">
        <is>
          <t>Pendientes</t>
        </is>
      </c>
      <c r="E49" s="14" t="inlineStr">
        <is>
          <t>N</t>
        </is>
      </c>
      <c r="F49" s="18" t="n">
        <v>0.3132753228819444</v>
      </c>
      <c r="G49" s="18" t="n">
        <v>0.3198391763657407</v>
      </c>
      <c r="H49" s="18" t="n">
        <v>0.3198623245138889</v>
      </c>
      <c r="I49" s="18" t="n">
        <v>0.3220151022916666</v>
      </c>
      <c r="J49" s="14" t="n">
        <v>3</v>
      </c>
      <c r="K49" s="19">
        <f>IF(AND(ISNUMBER(F49),ISNUMBER(G49)),(G49-F49)*1440,"")</f>
        <v/>
      </c>
      <c r="L49" s="19">
        <f>IF(AND(ISNUMBER(H49),ISNUMBER(I49)),(I49-H49)*1440,"")</f>
        <v/>
      </c>
      <c r="M49" s="15">
        <f>IF(ISNUMBER(F49),HOUR(F49),"")</f>
        <v/>
      </c>
    </row>
    <row r="50" ht="15.75" customHeight="1" s="36">
      <c r="A50" s="2" t="n">
        <v>47</v>
      </c>
      <c r="B50" s="12" t="n">
        <v>46084</v>
      </c>
      <c r="C50" s="14" t="inlineStr">
        <is>
          <t>V-019</t>
        </is>
      </c>
      <c r="D50" s="14" t="inlineStr">
        <is>
          <t>Turno virtual</t>
        </is>
      </c>
      <c r="E50" s="14" t="inlineStr">
        <is>
          <t>N</t>
        </is>
      </c>
      <c r="F50" s="18" t="n">
        <v>0.3195997225810185</v>
      </c>
      <c r="G50" s="18" t="n">
        <v>0.3244171947106482</v>
      </c>
      <c r="H50" s="18" t="n">
        <v>0.3244634910069444</v>
      </c>
      <c r="I50" s="18" t="n">
        <v>0.3263847873032407</v>
      </c>
      <c r="J50" s="14" t="n">
        <v>4</v>
      </c>
      <c r="K50" s="19">
        <f>IF(AND(ISNUMBER(F50),ISNUMBER(G50)),(G50-F50)*1440,"")</f>
        <v/>
      </c>
      <c r="L50" s="19">
        <f>IF(AND(ISNUMBER(H50),ISNUMBER(I50)),(I50-H50)*1440,"")</f>
        <v/>
      </c>
      <c r="M50" s="15">
        <f>IF(ISNUMBER(F50),HOUR(F50),"")</f>
        <v/>
      </c>
    </row>
    <row r="51" ht="15.75" customHeight="1" s="36">
      <c r="A51" s="2" t="n">
        <v>48</v>
      </c>
      <c r="B51" s="12" t="n">
        <v>46084</v>
      </c>
      <c r="C51" s="14" t="inlineStr">
        <is>
          <t>V-030</t>
        </is>
      </c>
      <c r="D51" s="14" t="inlineStr">
        <is>
          <t>Turno virtual</t>
        </is>
      </c>
      <c r="E51" s="14" t="inlineStr">
        <is>
          <t>N</t>
        </is>
      </c>
      <c r="F51" s="18" t="n">
        <v>0.3281983716666667</v>
      </c>
      <c r="G51" s="18" t="n">
        <v>0.3354988985879629</v>
      </c>
      <c r="H51" s="18" t="n">
        <v>0.3355451948842593</v>
      </c>
      <c r="I51" s="18" t="n">
        <v>0.3364132504398148</v>
      </c>
      <c r="J51" s="14" t="n">
        <v>3</v>
      </c>
      <c r="K51" s="19">
        <f>IF(AND(ISNUMBER(F51),ISNUMBER(G51)),(G51-F51)*1440,"")</f>
        <v/>
      </c>
      <c r="L51" s="19">
        <f>IF(AND(ISNUMBER(H51),ISNUMBER(I51)),(I51-H51)*1440,"")</f>
        <v/>
      </c>
      <c r="M51" s="15">
        <f>IF(ISNUMBER(F51),HOUR(F51),"")</f>
        <v/>
      </c>
    </row>
    <row r="52" ht="15.75" customHeight="1" s="36">
      <c r="A52" s="2" t="n">
        <v>49</v>
      </c>
      <c r="B52" s="12" t="n">
        <v>46084</v>
      </c>
      <c r="C52" s="14" t="inlineStr">
        <is>
          <t>D-036</t>
        </is>
      </c>
      <c r="D52" s="14" t="inlineStr">
        <is>
          <t>Dispensación</t>
        </is>
      </c>
      <c r="E52" s="14" t="inlineStr">
        <is>
          <t>N</t>
        </is>
      </c>
      <c r="F52" s="18" t="n">
        <v>0.3369073081712963</v>
      </c>
      <c r="G52" s="18" t="n">
        <v>0.3470498245138889</v>
      </c>
      <c r="H52" s="18" t="n">
        <v>0.347072972662037</v>
      </c>
      <c r="I52" s="18" t="n">
        <v>0.3491678800694444</v>
      </c>
      <c r="J52" s="14" t="n">
        <v>3</v>
      </c>
      <c r="K52" s="19">
        <f>IF(AND(ISNUMBER(F52),ISNUMBER(G52)),(G52-F52)*1440,"")</f>
        <v/>
      </c>
      <c r="L52" s="19">
        <f>IF(AND(ISNUMBER(H52),ISNUMBER(I52)),(I52-H52)*1440,"")</f>
        <v/>
      </c>
      <c r="M52" s="15">
        <f>IF(ISNUMBER(F52),HOUR(F52),"")</f>
        <v/>
      </c>
    </row>
    <row r="53" ht="15.75" customHeight="1" s="36">
      <c r="A53" s="2" t="n">
        <v>50</v>
      </c>
      <c r="B53" s="12" t="n">
        <v>46084</v>
      </c>
      <c r="C53" s="14" t="inlineStr">
        <is>
          <t>V-039</t>
        </is>
      </c>
      <c r="D53" s="14" t="inlineStr">
        <is>
          <t>Turno virtual</t>
        </is>
      </c>
      <c r="E53" s="14" t="inlineStr">
        <is>
          <t>N</t>
        </is>
      </c>
      <c r="F53" s="18" t="n">
        <v>0.3444365193518519</v>
      </c>
      <c r="G53" s="18" t="n">
        <v>0.3557773917013889</v>
      </c>
      <c r="H53" s="18" t="n">
        <v>0.355788965775463</v>
      </c>
      <c r="I53" s="18" t="n">
        <v>0.3586361879976852</v>
      </c>
      <c r="J53" s="14" t="n">
        <v>2</v>
      </c>
      <c r="K53" s="19">
        <f>IF(AND(ISNUMBER(F53),ISNUMBER(G53)),(G53-F53)*1440,"")</f>
        <v/>
      </c>
      <c r="L53" s="19">
        <f>IF(AND(ISNUMBER(H53),ISNUMBER(I53)),(I53-H53)*1440,"")</f>
        <v/>
      </c>
      <c r="M53" s="15">
        <f>IF(ISNUMBER(F53),HOUR(F53),"")</f>
        <v/>
      </c>
    </row>
    <row r="54" ht="15.75" customHeight="1" s="36">
      <c r="A54" s="2" t="n">
        <v>51</v>
      </c>
      <c r="B54" s="12" t="n">
        <v>46084</v>
      </c>
      <c r="C54" s="14" t="inlineStr">
        <is>
          <t>D-042</t>
        </is>
      </c>
      <c r="D54" s="14" t="inlineStr">
        <is>
          <t>Dispensación</t>
        </is>
      </c>
      <c r="E54" s="14" t="inlineStr">
        <is>
          <t>N</t>
        </is>
      </c>
      <c r="F54" s="18" t="n">
        <v>0.3445987669328703</v>
      </c>
      <c r="G54" s="18" t="n">
        <v>0.3582708386921296</v>
      </c>
      <c r="H54" s="18" t="n">
        <v>0.3583171349884259</v>
      </c>
      <c r="I54" s="18" t="n">
        <v>0.3628541720254629</v>
      </c>
      <c r="J54" s="14" t="n">
        <v>1</v>
      </c>
      <c r="K54" s="19">
        <f>IF(AND(ISNUMBER(F54),ISNUMBER(G54)),(G54-F54)*1440,"")</f>
        <v/>
      </c>
      <c r="L54" s="19">
        <f>IF(AND(ISNUMBER(H54),ISNUMBER(I54)),(I54-H54)*1440,"")</f>
        <v/>
      </c>
      <c r="M54" s="15">
        <f>IF(ISNUMBER(F54),HOUR(F54),"")</f>
        <v/>
      </c>
    </row>
    <row r="55" ht="15.75" customHeight="1" s="36">
      <c r="A55" s="2" t="n">
        <v>52</v>
      </c>
      <c r="B55" s="12" t="n">
        <v>46084</v>
      </c>
      <c r="C55" s="14" t="inlineStr">
        <is>
          <t>D-048</t>
        </is>
      </c>
      <c r="D55" s="14" t="inlineStr">
        <is>
          <t>Dispensación</t>
        </is>
      </c>
      <c r="E55" s="14" t="inlineStr">
        <is>
          <t>N</t>
        </is>
      </c>
      <c r="F55" s="18" t="n">
        <v>0.3471418182986111</v>
      </c>
      <c r="G55" s="18" t="n">
        <v>0.362686398587963</v>
      </c>
      <c r="H55" s="18" t="n">
        <v>0.3627211208101852</v>
      </c>
      <c r="I55" s="18" t="n">
        <v>0.3645266763657407</v>
      </c>
      <c r="J55" s="14" t="n">
        <v>3</v>
      </c>
      <c r="K55" s="19">
        <f>IF(AND(ISNUMBER(F55),ISNUMBER(G55)),(G55-F55)*1440,"")</f>
        <v/>
      </c>
      <c r="L55" s="19">
        <f>IF(AND(ISNUMBER(H55),ISNUMBER(I55)),(I55-H55)*1440,"")</f>
        <v/>
      </c>
      <c r="M55" s="15">
        <f>IF(ISNUMBER(F55),HOUR(F55),"")</f>
        <v/>
      </c>
    </row>
    <row r="56" ht="15.75" customHeight="1" s="36">
      <c r="A56" s="2" t="n">
        <v>53</v>
      </c>
      <c r="B56" s="12" t="n">
        <v>46084</v>
      </c>
      <c r="C56" s="14" t="inlineStr">
        <is>
          <t>D-054</t>
        </is>
      </c>
      <c r="D56" s="14" t="inlineStr">
        <is>
          <t>Dispensación</t>
        </is>
      </c>
      <c r="E56" s="14" t="inlineStr">
        <is>
          <t>N</t>
        </is>
      </c>
      <c r="F56" s="18" t="n">
        <v>0.3534999944444444</v>
      </c>
      <c r="G56" s="18" t="n">
        <v>0.3728491509606481</v>
      </c>
      <c r="H56" s="18" t="n">
        <v>0.3728607250347222</v>
      </c>
      <c r="I56" s="18" t="n">
        <v>0.3734625768865741</v>
      </c>
      <c r="J56" s="14" t="n">
        <v>2</v>
      </c>
      <c r="K56" s="19">
        <f>IF(AND(ISNUMBER(F56),ISNUMBER(G56)),(G56-F56)*1440,"")</f>
        <v/>
      </c>
      <c r="L56" s="19">
        <f>IF(AND(ISNUMBER(H56),ISNUMBER(I56)),(I56-H56)*1440,"")</f>
        <v/>
      </c>
      <c r="M56" s="15">
        <f>IF(ISNUMBER(F56),HOUR(F56),"")</f>
        <v/>
      </c>
    </row>
    <row r="57" ht="15.75" customHeight="1" s="36">
      <c r="A57" s="2" t="n">
        <v>54</v>
      </c>
      <c r="B57" s="12" t="n">
        <v>46084</v>
      </c>
      <c r="C57" s="14" t="inlineStr">
        <is>
          <t>D-060</t>
        </is>
      </c>
      <c r="D57" s="14" t="inlineStr">
        <is>
          <t>Dispensación</t>
        </is>
      </c>
      <c r="E57" s="14" t="inlineStr">
        <is>
          <t>N</t>
        </is>
      </c>
      <c r="F57" s="18" t="n">
        <v>0.3616067216898148</v>
      </c>
      <c r="G57" s="18" t="n">
        <v>0.3832824127662037</v>
      </c>
      <c r="H57" s="18" t="n">
        <v>0.3833287090625001</v>
      </c>
      <c r="I57" s="18" t="n">
        <v>0.3865578757291667</v>
      </c>
      <c r="J57" s="14" t="n">
        <v>1</v>
      </c>
      <c r="K57" s="19">
        <f>IF(AND(ISNUMBER(F57),ISNUMBER(G57)),(G57-F57)*1440,"")</f>
        <v/>
      </c>
      <c r="L57" s="19">
        <f>IF(AND(ISNUMBER(H57),ISNUMBER(I57)),(I57-H57)*1440,"")</f>
        <v/>
      </c>
      <c r="M57" s="15">
        <f>IF(ISNUMBER(F57),HOUR(F57),"")</f>
        <v/>
      </c>
    </row>
    <row r="58" ht="15.75" customHeight="1" s="36">
      <c r="A58" s="2" t="n">
        <v>55</v>
      </c>
      <c r="B58" s="12" t="n">
        <v>46084</v>
      </c>
      <c r="C58" s="14" t="inlineStr">
        <is>
          <t>D-076</t>
        </is>
      </c>
      <c r="D58" t="inlineStr">
        <is>
          <t>Dispensación</t>
        </is>
      </c>
      <c r="E58" s="14" t="inlineStr">
        <is>
          <t>N</t>
        </is>
      </c>
      <c r="F58" s="18" t="n">
        <v>0.3805078146180555</v>
      </c>
      <c r="G58" s="18" t="n">
        <v>0.4058287090625</v>
      </c>
      <c r="H58" s="18" t="n">
        <v>0.4058634312847222</v>
      </c>
      <c r="I58" s="18" t="n">
        <v>0.4087222275810186</v>
      </c>
      <c r="J58" s="14" t="n">
        <v>1</v>
      </c>
      <c r="K58" s="19">
        <f>IF(AND(ISNUMBER(F58),ISNUMBER(G58)),(G58-F58)*1440,"")</f>
        <v/>
      </c>
      <c r="L58" s="19">
        <f>IF(AND(ISNUMBER(H58),ISNUMBER(I58)),(I58-H58)*1440,"")</f>
        <v/>
      </c>
      <c r="M58" s="15">
        <f>IF(ISNUMBER(F58),HOUR(F58),"")</f>
        <v/>
      </c>
    </row>
    <row r="59" ht="15.75" customHeight="1" s="36">
      <c r="A59" s="2" t="n">
        <v>56</v>
      </c>
      <c r="B59" s="12" t="n">
        <v>46084</v>
      </c>
      <c r="C59" s="14" t="inlineStr">
        <is>
          <t>V-085</t>
        </is>
      </c>
      <c r="D59" s="14" t="inlineStr">
        <is>
          <t>Turno virtual</t>
        </is>
      </c>
      <c r="E59" s="14" t="inlineStr">
        <is>
          <t>N</t>
        </is>
      </c>
      <c r="F59" s="18" t="n">
        <v>0.3989160512847222</v>
      </c>
      <c r="G59" s="18" t="n">
        <v>0.4261412090625</v>
      </c>
      <c r="H59" s="18" t="n">
        <v>0.4261527831365741</v>
      </c>
      <c r="I59" s="18" t="n">
        <v>0.4271944498032408</v>
      </c>
      <c r="J59" s="14" t="n">
        <v>1</v>
      </c>
      <c r="K59" s="19">
        <f>IF(AND(ISNUMBER(F59),ISNUMBER(G59)),(G59-F59)*1440,"")</f>
        <v/>
      </c>
      <c r="L59" s="19">
        <f>IF(AND(ISNUMBER(H59),ISNUMBER(I59)),(I59-H59)*1440,"")</f>
        <v/>
      </c>
      <c r="M59" s="15">
        <f>IF(ISNUMBER(F59),HOUR(F59),"")</f>
        <v/>
      </c>
    </row>
    <row r="60" ht="15.75" customHeight="1" s="36">
      <c r="A60" s="2" t="n">
        <v>57</v>
      </c>
      <c r="B60" s="12" t="n">
        <v>46084</v>
      </c>
      <c r="C60" s="14" t="inlineStr">
        <is>
          <t>V-089</t>
        </is>
      </c>
      <c r="D60" s="14" t="inlineStr">
        <is>
          <t>Turno virtual</t>
        </is>
      </c>
      <c r="E60" s="14" t="inlineStr">
        <is>
          <t>S</t>
        </is>
      </c>
      <c r="F60" s="18" t="n">
        <v>0.4024813341435185</v>
      </c>
      <c r="G60" s="18" t="n">
        <v>0.4032713613773148</v>
      </c>
      <c r="H60" s="18" t="n">
        <v>0.4033176576736111</v>
      </c>
      <c r="I60" s="18" t="n">
        <v>0.4053662687847222</v>
      </c>
      <c r="J60" s="14" t="n">
        <v>4</v>
      </c>
      <c r="K60" s="19">
        <f>IF(AND(ISNUMBER(F60),ISNUMBER(G60)),(G60-F60)*1440,"")</f>
        <v/>
      </c>
      <c r="L60" s="19">
        <f>IF(AND(ISNUMBER(H60),ISNUMBER(I60)),(I60-H60)*1440,"")</f>
        <v/>
      </c>
      <c r="M60" s="15">
        <f>IF(ISNUMBER(F60),HOUR(F60),"")</f>
        <v/>
      </c>
    </row>
    <row r="61" ht="15.75" customHeight="1" s="36">
      <c r="A61" s="2" t="n">
        <v>58</v>
      </c>
      <c r="B61" s="12" t="n">
        <v>46084</v>
      </c>
      <c r="C61" s="14" t="inlineStr">
        <is>
          <t>V-091</t>
        </is>
      </c>
      <c r="D61" s="14" t="inlineStr">
        <is>
          <t>Turno virtual</t>
        </is>
      </c>
      <c r="E61" s="14" t="inlineStr">
        <is>
          <t>N</t>
        </is>
      </c>
      <c r="F61" s="18" t="n">
        <v>0.4069977528009259</v>
      </c>
      <c r="G61" s="18" t="n">
        <v>0.4325706578472222</v>
      </c>
      <c r="H61" s="18" t="n">
        <v>0.4325822319212963</v>
      </c>
      <c r="I61" s="18" t="n">
        <v>0.4347928800694444</v>
      </c>
      <c r="J61" s="14" t="n">
        <v>3</v>
      </c>
      <c r="K61" s="19">
        <f>IF(AND(ISNUMBER(F61),ISNUMBER(G61)),(G61-F61)*1440,"")</f>
        <v/>
      </c>
      <c r="L61" s="19">
        <f>IF(AND(ISNUMBER(H61),ISNUMBER(I61)),(I61-H61)*1440,"")</f>
        <v/>
      </c>
      <c r="M61" s="15">
        <f>IF(ISNUMBER(F61),HOUR(F61),"")</f>
        <v/>
      </c>
    </row>
    <row r="62" ht="15.75" customHeight="1" s="36">
      <c r="A62" s="2" t="n">
        <v>59</v>
      </c>
      <c r="B62" s="12" t="n">
        <v>46084</v>
      </c>
      <c r="C62" s="14" t="inlineStr">
        <is>
          <t>P-064</t>
        </is>
      </c>
      <c r="D62" s="14" t="inlineStr">
        <is>
          <t>Pendientes</t>
        </is>
      </c>
      <c r="E62" s="14" t="inlineStr">
        <is>
          <t>N</t>
        </is>
      </c>
      <c r="F62" s="18" t="n">
        <v>0.4100040687615741</v>
      </c>
      <c r="G62" s="18" t="n">
        <v>0.4358634312847223</v>
      </c>
      <c r="H62" s="18" t="n">
        <v>0.4358865794328704</v>
      </c>
      <c r="I62" s="18" t="n">
        <v>0.4388611164699074</v>
      </c>
      <c r="J62" s="14" t="n">
        <v>1</v>
      </c>
      <c r="K62" s="19">
        <f>IF(AND(ISNUMBER(F62),ISNUMBER(G62)),(G62-F62)*1440,"")</f>
        <v/>
      </c>
      <c r="L62" s="19">
        <f>IF(AND(ISNUMBER(H62),ISNUMBER(I62)),(I62-H62)*1440,"")</f>
        <v/>
      </c>
      <c r="M62" s="15">
        <f>IF(ISNUMBER(F62),HOUR(F62),"")</f>
        <v/>
      </c>
    </row>
    <row r="63" ht="15.75" customHeight="1" s="36">
      <c r="A63" s="2" t="n">
        <v>60</v>
      </c>
      <c r="B63" s="12" t="n">
        <v>46084</v>
      </c>
      <c r="C63" s="14" t="inlineStr">
        <is>
          <t>D-104</t>
        </is>
      </c>
      <c r="D63" s="14" t="inlineStr">
        <is>
          <t>Dispensación</t>
        </is>
      </c>
      <c r="E63" s="14" t="inlineStr">
        <is>
          <t>N</t>
        </is>
      </c>
      <c r="F63" s="18" t="n">
        <v>0.418905542974537</v>
      </c>
      <c r="G63" s="18" t="n">
        <v>0.4473861879976851</v>
      </c>
      <c r="H63" s="18" t="n">
        <v>0.4474209102199074</v>
      </c>
      <c r="I63" s="18" t="n">
        <v>0.4496894287384259</v>
      </c>
      <c r="J63" s="14" t="n">
        <v>2</v>
      </c>
      <c r="K63" s="19">
        <f>IF(AND(ISNUMBER(F63),ISNUMBER(G63)),(G63-F63)*1440,"")</f>
        <v/>
      </c>
      <c r="L63" s="19">
        <f>IF(AND(ISNUMBER(H63),ISNUMBER(I63)),(I63-H63)*1440,"")</f>
        <v/>
      </c>
      <c r="M63" s="15">
        <f>IF(ISNUMBER(F63),HOUR(F63),"")</f>
        <v/>
      </c>
    </row>
    <row r="64" ht="15.75" customHeight="1" s="36">
      <c r="A64" s="2" t="n">
        <v>61</v>
      </c>
      <c r="B64" s="12" t="n">
        <v>46084</v>
      </c>
      <c r="C64" s="14" t="inlineStr">
        <is>
          <t>V-107</t>
        </is>
      </c>
      <c r="D64" s="14" t="inlineStr">
        <is>
          <t>Turno virtual</t>
        </is>
      </c>
      <c r="E64" s="14" t="inlineStr">
        <is>
          <t>N</t>
        </is>
      </c>
      <c r="F64" s="18" t="n">
        <v>0.4370663726504629</v>
      </c>
      <c r="G64" s="18" t="n">
        <v>0.4594634910069444</v>
      </c>
      <c r="H64" s="18" t="n">
        <v>0.4594750650810185</v>
      </c>
      <c r="I64" s="18" t="n">
        <v>0.4622296947106481</v>
      </c>
      <c r="J64" s="14" t="n">
        <v>4</v>
      </c>
      <c r="K64" s="19">
        <f>IF(AND(ISNUMBER(F64),ISNUMBER(G64)),(G64-F64)*1440,"")</f>
        <v/>
      </c>
      <c r="L64" s="19">
        <f>IF(AND(ISNUMBER(H64),ISNUMBER(I64)),(I64-H64)*1440,"")</f>
        <v/>
      </c>
      <c r="M64" s="15">
        <f>IF(ISNUMBER(F64),HOUR(F64),"")</f>
        <v/>
      </c>
    </row>
    <row r="65" ht="15.75" customHeight="1" s="36">
      <c r="A65" s="2" t="n">
        <v>62</v>
      </c>
      <c r="B65" s="12" t="n">
        <v>46084</v>
      </c>
      <c r="C65" s="14" t="inlineStr">
        <is>
          <t>D-120</t>
        </is>
      </c>
      <c r="D65" s="14" t="inlineStr">
        <is>
          <t>Dispensación</t>
        </is>
      </c>
      <c r="E65" s="14" t="inlineStr">
        <is>
          <t>N</t>
        </is>
      </c>
      <c r="F65" s="18" t="n">
        <v>0.4412081165856481</v>
      </c>
      <c r="G65" s="18" t="n">
        <v>0.460800539849537</v>
      </c>
      <c r="H65" s="18" t="n">
        <v>0.4608352620717592</v>
      </c>
      <c r="I65" s="18" t="n">
        <v>0.4627102620717592</v>
      </c>
      <c r="J65" s="14" t="n">
        <v>2</v>
      </c>
      <c r="K65" s="19">
        <f>IF(AND(ISNUMBER(F65),ISNUMBER(G65)),(G65-F65)*1440,"")</f>
        <v/>
      </c>
      <c r="L65" s="19">
        <f>IF(AND(ISNUMBER(H65),ISNUMBER(I65)),(I65-H65)*1440,"")</f>
        <v/>
      </c>
      <c r="M65" s="15">
        <f>IF(ISNUMBER(F65),HOUR(F65),"")</f>
        <v/>
      </c>
    </row>
    <row r="66" ht="15.75" customHeight="1" s="36">
      <c r="A66" s="2" t="n">
        <v>63</v>
      </c>
      <c r="B66" s="12" t="n">
        <v>46084</v>
      </c>
      <c r="C66" s="14" t="inlineStr">
        <is>
          <t>D-124</t>
        </is>
      </c>
      <c r="D66" s="14" t="inlineStr">
        <is>
          <t>Dispensación</t>
        </is>
      </c>
      <c r="E66" s="14" t="inlineStr">
        <is>
          <t>N</t>
        </is>
      </c>
      <c r="F66" s="18" t="n">
        <v>0.4437462535995371</v>
      </c>
      <c r="G66" s="18" t="n">
        <v>0.4640810238773149</v>
      </c>
      <c r="H66" s="18" t="n">
        <v>0.464104172025463</v>
      </c>
      <c r="I66" s="18" t="n">
        <v>0.4659328757291667</v>
      </c>
      <c r="J66" s="14" t="n">
        <v>1</v>
      </c>
      <c r="K66" s="19">
        <f>IF(AND(ISNUMBER(F66),ISNUMBER(G66)),(G66-F66)*1440,"")</f>
        <v/>
      </c>
      <c r="L66" s="19">
        <f>IF(AND(ISNUMBER(H66),ISNUMBER(I66)),(I66-H66)*1440,"")</f>
        <v/>
      </c>
      <c r="M66" s="15">
        <f>IF(ISNUMBER(F66),HOUR(F66),"")</f>
        <v/>
      </c>
    </row>
    <row r="67" ht="15.75" customHeight="1" s="36">
      <c r="A67" s="2" t="n">
        <v>64</v>
      </c>
      <c r="B67" s="12" t="n">
        <v>46084</v>
      </c>
      <c r="C67" s="14" t="inlineStr">
        <is>
          <t>V-111</t>
        </is>
      </c>
      <c r="D67" s="14" t="inlineStr">
        <is>
          <t>Turno virtual</t>
        </is>
      </c>
      <c r="E67" s="14" t="inlineStr">
        <is>
          <t>N</t>
        </is>
      </c>
      <c r="F67" s="18" t="n">
        <v>0.4477506530671296</v>
      </c>
      <c r="G67" s="18" t="n">
        <v>0.4673970467361111</v>
      </c>
      <c r="H67" s="18" t="n">
        <v>0.4674433430324074</v>
      </c>
      <c r="I67" s="18" t="n">
        <v>0.4699086208101852</v>
      </c>
      <c r="J67" s="14" t="n">
        <v>3</v>
      </c>
      <c r="K67" s="19">
        <f>IF(AND(ISNUMBER(F67),ISNUMBER(G67)),(G67-F67)*1440,"")</f>
        <v/>
      </c>
      <c r="L67" s="19">
        <f>IF(AND(ISNUMBER(H67),ISNUMBER(I67)),(I67-H67)*1440,"")</f>
        <v/>
      </c>
      <c r="M67" s="15">
        <f>IF(ISNUMBER(F67),HOUR(F67),"")</f>
        <v/>
      </c>
    </row>
    <row r="68" ht="15.75" customHeight="1" s="36">
      <c r="A68" s="2" t="n">
        <v>65</v>
      </c>
      <c r="B68" s="12" t="n">
        <v>46084</v>
      </c>
      <c r="C68" s="14" t="inlineStr">
        <is>
          <t>D-138</t>
        </is>
      </c>
      <c r="D68" s="14" t="inlineStr">
        <is>
          <t>Dispensación</t>
        </is>
      </c>
      <c r="E68" s="14" t="inlineStr">
        <is>
          <t>N</t>
        </is>
      </c>
      <c r="F68" s="18" t="n">
        <v>0.4597917561226851</v>
      </c>
      <c r="G68" s="18" t="n">
        <v>0.4785138942476852</v>
      </c>
      <c r="H68" s="18" t="n">
        <v>0.4785254683217593</v>
      </c>
      <c r="I68" s="18" t="n">
        <v>0.4807592646180556</v>
      </c>
      <c r="J68" s="14" t="n">
        <v>1</v>
      </c>
      <c r="K68" s="19">
        <f>IF(AND(ISNUMBER(F68),ISNUMBER(G68)),(G68-F68)*1440,"")</f>
        <v/>
      </c>
      <c r="L68" s="19">
        <f>IF(AND(ISNUMBER(H68),ISNUMBER(I68)),(I68-H68)*1440,"")</f>
        <v/>
      </c>
      <c r="M68" s="15">
        <f>IF(ISNUMBER(F68),HOUR(F68),"")</f>
        <v/>
      </c>
    </row>
    <row r="69" ht="15.75" customHeight="1" s="36">
      <c r="A69" s="2" t="n">
        <v>66</v>
      </c>
      <c r="B69" s="12" t="n">
        <v>46084</v>
      </c>
      <c r="C69" s="14" t="inlineStr">
        <is>
          <t>V-121</t>
        </is>
      </c>
      <c r="D69" s="14" t="inlineStr">
        <is>
          <t>Turno virtual</t>
        </is>
      </c>
      <c r="E69" s="14" t="inlineStr">
        <is>
          <t>N</t>
        </is>
      </c>
      <c r="F69" s="18" t="n">
        <v>0.4638602612847222</v>
      </c>
      <c r="G69" s="18" t="n">
        <v>0.4823107132291666</v>
      </c>
      <c r="H69" s="18" t="n">
        <v>0.4823338613773148</v>
      </c>
      <c r="I69" s="18" t="n">
        <v>0.4841278428587962</v>
      </c>
      <c r="J69" s="14" t="n">
        <v>4</v>
      </c>
      <c r="K69" s="19">
        <f>IF(AND(ISNUMBER(F69),ISNUMBER(G69)),(G69-F69)*1440,"")</f>
        <v/>
      </c>
      <c r="L69" s="19">
        <f>IF(AND(ISNUMBER(H69),ISNUMBER(I69)),(I69-H69)*1440,"")</f>
        <v/>
      </c>
      <c r="M69" s="15">
        <f>IF(ISNUMBER(F69),HOUR(F69),"")</f>
        <v/>
      </c>
    </row>
    <row r="70" ht="15.75" customHeight="1" s="36">
      <c r="A70" s="2" t="n">
        <v>67</v>
      </c>
      <c r="B70" s="12" t="n">
        <v>46084</v>
      </c>
      <c r="C70" s="14" t="inlineStr">
        <is>
          <t>P-088</t>
        </is>
      </c>
      <c r="D70" s="14" t="inlineStr">
        <is>
          <t>Pendientes</t>
        </is>
      </c>
      <c r="E70" s="14" t="inlineStr">
        <is>
          <t>N</t>
        </is>
      </c>
      <c r="F70" s="18" t="n">
        <v>0.4763992643171296</v>
      </c>
      <c r="G70" s="18" t="n">
        <v>0.4907773917013888</v>
      </c>
      <c r="H70" s="18" t="n">
        <v>0.4907889657754629</v>
      </c>
      <c r="I70" s="18" t="n">
        <v>0.4929417435532407</v>
      </c>
      <c r="J70" s="14" t="n">
        <v>2</v>
      </c>
      <c r="K70" s="19">
        <f>IF(AND(ISNUMBER(F70),ISNUMBER(G70)),(G70-F70)*1440,"")</f>
        <v/>
      </c>
      <c r="L70" s="19">
        <f>IF(AND(ISNUMBER(H70),ISNUMBER(I70)),(I70-H70)*1440,"")</f>
        <v/>
      </c>
      <c r="M70" s="15">
        <f>IF(ISNUMBER(F70),HOUR(F70),"")</f>
        <v/>
      </c>
    </row>
    <row r="71" ht="15.75" customHeight="1" s="36">
      <c r="A71" s="2" t="n">
        <v>68</v>
      </c>
      <c r="B71" s="12" t="n">
        <v>46084</v>
      </c>
      <c r="C71" s="14" t="inlineStr">
        <is>
          <t>V-139</t>
        </is>
      </c>
      <c r="D71" s="14" t="inlineStr">
        <is>
          <t>Turno virtual</t>
        </is>
      </c>
      <c r="E71" s="14" t="inlineStr">
        <is>
          <t>N</t>
        </is>
      </c>
      <c r="F71" s="18" t="n">
        <v>0.4980976847337963</v>
      </c>
      <c r="G71" s="18" t="n">
        <v>0.5072234356249999</v>
      </c>
      <c r="H71" s="18" t="n">
        <v>0.5072697319212963</v>
      </c>
      <c r="I71" s="18" t="n">
        <v>0.509260472662037</v>
      </c>
      <c r="J71" s="14" t="n">
        <v>3</v>
      </c>
      <c r="K71" s="19">
        <f>IF(AND(ISNUMBER(F71),ISNUMBER(G71)),(G71-F71)*1440,"")</f>
        <v/>
      </c>
      <c r="L71" s="19">
        <f>IF(AND(ISNUMBER(H71),ISNUMBER(I71)),(I71-H71)*1440,"")</f>
        <v/>
      </c>
      <c r="M71" s="15">
        <f>IF(ISNUMBER(F71),HOUR(F71),"")</f>
        <v/>
      </c>
    </row>
    <row r="72" ht="15.75" customHeight="1" s="36">
      <c r="A72" s="2" t="n">
        <v>69</v>
      </c>
      <c r="B72" s="12" t="n">
        <v>46084</v>
      </c>
      <c r="C72" s="14" t="inlineStr">
        <is>
          <t>D-161</t>
        </is>
      </c>
      <c r="D72" s="14" t="inlineStr">
        <is>
          <t>Dispensación</t>
        </is>
      </c>
      <c r="E72" s="14" t="inlineStr">
        <is>
          <t>N</t>
        </is>
      </c>
      <c r="F72" s="18" t="n">
        <v>0.5044442674652777</v>
      </c>
      <c r="G72" s="18" t="n">
        <v>0.5141678800694445</v>
      </c>
      <c r="H72" s="18" t="n">
        <v>0.5141910282175925</v>
      </c>
      <c r="I72" s="18" t="n">
        <v>0.5169456578472222</v>
      </c>
      <c r="J72" s="14" t="n">
        <v>3</v>
      </c>
      <c r="K72" s="19">
        <f>IF(AND(ISNUMBER(F72),ISNUMBER(G72)),(G72-F72)*1440,"")</f>
        <v/>
      </c>
      <c r="L72" s="19">
        <f>IF(AND(ISNUMBER(H72),ISNUMBER(I72)),(I72-H72)*1440,"")</f>
        <v/>
      </c>
      <c r="M72" s="15">
        <f>IF(ISNUMBER(F72),HOUR(F72),"")</f>
        <v/>
      </c>
    </row>
    <row r="73" ht="15.75" customHeight="1" s="36">
      <c r="A73" s="2" t="n">
        <v>70</v>
      </c>
      <c r="B73" s="12" t="n">
        <v>46084</v>
      </c>
      <c r="C73" s="14" t="inlineStr">
        <is>
          <t>P-099</t>
        </is>
      </c>
      <c r="D73" s="14" t="inlineStr">
        <is>
          <t>Pendientes</t>
        </is>
      </c>
      <c r="E73" s="14" t="inlineStr">
        <is>
          <t>N</t>
        </is>
      </c>
      <c r="F73" s="18" t="n">
        <v>0.5257563427199075</v>
      </c>
      <c r="G73" s="18" t="n">
        <v>0.5285891763657408</v>
      </c>
      <c r="H73" s="18" t="n">
        <v>0.528635472662037</v>
      </c>
      <c r="I73" s="18" t="n">
        <v>0.5295266763657407</v>
      </c>
      <c r="J73" s="14" t="n">
        <v>3</v>
      </c>
      <c r="K73" s="19">
        <f>IF(AND(ISNUMBER(F73),ISNUMBER(G73)),(G73-F73)*1440,"")</f>
        <v/>
      </c>
      <c r="L73" s="19">
        <f>IF(AND(ISNUMBER(H73),ISNUMBER(I73)),(I73-H73)*1440,"")</f>
        <v/>
      </c>
      <c r="M73" s="15">
        <f>IF(ISNUMBER(F73),HOUR(F73),"")</f>
        <v/>
      </c>
    </row>
    <row r="74" ht="15.75" customHeight="1" s="36">
      <c r="A74" s="2" t="n">
        <v>71</v>
      </c>
      <c r="B74" s="12" t="n">
        <v>46084</v>
      </c>
      <c r="C74" s="14" t="inlineStr">
        <is>
          <t>V-149</t>
        </is>
      </c>
      <c r="D74" s="14" t="inlineStr">
        <is>
          <t>Turno virtual</t>
        </is>
      </c>
      <c r="E74" s="14" t="inlineStr">
        <is>
          <t>N</t>
        </is>
      </c>
      <c r="F74" s="18" t="n">
        <v>0.5445108104629629</v>
      </c>
      <c r="G74" s="18" t="n">
        <v>0.5445705656481481</v>
      </c>
      <c r="H74" s="18" t="n">
        <v>0.5445937137962963</v>
      </c>
      <c r="I74" s="18" t="n">
        <v>0.5455543619444444</v>
      </c>
      <c r="J74" s="14" t="n">
        <v>2</v>
      </c>
      <c r="K74" s="19">
        <f>IF(AND(ISNUMBER(F74),ISNUMBER(G74)),(G74-F74)*1440,"")</f>
        <v/>
      </c>
      <c r="L74" s="19">
        <f>IF(AND(ISNUMBER(H74),ISNUMBER(I74)),(I74-H74)*1440,"")</f>
        <v/>
      </c>
      <c r="M74" s="15">
        <f>IF(ISNUMBER(F74),HOUR(F74),"")</f>
        <v/>
      </c>
    </row>
    <row r="75" ht="15.75" customHeight="1" s="36">
      <c r="A75" s="2" t="n">
        <v>72</v>
      </c>
      <c r="B75" s="12" t="n">
        <v>46084</v>
      </c>
      <c r="C75" s="14" t="inlineStr">
        <is>
          <t>D-180</t>
        </is>
      </c>
      <c r="D75" s="14" t="inlineStr">
        <is>
          <t>Dispensación</t>
        </is>
      </c>
      <c r="E75" s="14" t="inlineStr">
        <is>
          <t>N</t>
        </is>
      </c>
      <c r="F75" s="18" t="n">
        <v>0.545294587025463</v>
      </c>
      <c r="G75" s="18" t="n">
        <v>0.5455543619444444</v>
      </c>
      <c r="H75" s="18" t="n">
        <v>0.5455775100925926</v>
      </c>
      <c r="I75" s="18" t="n">
        <v>0.5499293619444444</v>
      </c>
      <c r="J75" s="14" t="n">
        <v>2</v>
      </c>
      <c r="K75" s="19">
        <f>IF(AND(ISNUMBER(F75),ISNUMBER(G75)),(G75-F75)*1440,"")</f>
        <v/>
      </c>
      <c r="L75" s="19">
        <f>IF(AND(ISNUMBER(H75),ISNUMBER(I75)),(I75-H75)*1440,"")</f>
        <v/>
      </c>
      <c r="M75" s="15">
        <f>IF(ISNUMBER(F75),HOUR(F75),"")</f>
        <v/>
      </c>
    </row>
    <row r="76" ht="15.75" customHeight="1" s="36">
      <c r="A76" s="2" t="n">
        <v>73</v>
      </c>
      <c r="B76" s="12" t="n">
        <v>46084</v>
      </c>
      <c r="C76" s="14" t="inlineStr">
        <is>
          <t>P-106</t>
        </is>
      </c>
      <c r="D76" s="14" t="inlineStr">
        <is>
          <t>Pendientes</t>
        </is>
      </c>
      <c r="E76" s="14" t="inlineStr">
        <is>
          <t>N</t>
        </is>
      </c>
      <c r="F76" s="18" t="n">
        <v>0.5661699895833333</v>
      </c>
      <c r="G76" s="18" t="n">
        <v>0.5661699895833333</v>
      </c>
      <c r="H76" s="18" t="n">
        <v>0.5662047118055555</v>
      </c>
      <c r="I76" s="18" t="n">
        <v>0.5688088784722222</v>
      </c>
      <c r="J76" s="14" t="n">
        <v>2</v>
      </c>
      <c r="K76" s="19">
        <f>IF(AND(ISNUMBER(F76),ISNUMBER(G76)),(G76-F76)*1440,"")</f>
        <v/>
      </c>
      <c r="L76" s="19">
        <f>IF(AND(ISNUMBER(H76),ISNUMBER(I76)),(I76-H76)*1440,"")</f>
        <v/>
      </c>
      <c r="M76" s="15">
        <f>IF(ISNUMBER(F76),HOUR(F76),"")</f>
        <v/>
      </c>
    </row>
    <row r="77" ht="15.75" customHeight="1" s="36">
      <c r="A77" s="2" t="n">
        <v>74</v>
      </c>
      <c r="B77" s="12" t="n">
        <v>46084</v>
      </c>
      <c r="C77" s="14" t="inlineStr">
        <is>
          <t>P-131</t>
        </is>
      </c>
      <c r="D77" s="14" t="inlineStr">
        <is>
          <t>Pendientes</t>
        </is>
      </c>
      <c r="E77" s="14" t="inlineStr">
        <is>
          <t>N</t>
        </is>
      </c>
      <c r="F77" s="18" t="n">
        <v>0.6148472449652778</v>
      </c>
      <c r="G77" s="18" t="n">
        <v>0.6159916300115741</v>
      </c>
      <c r="H77" s="18" t="n">
        <v>0.6160263522337963</v>
      </c>
      <c r="I77" s="18" t="n">
        <v>0.6176814448263889</v>
      </c>
      <c r="J77" s="14" t="n">
        <v>2</v>
      </c>
      <c r="K77" s="19">
        <f>IF(AND(ISNUMBER(F77),ISNUMBER(G77)),(G77-F77)*1440,"")</f>
        <v/>
      </c>
      <c r="L77" s="19">
        <f>IF(AND(ISNUMBER(H77),ISNUMBER(I77)),(I77-H77)*1440,"")</f>
        <v/>
      </c>
      <c r="M77" s="15">
        <f>IF(ISNUMBER(F77),HOUR(F77),"")</f>
        <v/>
      </c>
    </row>
    <row r="78" ht="15.75" customHeight="1" s="36">
      <c r="A78" s="2" t="n">
        <v>75</v>
      </c>
      <c r="B78" s="12" t="n">
        <v>46084</v>
      </c>
      <c r="C78" s="14" t="inlineStr">
        <is>
          <t>V-176</t>
        </is>
      </c>
      <c r="D78" s="14" t="inlineStr">
        <is>
          <t>Turno virtual</t>
        </is>
      </c>
      <c r="E78" s="14" t="inlineStr">
        <is>
          <t>N</t>
        </is>
      </c>
      <c r="F78" s="18" t="n">
        <v>0.6171775220486111</v>
      </c>
      <c r="G78" s="18" t="n">
        <v>0.6176048711805555</v>
      </c>
      <c r="H78" s="18" t="n">
        <v>0.6176164452546297</v>
      </c>
      <c r="I78" s="18" t="n">
        <v>0.6200238526620371</v>
      </c>
      <c r="J78" s="14" t="n">
        <v>4</v>
      </c>
      <c r="K78" s="19">
        <f>IF(AND(ISNUMBER(F78),ISNUMBER(G78)),(G78-F78)*1440,"")</f>
        <v/>
      </c>
      <c r="L78" s="19">
        <f>IF(AND(ISNUMBER(H78),ISNUMBER(I78)),(I78-H78)*1440,"")</f>
        <v/>
      </c>
      <c r="M78" s="15">
        <f>IF(ISNUMBER(F78),HOUR(F78),"")</f>
        <v/>
      </c>
    </row>
    <row r="79" ht="15.75" customHeight="1" s="36">
      <c r="A79" s="2" t="n">
        <v>76</v>
      </c>
      <c r="B79" s="12" t="n">
        <v>46084</v>
      </c>
      <c r="C79" s="14" t="inlineStr">
        <is>
          <t>V-177</t>
        </is>
      </c>
      <c r="D79" s="14" t="inlineStr">
        <is>
          <t>Turno virtual</t>
        </is>
      </c>
      <c r="E79" s="14" t="inlineStr">
        <is>
          <t>N</t>
        </is>
      </c>
      <c r="F79" s="18" t="n">
        <v>0.6183765667708333</v>
      </c>
      <c r="G79" s="18" t="n">
        <v>0.6183765667708333</v>
      </c>
      <c r="H79" s="18" t="n">
        <v>0.6183997149189815</v>
      </c>
      <c r="I79" s="18" t="n">
        <v>0.620506196400463</v>
      </c>
      <c r="J79" s="14" t="n">
        <v>1</v>
      </c>
      <c r="K79" s="19">
        <f>IF(AND(ISNUMBER(F79),ISNUMBER(G79)),(G79-F79)*1440,"")</f>
        <v/>
      </c>
      <c r="L79" s="19">
        <f>IF(AND(ISNUMBER(H79),ISNUMBER(I79)),(I79-H79)*1440,"")</f>
        <v/>
      </c>
      <c r="M79" s="15">
        <f>IF(ISNUMBER(F79),HOUR(F79),"")</f>
        <v/>
      </c>
    </row>
    <row r="80" ht="15.75" customHeight="1" s="36">
      <c r="A80" s="2" t="n">
        <v>77</v>
      </c>
      <c r="B80" s="12" t="n">
        <v>46084</v>
      </c>
      <c r="C80" s="14" t="inlineStr">
        <is>
          <t>P-133</t>
        </is>
      </c>
      <c r="D80" s="14" t="inlineStr">
        <is>
          <t>Pendientes</t>
        </is>
      </c>
      <c r="E80" s="14" t="inlineStr">
        <is>
          <t>N</t>
        </is>
      </c>
      <c r="F80" s="18" t="n">
        <v>0.6213525411226852</v>
      </c>
      <c r="G80" s="18" t="n">
        <v>0.6213525411226852</v>
      </c>
      <c r="H80" s="18" t="n">
        <v>0.6213641151967593</v>
      </c>
      <c r="I80" s="18" t="n">
        <v>0.6217460596412038</v>
      </c>
      <c r="J80" s="14" t="n">
        <v>2</v>
      </c>
      <c r="K80" s="19">
        <f>IF(AND(ISNUMBER(F80),ISNUMBER(G80)),(G80-F80)*1440,"")</f>
        <v/>
      </c>
      <c r="L80" s="19">
        <f>IF(AND(ISNUMBER(H80),ISNUMBER(I80)),(I80-H80)*1440,"")</f>
        <v/>
      </c>
      <c r="M80" s="15">
        <f>IF(ISNUMBER(F80),HOUR(F80),"")</f>
        <v/>
      </c>
    </row>
    <row r="81" ht="15.75" customHeight="1" s="36">
      <c r="A81" s="2" t="n">
        <v>78</v>
      </c>
      <c r="B81" s="12" t="n">
        <v>46084</v>
      </c>
      <c r="C81" s="14" t="inlineStr">
        <is>
          <t>D-228</t>
        </is>
      </c>
      <c r="D81" s="14" t="inlineStr">
        <is>
          <t>Dispensación</t>
        </is>
      </c>
      <c r="E81" s="14" t="inlineStr">
        <is>
          <t>N</t>
        </is>
      </c>
      <c r="F81" s="18" t="n">
        <v>0.6247896763194444</v>
      </c>
      <c r="G81" s="18" t="n">
        <v>0.6276546540393518</v>
      </c>
      <c r="H81" s="18" t="n">
        <v>0.627666228113426</v>
      </c>
      <c r="I81" s="18" t="n">
        <v>0.6299000244097223</v>
      </c>
      <c r="J81" s="14" t="n">
        <v>1</v>
      </c>
      <c r="K81" s="19">
        <f>IF(AND(ISNUMBER(F81),ISNUMBER(G81)),(G81-F81)*1440,"")</f>
        <v/>
      </c>
      <c r="L81" s="19">
        <f>IF(AND(ISNUMBER(H81),ISNUMBER(I81)),(I81-H81)*1440,"")</f>
        <v/>
      </c>
      <c r="M81" s="15">
        <f>IF(ISNUMBER(F81),HOUR(F81),"")</f>
        <v/>
      </c>
    </row>
    <row r="82" ht="15.75" customHeight="1" s="36">
      <c r="A82" s="2" t="n">
        <v>79</v>
      </c>
      <c r="B82" s="12" t="n">
        <v>46084</v>
      </c>
      <c r="C82" s="14" t="inlineStr">
        <is>
          <t>D-243</t>
        </is>
      </c>
      <c r="D82" s="14" t="inlineStr">
        <is>
          <t>Dispensación</t>
        </is>
      </c>
      <c r="E82" s="14" t="inlineStr">
        <is>
          <t>N</t>
        </is>
      </c>
      <c r="F82" s="18" t="n">
        <v>0.6462936917939814</v>
      </c>
      <c r="G82" s="18" t="n">
        <v>0.6495774280787037</v>
      </c>
      <c r="H82" s="18" t="n">
        <v>0.6495890021527777</v>
      </c>
      <c r="I82" s="18" t="n">
        <v>0.6501908540046296</v>
      </c>
      <c r="J82" s="14" t="n">
        <v>2</v>
      </c>
      <c r="K82" s="19">
        <f>IF(AND(ISNUMBER(F82),ISNUMBER(G82)),(G82-F82)*1440,"")</f>
        <v/>
      </c>
      <c r="L82" s="19">
        <f>IF(AND(ISNUMBER(H82),ISNUMBER(I82)),(I82-H82)*1440,"")</f>
        <v/>
      </c>
      <c r="M82" s="15">
        <f>IF(ISNUMBER(F82),HOUR(F82),"")</f>
        <v/>
      </c>
    </row>
    <row r="83" ht="15.75" customHeight="1" s="36">
      <c r="A83" s="2" t="n">
        <v>80</v>
      </c>
      <c r="B83" s="12" t="n">
        <v>46084</v>
      </c>
      <c r="C83" s="14" t="inlineStr">
        <is>
          <t>D-248</t>
        </is>
      </c>
      <c r="D83" s="14" t="inlineStr">
        <is>
          <t>Dispensación</t>
        </is>
      </c>
      <c r="E83" s="14" t="inlineStr">
        <is>
          <t>N</t>
        </is>
      </c>
      <c r="F83" s="18" t="n">
        <v>0.6538889646527778</v>
      </c>
      <c r="G83" s="18" t="n">
        <v>0.6541548466898148</v>
      </c>
      <c r="H83" s="18" t="n">
        <v>0.6541895689120371</v>
      </c>
      <c r="I83" s="18" t="n">
        <v>0.6546641059490741</v>
      </c>
      <c r="J83" s="14" t="n">
        <v>4</v>
      </c>
      <c r="K83" s="19">
        <f>IF(AND(ISNUMBER(F83),ISNUMBER(G83)),(G83-F83)*1440,"")</f>
        <v/>
      </c>
      <c r="L83" s="19">
        <f>IF(AND(ISNUMBER(H83),ISNUMBER(I83)),(I83-H83)*1440,"")</f>
        <v/>
      </c>
      <c r="M83" s="15">
        <f>IF(ISNUMBER(F83),HOUR(F83),"")</f>
        <v/>
      </c>
    </row>
    <row r="84" ht="15.75" customHeight="1" s="36">
      <c r="A84" s="2" t="n">
        <v>81</v>
      </c>
      <c r="B84" s="12" t="n">
        <v>46084</v>
      </c>
      <c r="C84" s="14" t="inlineStr">
        <is>
          <t>V-188</t>
        </is>
      </c>
      <c r="D84" s="14" t="inlineStr">
        <is>
          <t>Turno virtual</t>
        </is>
      </c>
      <c r="E84" s="14" t="inlineStr">
        <is>
          <t>N</t>
        </is>
      </c>
      <c r="F84" s="18" t="n">
        <v>0.6547447251041667</v>
      </c>
      <c r="G84" s="18" t="n">
        <v>0.6547447251041667</v>
      </c>
      <c r="H84" s="18" t="n">
        <v>0.6547562991782407</v>
      </c>
      <c r="I84" s="18" t="n">
        <v>0.6560062991782407</v>
      </c>
      <c r="J84" s="14" t="n">
        <v>2</v>
      </c>
      <c r="K84" s="19">
        <f>IF(AND(ISNUMBER(F84),ISNUMBER(G84)),(G84-F84)*1440,"")</f>
        <v/>
      </c>
      <c r="L84" s="19">
        <f>IF(AND(ISNUMBER(H84),ISNUMBER(I84)),(I84-H84)*1440,"")</f>
        <v/>
      </c>
      <c r="M84" s="15">
        <f>IF(ISNUMBER(F84),HOUR(F84),"")</f>
        <v/>
      </c>
    </row>
    <row r="85" ht="15.75" customHeight="1" s="36">
      <c r="A85" s="2" t="n">
        <v>82</v>
      </c>
      <c r="B85" s="12" t="n">
        <v>46084</v>
      </c>
      <c r="C85" s="14" t="inlineStr">
        <is>
          <t>D-255</t>
        </is>
      </c>
      <c r="D85" s="14" t="inlineStr">
        <is>
          <t>Dispensación</t>
        </is>
      </c>
      <c r="E85" s="14" t="inlineStr">
        <is>
          <t>N</t>
        </is>
      </c>
      <c r="F85" s="18" t="n">
        <v>0.6592362029745371</v>
      </c>
      <c r="G85" s="18" t="n">
        <v>0.6592362029745371</v>
      </c>
      <c r="H85" s="18" t="n">
        <v>0.6592477770486111</v>
      </c>
      <c r="I85" s="18" t="n">
        <v>0.6643750918634259</v>
      </c>
      <c r="J85" s="14" t="n">
        <v>3</v>
      </c>
      <c r="K85" s="19">
        <f>IF(AND(ISNUMBER(F85),ISNUMBER(G85)),(G85-F85)*1440,"")</f>
        <v/>
      </c>
      <c r="L85" s="19">
        <f>IF(AND(ISNUMBER(H85),ISNUMBER(I85)),(I85-H85)*1440,"")</f>
        <v/>
      </c>
      <c r="M85" s="15">
        <f>IF(ISNUMBER(F85),HOUR(F85),"")</f>
        <v/>
      </c>
    </row>
    <row r="86" ht="15.75" customHeight="1" s="36">
      <c r="A86" s="2" t="n">
        <v>83</v>
      </c>
      <c r="B86" s="12" t="n">
        <v>46084</v>
      </c>
      <c r="C86" s="14" t="inlineStr">
        <is>
          <t>V-201</t>
        </is>
      </c>
      <c r="D86" s="14" t="inlineStr">
        <is>
          <t>Turno virtual</t>
        </is>
      </c>
      <c r="E86" s="14" t="inlineStr">
        <is>
          <t>N</t>
        </is>
      </c>
      <c r="F86" s="18" t="n">
        <v>0.6813362763541666</v>
      </c>
      <c r="G86" s="18" t="n">
        <v>0.6813362763541666</v>
      </c>
      <c r="H86" s="18" t="n">
        <v>0.681382572650463</v>
      </c>
      <c r="I86" s="18" t="n">
        <v>0.6827946096874999</v>
      </c>
      <c r="J86" s="14" t="n">
        <v>3</v>
      </c>
      <c r="K86" s="19">
        <f>IF(AND(ISNUMBER(F86),ISNUMBER(G86)),(G86-F86)*1440,"")</f>
        <v/>
      </c>
      <c r="L86" s="19">
        <f>IF(AND(ISNUMBER(H86),ISNUMBER(I86)),(I86-H86)*1440,"")</f>
        <v/>
      </c>
      <c r="M86" s="15">
        <f>IF(ISNUMBER(F86),HOUR(F86),"")</f>
        <v/>
      </c>
    </row>
    <row r="87" ht="15.75" customHeight="1" s="36">
      <c r="A87" s="2" t="n">
        <v>84</v>
      </c>
      <c r="B87" s="12" t="n">
        <v>46084</v>
      </c>
      <c r="C87" s="14" t="inlineStr">
        <is>
          <t>D-269</t>
        </is>
      </c>
      <c r="D87" s="14" t="inlineStr">
        <is>
          <t>Dispensación</t>
        </is>
      </c>
      <c r="E87" s="14" t="inlineStr">
        <is>
          <t>N</t>
        </is>
      </c>
      <c r="F87" s="18" t="n">
        <v>0.6920976005092593</v>
      </c>
      <c r="G87" s="18" t="n">
        <v>0.6930599478472222</v>
      </c>
      <c r="H87" s="18" t="n">
        <v>0.6930946700694445</v>
      </c>
      <c r="I87" s="18" t="n">
        <v>0.6960229108101852</v>
      </c>
      <c r="J87" s="14" t="n">
        <v>3</v>
      </c>
      <c r="K87" s="19">
        <f>IF(AND(ISNUMBER(F87),ISNUMBER(G87)),(G87-F87)*1440,"")</f>
        <v/>
      </c>
      <c r="L87" s="19">
        <f>IF(AND(ISNUMBER(H87),ISNUMBER(I87)),(I87-H87)*1440,"")</f>
        <v/>
      </c>
      <c r="M87" s="15">
        <f>IF(ISNUMBER(F87),HOUR(F87),"")</f>
        <v/>
      </c>
    </row>
    <row r="88" ht="15.75" customHeight="1" s="36">
      <c r="A88" s="2" t="n">
        <v>85</v>
      </c>
      <c r="B88" s="12" t="n">
        <v>46085</v>
      </c>
      <c r="C88" s="14" t="inlineStr">
        <is>
          <t>D-014</t>
        </is>
      </c>
      <c r="D88" s="14" t="inlineStr">
        <is>
          <t>Dispensación</t>
        </is>
      </c>
      <c r="E88" s="14" t="inlineStr">
        <is>
          <t>N</t>
        </is>
      </c>
      <c r="F88" s="18" t="n">
        <v>0.3053741834375</v>
      </c>
      <c r="G88" s="18" t="n">
        <v>0.3081451975462963</v>
      </c>
      <c r="H88" s="18" t="n">
        <v>0.3081683456944445</v>
      </c>
      <c r="I88" s="18" t="n">
        <v>0.30934890125</v>
      </c>
      <c r="J88" s="14" t="n">
        <v>2</v>
      </c>
      <c r="K88" s="19">
        <f>IF(AND(ISNUMBER(F88),ISNUMBER(G88)),(G88-F88)*1440,"")</f>
        <v/>
      </c>
      <c r="L88" s="19">
        <f>IF(AND(ISNUMBER(H88),ISNUMBER(I88)),(I88-H88)*1440,"")</f>
        <v/>
      </c>
      <c r="M88" s="15">
        <f>IF(ISNUMBER(F88),HOUR(F88),"")</f>
        <v/>
      </c>
    </row>
    <row r="89" ht="15.75" customHeight="1" s="36">
      <c r="A89" s="2" t="n">
        <v>86</v>
      </c>
      <c r="B89" s="12" t="n">
        <v>46085</v>
      </c>
      <c r="C89" s="14" t="inlineStr">
        <is>
          <t>V-010</t>
        </is>
      </c>
      <c r="D89" s="14" t="inlineStr">
        <is>
          <t>Turno virtual</t>
        </is>
      </c>
      <c r="E89" s="14" t="inlineStr">
        <is>
          <t>N</t>
        </is>
      </c>
      <c r="F89" s="18" t="n">
        <v>0.3193075480787037</v>
      </c>
      <c r="G89" s="18" t="n">
        <v>0.3246845493981482</v>
      </c>
      <c r="H89" s="18" t="n">
        <v>0.3247192716203704</v>
      </c>
      <c r="I89" s="18" t="n">
        <v>0.326698438287037</v>
      </c>
      <c r="J89" s="14" t="n">
        <v>2</v>
      </c>
      <c r="K89" s="19">
        <f>IF(AND(ISNUMBER(F89),ISNUMBER(G89)),(G89-F89)*1440,"")</f>
        <v/>
      </c>
      <c r="L89" s="19">
        <f>IF(AND(ISNUMBER(H89),ISNUMBER(I89)),(I89-H89)*1440,"")</f>
        <v/>
      </c>
      <c r="M89" s="15">
        <f>IF(ISNUMBER(F89),HOUR(F89),"")</f>
        <v/>
      </c>
    </row>
    <row r="90" ht="15.75" customHeight="1" s="36">
      <c r="A90" s="2" t="n">
        <v>87</v>
      </c>
      <c r="B90" s="12" t="n">
        <v>46085</v>
      </c>
      <c r="C90" s="14" t="inlineStr">
        <is>
          <t>D-033</t>
        </is>
      </c>
      <c r="D90" s="14" t="inlineStr">
        <is>
          <t>Dispensación</t>
        </is>
      </c>
      <c r="E90" s="14" t="inlineStr">
        <is>
          <t>N</t>
        </is>
      </c>
      <c r="F90" s="18" t="n">
        <v>0.3233066071296297</v>
      </c>
      <c r="G90" s="18" t="n">
        <v>0.328040634375</v>
      </c>
      <c r="H90" s="18" t="n">
        <v>0.3280522084490741</v>
      </c>
      <c r="I90" s="18" t="n">
        <v>0.3308762825231482</v>
      </c>
      <c r="J90" s="14" t="n">
        <v>4</v>
      </c>
      <c r="K90" s="19">
        <f>IF(AND(ISNUMBER(F90),ISNUMBER(G90)),(G90-F90)*1440,"")</f>
        <v/>
      </c>
      <c r="L90" s="19">
        <f>IF(AND(ISNUMBER(H90),ISNUMBER(I90)),(I90-H90)*1440,"")</f>
        <v/>
      </c>
      <c r="M90" s="15">
        <f>IF(ISNUMBER(F90),HOUR(F90),"")</f>
        <v/>
      </c>
    </row>
    <row r="91" ht="15.75" customHeight="1" s="36">
      <c r="A91" s="2" t="n">
        <v>88</v>
      </c>
      <c r="B91" s="12" t="n">
        <v>46085</v>
      </c>
      <c r="C91" s="14" t="inlineStr">
        <is>
          <t>D-041</t>
        </is>
      </c>
      <c r="D91" s="14" t="inlineStr">
        <is>
          <t>Dispensación</t>
        </is>
      </c>
      <c r="E91" s="14" t="inlineStr">
        <is>
          <t>N</t>
        </is>
      </c>
      <c r="F91" s="18" t="n">
        <v>0.3269082776504629</v>
      </c>
      <c r="G91" s="18" t="n">
        <v>0.3348693380787037</v>
      </c>
      <c r="H91" s="18" t="n">
        <v>0.3348924862268519</v>
      </c>
      <c r="I91" s="18" t="n">
        <v>0.3376702640046296</v>
      </c>
      <c r="J91" s="14" t="n">
        <v>4</v>
      </c>
      <c r="K91" s="19">
        <f>IF(AND(ISNUMBER(F91),ISNUMBER(G91)),(G91-F91)*1440,"")</f>
        <v/>
      </c>
      <c r="L91" s="19">
        <f>IF(AND(ISNUMBER(H91),ISNUMBER(I91)),(I91-H91)*1440,"")</f>
        <v/>
      </c>
      <c r="M91" s="15">
        <f>IF(ISNUMBER(F91),HOUR(F91),"")</f>
        <v/>
      </c>
    </row>
    <row r="92" ht="15.75" customHeight="1" s="36">
      <c r="A92" s="2" t="n">
        <v>89</v>
      </c>
      <c r="B92" s="12" t="n">
        <v>46085</v>
      </c>
      <c r="C92" s="14" t="inlineStr">
        <is>
          <t>V-017</t>
        </is>
      </c>
      <c r="D92" s="14" t="inlineStr">
        <is>
          <t>Turno virtual</t>
        </is>
      </c>
      <c r="E92" s="14" t="inlineStr">
        <is>
          <t>N</t>
        </is>
      </c>
      <c r="F92" s="18" t="n">
        <v>0.3331528855902778</v>
      </c>
      <c r="G92" s="18" t="n">
        <v>0.339823438287037</v>
      </c>
      <c r="H92" s="18" t="n">
        <v>0.3398350123611111</v>
      </c>
      <c r="I92" s="18" t="n">
        <v>0.3421961234722222</v>
      </c>
      <c r="J92" s="14" t="n">
        <v>2</v>
      </c>
      <c r="K92" s="19">
        <f>IF(AND(ISNUMBER(F92),ISNUMBER(G92)),(G92-F92)*1440,"")</f>
        <v/>
      </c>
      <c r="L92" s="19">
        <f>IF(AND(ISNUMBER(H92),ISNUMBER(I92)),(I92-H92)*1440,"")</f>
        <v/>
      </c>
      <c r="M92" s="15">
        <f>IF(ISNUMBER(F92),HOUR(F92),"")</f>
        <v/>
      </c>
    </row>
    <row r="93" ht="15.75" customHeight="1" s="36">
      <c r="A93" s="2" t="n">
        <v>90</v>
      </c>
      <c r="B93" s="12" t="n">
        <v>46085</v>
      </c>
      <c r="C93" s="14" t="inlineStr">
        <is>
          <t>P-025</t>
        </is>
      </c>
      <c r="D93" s="14" t="inlineStr">
        <is>
          <t>Pendientes</t>
        </is>
      </c>
      <c r="E93" s="14" t="inlineStr">
        <is>
          <t>N</t>
        </is>
      </c>
      <c r="F93" s="18" t="n">
        <v>0.3443321034375</v>
      </c>
      <c r="G93" s="18" t="n">
        <v>0.3519895934027778</v>
      </c>
      <c r="H93" s="18" t="n">
        <v>0.352024315625</v>
      </c>
      <c r="I93" s="18" t="n">
        <v>0.3534826489583334</v>
      </c>
      <c r="J93" s="14" t="n">
        <v>1</v>
      </c>
      <c r="K93" s="19">
        <f>IF(AND(ISNUMBER(F93),ISNUMBER(G93)),(G93-F93)*1440,"")</f>
        <v/>
      </c>
      <c r="L93" s="19">
        <f>IF(AND(ISNUMBER(H93),ISNUMBER(I93)),(I93-H93)*1440,"")</f>
        <v/>
      </c>
      <c r="M93" s="15">
        <f>IF(ISNUMBER(F93),HOUR(F93),"")</f>
        <v/>
      </c>
    </row>
    <row r="94" ht="15.75" customHeight="1" s="36">
      <c r="A94" s="2" t="n">
        <v>91</v>
      </c>
      <c r="B94" s="12" t="n">
        <v>46085</v>
      </c>
      <c r="C94" s="14" t="inlineStr">
        <is>
          <t>D-067</t>
        </is>
      </c>
      <c r="D94" s="14" t="inlineStr">
        <is>
          <t>Dispensación</t>
        </is>
      </c>
      <c r="E94" s="14" t="inlineStr">
        <is>
          <t>N</t>
        </is>
      </c>
      <c r="F94" s="18" t="n">
        <v>0.3474538616898148</v>
      </c>
      <c r="G94" s="18" t="n">
        <v>0.3564408083449074</v>
      </c>
      <c r="H94" s="18" t="n">
        <v>0.3564755305671297</v>
      </c>
      <c r="I94" s="18" t="n">
        <v>0.3575287713078704</v>
      </c>
      <c r="J94" s="14" t="n">
        <v>3</v>
      </c>
      <c r="K94" s="19">
        <f>IF(AND(ISNUMBER(F94),ISNUMBER(G94)),(G94-F94)*1440,"")</f>
        <v/>
      </c>
      <c r="L94" s="19">
        <f>IF(AND(ISNUMBER(H94),ISNUMBER(I94)),(I94-H94)*1440,"")</f>
        <v/>
      </c>
      <c r="M94" s="15">
        <f>IF(ISNUMBER(F94),HOUR(F94),"")</f>
        <v/>
      </c>
    </row>
    <row r="95" ht="15.75" customHeight="1" s="36">
      <c r="A95" s="2" t="n">
        <v>92</v>
      </c>
      <c r="B95" s="12" t="n">
        <v>46085</v>
      </c>
      <c r="C95" s="14" t="inlineStr">
        <is>
          <t>V-024</t>
        </is>
      </c>
      <c r="D95" s="14" t="inlineStr">
        <is>
          <t>Turno virtual</t>
        </is>
      </c>
      <c r="E95" s="14" t="inlineStr">
        <is>
          <t>N</t>
        </is>
      </c>
      <c r="F95" s="18" t="n">
        <v>0.349878772662037</v>
      </c>
      <c r="G95" s="18" t="n">
        <v>0.3579021419907407</v>
      </c>
      <c r="H95" s="18" t="n">
        <v>0.3579252901388889</v>
      </c>
      <c r="I95" s="18" t="n">
        <v>0.3611081605092593</v>
      </c>
      <c r="J95" s="14" t="n">
        <v>2</v>
      </c>
      <c r="K95" s="19">
        <f>IF(AND(ISNUMBER(F95),ISNUMBER(G95)),(G95-F95)*1440,"")</f>
        <v/>
      </c>
      <c r="L95" s="19">
        <f>IF(AND(ISNUMBER(H95),ISNUMBER(I95)),(I95-H95)*1440,"")</f>
        <v/>
      </c>
      <c r="M95" s="15">
        <f>IF(ISNUMBER(F95),HOUR(F95),"")</f>
        <v/>
      </c>
    </row>
    <row r="96" ht="15.75" customHeight="1" s="36">
      <c r="A96" s="2" t="n">
        <v>93</v>
      </c>
      <c r="B96" s="12" t="n">
        <v>46085</v>
      </c>
      <c r="C96" s="14" t="inlineStr">
        <is>
          <t>V-032</t>
        </is>
      </c>
      <c r="D96" s="14" t="inlineStr">
        <is>
          <t>Turno virtual</t>
        </is>
      </c>
      <c r="E96" s="14" t="inlineStr">
        <is>
          <t>N</t>
        </is>
      </c>
      <c r="F96" s="18" t="n">
        <v>0.3580911761342592</v>
      </c>
      <c r="G96" s="18" t="n">
        <v>0.369524315625</v>
      </c>
      <c r="H96" s="18" t="n">
        <v>0.3695474637731482</v>
      </c>
      <c r="I96" s="18" t="n">
        <v>0.3734710748842593</v>
      </c>
      <c r="J96" s="14" t="n">
        <v>1</v>
      </c>
      <c r="K96" s="19">
        <f>IF(AND(ISNUMBER(F96),ISNUMBER(G96)),(G96-F96)*1440,"")</f>
        <v/>
      </c>
      <c r="L96" s="19">
        <f>IF(AND(ISNUMBER(H96),ISNUMBER(I96)),(I96-H96)*1440,"")</f>
        <v/>
      </c>
      <c r="M96" s="15">
        <f>IF(ISNUMBER(F96),HOUR(F96),"")</f>
        <v/>
      </c>
    </row>
    <row r="97" ht="15.75" customHeight="1" s="36">
      <c r="A97" s="2" t="n">
        <v>94</v>
      </c>
      <c r="B97" s="12" t="n">
        <v>46085</v>
      </c>
      <c r="C97" s="14" t="inlineStr">
        <is>
          <t>V-045</t>
        </is>
      </c>
      <c r="D97" s="14" t="inlineStr">
        <is>
          <t>Turno virtual</t>
        </is>
      </c>
      <c r="E97" s="14" t="inlineStr">
        <is>
          <t>N</t>
        </is>
      </c>
      <c r="F97" s="18" t="n">
        <v>0.367042089699074</v>
      </c>
      <c r="G97" s="18" t="n">
        <v>0.3814176601967593</v>
      </c>
      <c r="H97" s="18" t="n">
        <v>0.3814639564930556</v>
      </c>
      <c r="I97" s="18" t="n">
        <v>0.3821236787152778</v>
      </c>
      <c r="J97" s="14" t="n">
        <v>3</v>
      </c>
      <c r="K97" s="19">
        <f>IF(AND(ISNUMBER(F97),ISNUMBER(G97)),(G97-F97)*1440,"")</f>
        <v/>
      </c>
      <c r="L97" s="19">
        <f>IF(AND(ISNUMBER(H97),ISNUMBER(I97)),(I97-H97)*1440,"")</f>
        <v/>
      </c>
      <c r="M97" s="15">
        <f>IF(ISNUMBER(F97),HOUR(F97),"")</f>
        <v/>
      </c>
    </row>
    <row r="98" ht="15.75" customHeight="1" s="36">
      <c r="A98" s="2" t="n">
        <v>95</v>
      </c>
      <c r="B98" s="12" t="n">
        <v>46085</v>
      </c>
      <c r="C98" s="14" t="inlineStr">
        <is>
          <t>D-081</t>
        </is>
      </c>
      <c r="D98" s="14" t="inlineStr">
        <is>
          <t>Dispensación</t>
        </is>
      </c>
      <c r="E98" s="14" t="inlineStr">
        <is>
          <t>N</t>
        </is>
      </c>
      <c r="F98" s="18" t="n">
        <v>0.369602129224537</v>
      </c>
      <c r="G98" s="18" t="n">
        <v>0.3827255305671297</v>
      </c>
      <c r="H98" s="18" t="n">
        <v>0.3827371046412037</v>
      </c>
      <c r="I98" s="18" t="n">
        <v>0.3866607157523148</v>
      </c>
      <c r="J98" s="14" t="n">
        <v>3</v>
      </c>
      <c r="K98" s="19">
        <f>IF(AND(ISNUMBER(F98),ISNUMBER(G98)),(G98-F98)*1440,"")</f>
        <v/>
      </c>
      <c r="L98" s="19">
        <f>IF(AND(ISNUMBER(H98),ISNUMBER(I98)),(I98-H98)*1440,"")</f>
        <v/>
      </c>
      <c r="M98" s="15">
        <f>IF(ISNUMBER(F98),HOUR(F98),"")</f>
        <v/>
      </c>
    </row>
    <row r="99" ht="15.75" customHeight="1" s="36">
      <c r="A99" s="2" t="n">
        <v>96</v>
      </c>
      <c r="B99" s="12" t="n">
        <v>46085</v>
      </c>
      <c r="C99" s="14" t="inlineStr">
        <is>
          <t>D-086</t>
        </is>
      </c>
      <c r="D99" s="14" t="inlineStr">
        <is>
          <t>Dispensación</t>
        </is>
      </c>
      <c r="E99" s="14" t="inlineStr">
        <is>
          <t>N</t>
        </is>
      </c>
      <c r="F99" s="18" t="n">
        <v>0.3765713204629629</v>
      </c>
      <c r="G99" s="18" t="n">
        <v>0.3928229267361111</v>
      </c>
      <c r="H99" s="18" t="n">
        <v>0.3928692230324074</v>
      </c>
      <c r="I99" s="18" t="n">
        <v>0.3958553341435185</v>
      </c>
      <c r="J99" s="14" t="n">
        <v>1</v>
      </c>
      <c r="K99" s="19">
        <f>IF(AND(ISNUMBER(F99),ISNUMBER(G99)),(G99-F99)*1440,"")</f>
        <v/>
      </c>
      <c r="L99" s="19">
        <f>IF(AND(ISNUMBER(H99),ISNUMBER(I99)),(I99-H99)*1440,"")</f>
        <v/>
      </c>
      <c r="M99" s="15">
        <f>IF(ISNUMBER(F99),HOUR(F99),"")</f>
        <v/>
      </c>
    </row>
    <row r="100" ht="15.75" customHeight="1" s="36">
      <c r="A100" s="2" t="n">
        <v>97</v>
      </c>
      <c r="B100" s="12" t="n">
        <v>46085</v>
      </c>
      <c r="C100" s="14" t="inlineStr">
        <is>
          <t>V-062</t>
        </is>
      </c>
      <c r="D100" s="14" t="inlineStr">
        <is>
          <t>Turno virtual</t>
        </is>
      </c>
      <c r="E100" s="14" t="inlineStr">
        <is>
          <t>N</t>
        </is>
      </c>
      <c r="F100" s="18" t="n">
        <v>0.3839183849768518</v>
      </c>
      <c r="G100" s="18" t="n">
        <v>0.4021961234722222</v>
      </c>
      <c r="H100" s="18" t="n">
        <v>0.4022192716203704</v>
      </c>
      <c r="I100" s="18" t="n">
        <v>0.4040942716203703</v>
      </c>
      <c r="J100" s="14" t="n">
        <v>2</v>
      </c>
      <c r="K100" s="19">
        <f>IF(AND(ISNUMBER(F100),ISNUMBER(G100)),(G100-F100)*1440,"")</f>
        <v/>
      </c>
      <c r="L100" s="19">
        <f>IF(AND(ISNUMBER(H100),ISNUMBER(I100)),(I100-H100)*1440,"")</f>
        <v/>
      </c>
      <c r="M100" s="15">
        <f>IF(ISNUMBER(F100),HOUR(F100),"")</f>
        <v/>
      </c>
    </row>
    <row r="101" ht="15.75" customHeight="1" s="36">
      <c r="A101" s="2" t="n">
        <v>98</v>
      </c>
      <c r="B101" s="12" t="n">
        <v>46085</v>
      </c>
      <c r="C101" s="14" t="inlineStr">
        <is>
          <t>P-051</t>
        </is>
      </c>
      <c r="D101" s="14" t="inlineStr">
        <is>
          <t>Pendientes</t>
        </is>
      </c>
      <c r="E101" s="14" t="inlineStr">
        <is>
          <t>N</t>
        </is>
      </c>
      <c r="F101" s="18" t="n">
        <v>0.3889604751157407</v>
      </c>
      <c r="G101" s="18" t="n">
        <v>0.4077071859953704</v>
      </c>
      <c r="H101" s="18" t="n">
        <v>0.4077534822916666</v>
      </c>
      <c r="I101" s="18" t="n">
        <v>0.4087835748842593</v>
      </c>
      <c r="J101" s="14" t="n">
        <v>1</v>
      </c>
      <c r="K101" s="19">
        <f>IF(AND(ISNUMBER(F101),ISNUMBER(G101)),(G101-F101)*1440,"")</f>
        <v/>
      </c>
      <c r="L101" s="19">
        <f>IF(AND(ISNUMBER(H101),ISNUMBER(I101)),(I101-H101)*1440,"")</f>
        <v/>
      </c>
      <c r="M101" s="15">
        <f>IF(ISNUMBER(F101),HOUR(F101),"")</f>
        <v/>
      </c>
    </row>
    <row r="102" ht="15.75" customHeight="1" s="36">
      <c r="A102" s="2" t="n">
        <v>99</v>
      </c>
      <c r="B102" s="12" t="n">
        <v>46085</v>
      </c>
      <c r="C102" s="14" t="inlineStr">
        <is>
          <t>V-070</t>
        </is>
      </c>
      <c r="D102" s="14" t="inlineStr">
        <is>
          <t>Turno virtual</t>
        </is>
      </c>
      <c r="E102" s="14" t="inlineStr">
        <is>
          <t>N</t>
        </is>
      </c>
      <c r="F102" s="18" t="n">
        <v>0.3965035987152777</v>
      </c>
      <c r="G102" s="18" t="n">
        <v>0.41934890125</v>
      </c>
      <c r="H102" s="18" t="n">
        <v>0.4193720493981481</v>
      </c>
      <c r="I102" s="18" t="n">
        <v>0.4208303827314814</v>
      </c>
      <c r="J102" s="14" t="n">
        <v>2</v>
      </c>
      <c r="K102" s="19">
        <f>IF(AND(ISNUMBER(F102),ISNUMBER(G102)),(G102-F102)*1440,"")</f>
        <v/>
      </c>
      <c r="L102" s="19">
        <f>IF(AND(ISNUMBER(H102),ISNUMBER(I102)),(I102-H102)*1440,"")</f>
        <v/>
      </c>
      <c r="M102" s="15">
        <f>IF(ISNUMBER(F102),HOUR(F102),"")</f>
        <v/>
      </c>
    </row>
    <row r="103" ht="15.75" customHeight="1" s="36">
      <c r="A103" s="2" t="n">
        <v>100</v>
      </c>
      <c r="B103" s="12" t="n">
        <v>46085</v>
      </c>
      <c r="C103" s="14" t="inlineStr">
        <is>
          <t>D-109</t>
        </is>
      </c>
      <c r="D103" s="14" t="inlineStr">
        <is>
          <t>Dispensación</t>
        </is>
      </c>
      <c r="E103" s="14" t="inlineStr">
        <is>
          <t>N</t>
        </is>
      </c>
      <c r="F103" s="18" t="n">
        <v>0.4001334948842593</v>
      </c>
      <c r="G103" s="18" t="n">
        <v>0.424183863900463</v>
      </c>
      <c r="H103" s="18" t="n">
        <v>0.4242301601967593</v>
      </c>
      <c r="I103" s="18" t="n">
        <v>0.4266259935300926</v>
      </c>
      <c r="J103" s="14" t="n">
        <v>3</v>
      </c>
      <c r="K103" s="19">
        <f>IF(AND(ISNUMBER(F103),ISNUMBER(G103)),(G103-F103)*1440,"")</f>
        <v/>
      </c>
      <c r="L103" s="19">
        <f>IF(AND(ISNUMBER(H103),ISNUMBER(I103)),(I103-H103)*1440,"")</f>
        <v/>
      </c>
      <c r="M103" s="15">
        <f>IF(ISNUMBER(F103),HOUR(F103),"")</f>
        <v/>
      </c>
    </row>
    <row r="104" ht="15.75" customHeight="1" s="36">
      <c r="A104" s="2" t="n">
        <v>101</v>
      </c>
      <c r="B104" s="12" t="n">
        <v>46085</v>
      </c>
      <c r="C104" s="14" t="inlineStr">
        <is>
          <t>D-116</t>
        </is>
      </c>
      <c r="D104" s="14" t="inlineStr">
        <is>
          <t>Dispensación</t>
        </is>
      </c>
      <c r="E104" s="14" t="inlineStr">
        <is>
          <t>N</t>
        </is>
      </c>
      <c r="F104" s="18" t="n">
        <v>0.4038854889004629</v>
      </c>
      <c r="G104" s="18" t="n">
        <v>0.4303442716203703</v>
      </c>
      <c r="H104" s="18" t="n">
        <v>0.4303789938425925</v>
      </c>
      <c r="I104" s="18" t="n">
        <v>0.4314901049537037</v>
      </c>
      <c r="J104" s="14" t="n">
        <v>2</v>
      </c>
      <c r="K104" s="19">
        <f>IF(AND(ISNUMBER(F104),ISNUMBER(G104)),(G104-F104)*1440,"")</f>
        <v/>
      </c>
      <c r="L104" s="19">
        <f>IF(AND(ISNUMBER(H104),ISNUMBER(I104)),(I104-H104)*1440,"")</f>
        <v/>
      </c>
      <c r="M104" s="15">
        <f>IF(ISNUMBER(F104),HOUR(F104),"")</f>
        <v/>
      </c>
    </row>
    <row r="105" ht="15.75" customHeight="1" s="36">
      <c r="A105" s="2" t="n">
        <v>102</v>
      </c>
      <c r="B105" s="12" t="n">
        <v>46085</v>
      </c>
      <c r="C105" s="14" t="inlineStr">
        <is>
          <t>D-123</t>
        </is>
      </c>
      <c r="D105" s="14" t="inlineStr">
        <is>
          <t>Dispensación</t>
        </is>
      </c>
      <c r="E105" s="14" t="inlineStr">
        <is>
          <t>N</t>
        </is>
      </c>
      <c r="F105" s="18" t="n">
        <v>0.4122872692476852</v>
      </c>
      <c r="G105" s="18" t="n">
        <v>0.4376445120486112</v>
      </c>
      <c r="H105" s="18" t="n">
        <v>0.4376560861226852</v>
      </c>
      <c r="I105" s="18" t="n">
        <v>0.4390449750115741</v>
      </c>
      <c r="J105" s="14" t="n">
        <v>3</v>
      </c>
      <c r="K105" s="19">
        <f>IF(AND(ISNUMBER(F105),ISNUMBER(G105)),(G105-F105)*1440,"")</f>
        <v/>
      </c>
      <c r="L105" s="19">
        <f>IF(AND(ISNUMBER(H105),ISNUMBER(I105)),(I105-H105)*1440,"")</f>
        <v/>
      </c>
      <c r="M105" s="15">
        <f>IF(ISNUMBER(F105),HOUR(F105),"")</f>
        <v/>
      </c>
    </row>
    <row r="106" ht="15.75" customHeight="1" s="36">
      <c r="A106" s="2" t="n">
        <v>103</v>
      </c>
      <c r="B106" s="12" t="n">
        <v>46085</v>
      </c>
      <c r="C106" s="14" t="inlineStr">
        <is>
          <t>P-070</t>
        </is>
      </c>
      <c r="D106" s="14" t="inlineStr">
        <is>
          <t>Pendientes</t>
        </is>
      </c>
      <c r="E106" s="14" t="inlineStr">
        <is>
          <t>N</t>
        </is>
      </c>
      <c r="F106" s="18" t="n">
        <v>0.4203005573726852</v>
      </c>
      <c r="G106" s="18" t="n">
        <v>0.4501934121527777</v>
      </c>
      <c r="H106" s="18" t="n">
        <v>0.4502049862268518</v>
      </c>
      <c r="I106" s="18" t="n">
        <v>0.4527165603009259</v>
      </c>
      <c r="J106" s="14" t="n">
        <v>4</v>
      </c>
      <c r="K106" s="19">
        <f>IF(AND(ISNUMBER(F106),ISNUMBER(G106)),(G106-F106)*1440,"")</f>
        <v/>
      </c>
      <c r="L106" s="19">
        <f>IF(AND(ISNUMBER(H106),ISNUMBER(I106)),(I106-H106)*1440,"")</f>
        <v/>
      </c>
      <c r="M106" s="15">
        <f>IF(ISNUMBER(F106),HOUR(F106),"")</f>
        <v/>
      </c>
    </row>
    <row r="107" ht="15.75" customHeight="1" s="36">
      <c r="A107" s="2" t="n">
        <v>104</v>
      </c>
      <c r="B107" s="12" t="n">
        <v>46085</v>
      </c>
      <c r="C107" s="14" t="inlineStr">
        <is>
          <t>D-154</t>
        </is>
      </c>
      <c r="D107" s="14" t="inlineStr">
        <is>
          <t>Dispensación</t>
        </is>
      </c>
      <c r="E107" s="14" t="inlineStr">
        <is>
          <t>N</t>
        </is>
      </c>
      <c r="F107" s="18" t="n">
        <v>0.4320555198148148</v>
      </c>
      <c r="G107" s="18" t="n">
        <v>0.4644432971064815</v>
      </c>
      <c r="H107" s="18" t="n">
        <v>0.4644664452546296</v>
      </c>
      <c r="I107" s="18" t="n">
        <v>0.4680891304398148</v>
      </c>
      <c r="J107" s="14" t="n">
        <v>1</v>
      </c>
      <c r="K107" s="19">
        <f>IF(AND(ISNUMBER(F107),ISNUMBER(G107)),(G107-F107)*1440,"")</f>
        <v/>
      </c>
      <c r="L107" s="19">
        <f>IF(AND(ISNUMBER(H107),ISNUMBER(I107)),(I107-H107)*1440,"")</f>
        <v/>
      </c>
      <c r="M107" s="15">
        <f>IF(ISNUMBER(F107),HOUR(F107),"")</f>
        <v/>
      </c>
    </row>
    <row r="108" ht="15.75" customHeight="1" s="36">
      <c r="A108" s="2" t="n">
        <v>105</v>
      </c>
      <c r="B108" s="12" t="n">
        <v>46085</v>
      </c>
      <c r="C108" s="14" t="inlineStr">
        <is>
          <t>V-090</t>
        </is>
      </c>
      <c r="D108" s="14" t="inlineStr">
        <is>
          <t>Turno virtual</t>
        </is>
      </c>
      <c r="E108" s="14" t="inlineStr">
        <is>
          <t>N</t>
        </is>
      </c>
      <c r="F108" s="18" t="n">
        <v>0.4349872392245371</v>
      </c>
      <c r="G108" s="18" t="n">
        <v>0.4690128565972222</v>
      </c>
      <c r="H108" s="18" t="n">
        <v>0.4690360047453703</v>
      </c>
      <c r="I108" s="18" t="n">
        <v>0.4705059121527778</v>
      </c>
      <c r="J108" s="14" t="n">
        <v>4</v>
      </c>
      <c r="K108" s="19">
        <f>IF(AND(ISNUMBER(F108),ISNUMBER(G108)),(G108-F108)*1440,"")</f>
        <v/>
      </c>
      <c r="L108" s="19">
        <f>IF(AND(ISNUMBER(H108),ISNUMBER(I108)),(I108-H108)*1440,"")</f>
        <v/>
      </c>
      <c r="M108" s="15">
        <f>IF(ISNUMBER(F108),HOUR(F108),"")</f>
        <v/>
      </c>
    </row>
    <row r="109" ht="15.75" customHeight="1" s="36">
      <c r="A109" s="2" t="n">
        <v>106</v>
      </c>
      <c r="B109" s="12" t="n">
        <v>46085</v>
      </c>
      <c r="C109" s="14" t="inlineStr">
        <is>
          <t>V-094</t>
        </is>
      </c>
      <c r="D109" s="14" t="inlineStr">
        <is>
          <t>Turno virtual</t>
        </is>
      </c>
      <c r="E109" s="14" t="inlineStr">
        <is>
          <t>N</t>
        </is>
      </c>
      <c r="F109" s="18" t="n">
        <v>0.437029036574074</v>
      </c>
      <c r="G109" s="18" t="n">
        <v>0.4730985047453704</v>
      </c>
      <c r="H109" s="18" t="n">
        <v>0.4731448010416666</v>
      </c>
      <c r="I109" s="18" t="n">
        <v>0.4748346158564815</v>
      </c>
      <c r="J109" s="14" t="n">
        <v>4</v>
      </c>
      <c r="K109" s="19">
        <f>IF(AND(ISNUMBER(F109),ISNUMBER(G109)),(G109-F109)*1440,"")</f>
        <v/>
      </c>
      <c r="L109" s="19">
        <f>IF(AND(ISNUMBER(H109),ISNUMBER(I109)),(I109-H109)*1440,"")</f>
        <v/>
      </c>
      <c r="M109" s="15">
        <f>IF(ISNUMBER(F109),HOUR(F109),"")</f>
        <v/>
      </c>
    </row>
    <row r="110" ht="15.75" customHeight="1" s="36">
      <c r="A110" s="2" t="n">
        <v>107</v>
      </c>
      <c r="B110" s="12" t="n">
        <v>46085</v>
      </c>
      <c r="C110" s="14" t="inlineStr">
        <is>
          <t>V-100</t>
        </is>
      </c>
      <c r="D110" s="14" t="inlineStr">
        <is>
          <t>Turno virtual</t>
        </is>
      </c>
      <c r="E110" s="14" t="inlineStr">
        <is>
          <t>N</t>
        </is>
      </c>
      <c r="F110" s="18" t="n">
        <v>0.4505147093518519</v>
      </c>
      <c r="G110" s="18" t="n">
        <v>0.4901706605092592</v>
      </c>
      <c r="H110" s="18" t="n">
        <v>0.4902169568055555</v>
      </c>
      <c r="I110" s="18" t="n">
        <v>0.4911891790277778</v>
      </c>
      <c r="J110" s="14" t="n">
        <v>2</v>
      </c>
      <c r="K110" s="19">
        <f>IF(AND(ISNUMBER(F110),ISNUMBER(G110)),(G110-F110)*1440,"")</f>
        <v/>
      </c>
      <c r="L110" s="19">
        <f>IF(AND(ISNUMBER(H110),ISNUMBER(I110)),(I110-H110)*1440,"")</f>
        <v/>
      </c>
      <c r="M110" s="15">
        <f>IF(ISNUMBER(F110),HOUR(F110),"")</f>
        <v/>
      </c>
    </row>
    <row r="111" ht="15.75" customHeight="1" s="36">
      <c r="A111" s="2" t="n">
        <v>108</v>
      </c>
      <c r="B111" s="12" t="n">
        <v>46085</v>
      </c>
      <c r="C111" s="14" t="inlineStr">
        <is>
          <t>P-088</t>
        </is>
      </c>
      <c r="D111" s="14" t="inlineStr">
        <is>
          <t>Pendientes</t>
        </is>
      </c>
      <c r="E111" s="14" t="inlineStr">
        <is>
          <t>N</t>
        </is>
      </c>
      <c r="F111" s="18" t="n">
        <v>0.4559366717824074</v>
      </c>
      <c r="G111" s="18" t="n">
        <v>0.4951445120486112</v>
      </c>
      <c r="H111" s="18" t="n">
        <v>0.4951560861226852</v>
      </c>
      <c r="I111" s="18" t="n">
        <v>0.4963250676041667</v>
      </c>
      <c r="J111" s="14" t="n">
        <v>3</v>
      </c>
      <c r="K111" s="19">
        <f>IF(AND(ISNUMBER(F111),ISNUMBER(G111)),(G111-F111)*1440,"")</f>
        <v/>
      </c>
      <c r="L111" s="19">
        <f>IF(AND(ISNUMBER(H111),ISNUMBER(I111)),(I111-H111)*1440,"")</f>
        <v/>
      </c>
      <c r="M111" s="15">
        <f>IF(ISNUMBER(F111),HOUR(F111),"")</f>
        <v/>
      </c>
    </row>
    <row r="112" ht="15.75" customHeight="1" s="36">
      <c r="A112" s="2" t="n">
        <v>109</v>
      </c>
      <c r="B112" s="12" t="n">
        <v>46085</v>
      </c>
      <c r="C112" s="14" t="inlineStr">
        <is>
          <t>V-106</t>
        </is>
      </c>
      <c r="D112" s="14" t="inlineStr">
        <is>
          <t>Turno virtual</t>
        </is>
      </c>
      <c r="E112" s="14" t="inlineStr">
        <is>
          <t>N</t>
        </is>
      </c>
      <c r="F112" s="18" t="n">
        <v>0.4590128542939815</v>
      </c>
      <c r="G112" s="18" t="n">
        <v>0.4966886674768518</v>
      </c>
      <c r="H112" s="18" t="n">
        <v>0.4967002415509259</v>
      </c>
      <c r="I112" s="18" t="n">
        <v>0.4995590378472222</v>
      </c>
      <c r="J112" s="14" t="n">
        <v>1</v>
      </c>
      <c r="K112" s="19">
        <f>IF(AND(ISNUMBER(F112),ISNUMBER(G112)),(G112-F112)*1440,"")</f>
        <v/>
      </c>
      <c r="L112" s="19">
        <f>IF(AND(ISNUMBER(H112),ISNUMBER(I112)),(I112-H112)*1440,"")</f>
        <v/>
      </c>
      <c r="M112" s="15">
        <f>IF(ISNUMBER(F112),HOUR(F112),"")</f>
        <v/>
      </c>
    </row>
    <row r="113" ht="15.75" customHeight="1" s="36">
      <c r="A113" s="2" t="n">
        <v>110</v>
      </c>
      <c r="B113" s="12" t="n">
        <v>46085</v>
      </c>
      <c r="C113" s="14" t="inlineStr">
        <is>
          <t>P-090</t>
        </is>
      </c>
      <c r="D113" s="14" t="inlineStr">
        <is>
          <t>Pendientes</t>
        </is>
      </c>
      <c r="E113" s="14" t="inlineStr">
        <is>
          <t>N</t>
        </is>
      </c>
      <c r="F113" s="18" t="n">
        <v>0.4614391290277778</v>
      </c>
      <c r="G113" s="18" t="n">
        <v>0.4996584009375</v>
      </c>
      <c r="H113" s="18" t="n">
        <v>0.4996931231597223</v>
      </c>
      <c r="I113" s="18" t="n">
        <v>0.5025519194560185</v>
      </c>
      <c r="J113" s="14" t="n">
        <v>3</v>
      </c>
      <c r="K113" s="19">
        <f>IF(AND(ISNUMBER(F113),ISNUMBER(G113)),(G113-F113)*1440,"")</f>
        <v/>
      </c>
      <c r="L113" s="19">
        <f>IF(AND(ISNUMBER(H113),ISNUMBER(I113)),(I113-H113)*1440,"")</f>
        <v/>
      </c>
      <c r="M113" s="15">
        <f>IF(ISNUMBER(F113),HOUR(F113),"")</f>
        <v/>
      </c>
    </row>
    <row r="114" ht="15.75" customHeight="1" s="36">
      <c r="A114" s="2" t="n">
        <v>111</v>
      </c>
      <c r="B114" s="12" t="n">
        <v>46085</v>
      </c>
      <c r="C114" s="14" t="inlineStr">
        <is>
          <t>P-095</t>
        </is>
      </c>
      <c r="D114" s="14" t="inlineStr">
        <is>
          <t>Pendientes</t>
        </is>
      </c>
      <c r="E114" s="14" t="inlineStr">
        <is>
          <t>N</t>
        </is>
      </c>
      <c r="F114" s="18" t="n">
        <v>0.4674389948726852</v>
      </c>
      <c r="G114" s="18" t="n">
        <v>0.5065150563657407</v>
      </c>
      <c r="H114" s="18" t="n">
        <v>0.5065613526620371</v>
      </c>
      <c r="I114" s="18" t="n">
        <v>0.5088298711805556</v>
      </c>
      <c r="J114" s="14" t="n">
        <v>1</v>
      </c>
      <c r="K114" s="19">
        <f>IF(AND(ISNUMBER(F114),ISNUMBER(G114)),(G114-F114)*1440,"")</f>
        <v/>
      </c>
      <c r="L114" s="19">
        <f>IF(AND(ISNUMBER(H114),ISNUMBER(I114)),(I114-H114)*1440,"")</f>
        <v/>
      </c>
      <c r="M114" s="15">
        <f>IF(ISNUMBER(F114),HOUR(F114),"")</f>
        <v/>
      </c>
    </row>
    <row r="115" ht="15.75" customHeight="1" s="36">
      <c r="A115" s="2" t="n">
        <v>112</v>
      </c>
      <c r="B115" s="12" t="n">
        <v>46085</v>
      </c>
      <c r="C115" s="14" t="inlineStr">
        <is>
          <t>V-110</t>
        </is>
      </c>
      <c r="D115" s="14" t="inlineStr">
        <is>
          <t>Turno virtual</t>
        </is>
      </c>
      <c r="E115" s="14" t="inlineStr">
        <is>
          <t>N</t>
        </is>
      </c>
      <c r="F115" s="18" t="n">
        <v>0.4737686459375</v>
      </c>
      <c r="G115" s="18" t="n">
        <v>0.5107395934027777</v>
      </c>
      <c r="H115" s="18" t="n">
        <v>0.510785889699074</v>
      </c>
      <c r="I115" s="18" t="n">
        <v>0.5135405193287037</v>
      </c>
      <c r="J115" s="14" t="n">
        <v>1</v>
      </c>
      <c r="K115" s="19">
        <f>IF(AND(ISNUMBER(F115),ISNUMBER(G115)),(G115-F115)*1440,"")</f>
        <v/>
      </c>
      <c r="L115" s="19">
        <f>IF(AND(ISNUMBER(H115),ISNUMBER(I115)),(I115-H115)*1440,"")</f>
        <v/>
      </c>
      <c r="M115" s="15">
        <f>IF(ISNUMBER(F115),HOUR(F115),"")</f>
        <v/>
      </c>
    </row>
    <row r="116" ht="15.75" customHeight="1" s="36">
      <c r="A116" s="2" t="n">
        <v>113</v>
      </c>
      <c r="B116" s="12" t="n">
        <v>46085</v>
      </c>
      <c r="C116" s="14" t="inlineStr">
        <is>
          <t>P-110</t>
        </is>
      </c>
      <c r="D116" s="14" t="inlineStr">
        <is>
          <t>Pendientes</t>
        </is>
      </c>
      <c r="E116" s="14" t="inlineStr">
        <is>
          <t>N</t>
        </is>
      </c>
      <c r="F116" s="18" t="n">
        <v>0.5346174616898148</v>
      </c>
      <c r="G116" s="18" t="n">
        <v>0.5493159822916667</v>
      </c>
      <c r="H116" s="18" t="n">
        <v>0.5493507045138889</v>
      </c>
      <c r="I116" s="18" t="n">
        <v>0.5513067230324074</v>
      </c>
      <c r="J116" s="14" t="n">
        <v>1</v>
      </c>
      <c r="K116" s="19">
        <f>IF(AND(ISNUMBER(F116),ISNUMBER(G116)),(G116-F116)*1440,"")</f>
        <v/>
      </c>
      <c r="L116" s="19">
        <f>IF(AND(ISNUMBER(H116),ISNUMBER(I116)),(I116-H116)*1440,"")</f>
        <v/>
      </c>
      <c r="M116" s="15">
        <f>IF(ISNUMBER(F116),HOUR(F116),"")</f>
        <v/>
      </c>
    </row>
    <row r="117" ht="15.75" customHeight="1" s="36">
      <c r="A117" s="2" t="n">
        <v>114</v>
      </c>
      <c r="B117" s="12" t="n">
        <v>46085</v>
      </c>
      <c r="C117" s="14" t="inlineStr">
        <is>
          <t>D-225</t>
        </is>
      </c>
      <c r="D117" s="14" t="inlineStr">
        <is>
          <t>Dispensación</t>
        </is>
      </c>
      <c r="E117" s="14" t="inlineStr">
        <is>
          <t>N</t>
        </is>
      </c>
      <c r="F117" s="18" t="n">
        <v>0.5374165632407407</v>
      </c>
      <c r="G117" s="18" t="n">
        <v>0.5513067230324074</v>
      </c>
      <c r="H117" s="18" t="n">
        <v>0.5513530193287037</v>
      </c>
      <c r="I117" s="18" t="n">
        <v>0.5522442230324074</v>
      </c>
      <c r="J117" s="14" t="n">
        <v>1</v>
      </c>
      <c r="K117" s="19">
        <f>IF(AND(ISNUMBER(F117),ISNUMBER(G117)),(G117-F117)*1440,"")</f>
        <v/>
      </c>
      <c r="L117" s="19">
        <f>IF(AND(ISNUMBER(H117),ISNUMBER(I117)),(I117-H117)*1440,"")</f>
        <v/>
      </c>
      <c r="M117" s="15">
        <f>IF(ISNUMBER(F117),HOUR(F117),"")</f>
        <v/>
      </c>
    </row>
    <row r="118" ht="15.75" customHeight="1" s="36">
      <c r="A118" s="2" t="n">
        <v>115</v>
      </c>
      <c r="B118" s="12" t="n">
        <v>46085</v>
      </c>
      <c r="C118" s="14" t="inlineStr">
        <is>
          <t>D-230</t>
        </is>
      </c>
      <c r="D118" s="14" t="inlineStr">
        <is>
          <t>Dispensación</t>
        </is>
      </c>
      <c r="E118" s="14" t="inlineStr">
        <is>
          <t>N</t>
        </is>
      </c>
      <c r="F118" s="18" t="n">
        <v>0.5436946385648148</v>
      </c>
      <c r="G118" s="18" t="n">
        <v>0.5531914938425926</v>
      </c>
      <c r="H118" s="18" t="n">
        <v>0.5532262160648148</v>
      </c>
      <c r="I118" s="18" t="n">
        <v>0.5547308456944444</v>
      </c>
      <c r="J118" s="14" t="n">
        <v>2</v>
      </c>
      <c r="K118" s="19">
        <f>IF(AND(ISNUMBER(F118),ISNUMBER(G118)),(G118-F118)*1440,"")</f>
        <v/>
      </c>
      <c r="L118" s="19">
        <f>IF(AND(ISNUMBER(H118),ISNUMBER(I118)),(I118-H118)*1440,"")</f>
        <v/>
      </c>
      <c r="M118" s="15">
        <f>IF(ISNUMBER(F118),HOUR(F118),"")</f>
        <v/>
      </c>
    </row>
    <row r="119" ht="15.75" customHeight="1" s="36">
      <c r="A119" s="2" t="n">
        <v>116</v>
      </c>
      <c r="B119" s="12" t="n">
        <v>46085</v>
      </c>
      <c r="C119" s="14" t="inlineStr">
        <is>
          <t>D-232</t>
        </is>
      </c>
      <c r="D119" s="14" t="inlineStr">
        <is>
          <t>Dispensación</t>
        </is>
      </c>
      <c r="E119" s="14" t="inlineStr">
        <is>
          <t>N</t>
        </is>
      </c>
      <c r="F119" s="18" t="n">
        <v>0.5472737818981481</v>
      </c>
      <c r="G119" s="18" t="n">
        <v>0.5565034822916667</v>
      </c>
      <c r="H119" s="18" t="n">
        <v>0.5565150563657407</v>
      </c>
      <c r="I119" s="18" t="n">
        <v>0.5602882045138888</v>
      </c>
      <c r="J119" s="14" t="n">
        <v>1</v>
      </c>
      <c r="K119" s="19">
        <f>IF(AND(ISNUMBER(F119),ISNUMBER(G119)),(G119-F119)*1440,"")</f>
        <v/>
      </c>
      <c r="L119" s="19">
        <f>IF(AND(ISNUMBER(H119),ISNUMBER(I119)),(I119-H119)*1440,"")</f>
        <v/>
      </c>
      <c r="M119" s="15">
        <f>IF(ISNUMBER(F119),HOUR(F119),"")</f>
        <v/>
      </c>
    </row>
    <row r="120" ht="15.75" customHeight="1" s="36">
      <c r="A120" s="2" t="n">
        <v>117</v>
      </c>
      <c r="B120" s="12" t="n">
        <v>46085</v>
      </c>
      <c r="C120" s="14" t="inlineStr">
        <is>
          <t>D-246</t>
        </is>
      </c>
      <c r="D120" s="14" t="inlineStr">
        <is>
          <t>Dispensación</t>
        </is>
      </c>
      <c r="E120" s="14" t="inlineStr">
        <is>
          <t>N</t>
        </is>
      </c>
      <c r="F120" s="18" t="n">
        <v>0.5780241521527778</v>
      </c>
      <c r="G120" s="18" t="n">
        <v>0.5827949750115741</v>
      </c>
      <c r="H120" s="18" t="n">
        <v>0.5828412713078703</v>
      </c>
      <c r="I120" s="18" t="n">
        <v>0.5852255305671297</v>
      </c>
      <c r="J120" s="14" t="n">
        <v>3</v>
      </c>
      <c r="K120" s="19">
        <f>IF(AND(ISNUMBER(F120),ISNUMBER(G120)),(G120-F120)*1440,"")</f>
        <v/>
      </c>
      <c r="L120" s="19">
        <f>IF(AND(ISNUMBER(H120),ISNUMBER(I120)),(I120-H120)*1440,"")</f>
        <v/>
      </c>
      <c r="M120" s="15">
        <f>IF(ISNUMBER(F120),HOUR(F120),"")</f>
        <v/>
      </c>
    </row>
    <row r="121" ht="15.75" customHeight="1" s="36">
      <c r="A121" s="2" t="n">
        <v>118</v>
      </c>
      <c r="B121" s="12" t="n">
        <v>46085</v>
      </c>
      <c r="C121" s="14" t="inlineStr">
        <is>
          <t>D-261</t>
        </is>
      </c>
      <c r="D121" s="14" t="inlineStr">
        <is>
          <t>Dispensación</t>
        </is>
      </c>
      <c r="E121" s="14" t="inlineStr">
        <is>
          <t>N</t>
        </is>
      </c>
      <c r="F121" s="18" t="n">
        <v>0.5967709524537037</v>
      </c>
      <c r="G121" s="18" t="n">
        <v>0.6035155679166666</v>
      </c>
      <c r="H121" s="18" t="n">
        <v>0.6035387160648148</v>
      </c>
      <c r="I121" s="18" t="n">
        <v>0.6073118642129629</v>
      </c>
      <c r="J121" s="14" t="n">
        <v>2</v>
      </c>
      <c r="K121" s="19">
        <f>IF(AND(ISNUMBER(F121),ISNUMBER(G121)),(G121-F121)*1440,"")</f>
        <v/>
      </c>
      <c r="L121" s="19">
        <f>IF(AND(ISNUMBER(H121),ISNUMBER(I121)),(I121-H121)*1440,"")</f>
        <v/>
      </c>
      <c r="M121" s="15">
        <f>IF(ISNUMBER(F121),HOUR(F121),"")</f>
        <v/>
      </c>
    </row>
    <row r="122" ht="15.75" customHeight="1" s="36">
      <c r="A122" s="2" t="n">
        <v>119</v>
      </c>
      <c r="B122" s="12" t="n">
        <v>46085</v>
      </c>
      <c r="C122" s="14" t="inlineStr">
        <is>
          <t>V-148</t>
        </is>
      </c>
      <c r="D122" s="14" t="inlineStr">
        <is>
          <t>Turno virtual</t>
        </is>
      </c>
      <c r="E122" s="14" t="inlineStr">
        <is>
          <t>N</t>
        </is>
      </c>
      <c r="F122" s="18" t="n">
        <v>0.6099044479166666</v>
      </c>
      <c r="G122" s="18" t="n">
        <v>0.6099044479166666</v>
      </c>
      <c r="H122" s="18" t="n">
        <v>0.6099391701388889</v>
      </c>
      <c r="I122" s="18" t="n">
        <v>0.6127632442129629</v>
      </c>
      <c r="J122" s="14" t="n">
        <v>1</v>
      </c>
      <c r="K122" s="19">
        <f>IF(AND(ISNUMBER(F122),ISNUMBER(G122)),(G122-F122)*1440,"")</f>
        <v/>
      </c>
      <c r="L122" s="19">
        <f>IF(AND(ISNUMBER(H122),ISNUMBER(I122)),(I122-H122)*1440,"")</f>
        <v/>
      </c>
      <c r="M122" s="15">
        <f>IF(ISNUMBER(F122),HOUR(F122),"")</f>
        <v/>
      </c>
    </row>
    <row r="123" ht="15.75" customHeight="1" s="36">
      <c r="A123" s="2" t="n">
        <v>120</v>
      </c>
      <c r="B123" s="12" t="n">
        <v>46085</v>
      </c>
      <c r="C123" s="14" t="inlineStr">
        <is>
          <t>V-155</t>
        </is>
      </c>
      <c r="D123" s="14" t="inlineStr">
        <is>
          <t>Turno virtual</t>
        </is>
      </c>
      <c r="E123" s="14" t="inlineStr">
        <is>
          <t>N</t>
        </is>
      </c>
      <c r="F123" s="18" t="n">
        <v>0.6129508438541666</v>
      </c>
      <c r="G123" s="18" t="n">
        <v>0.6151580258680556</v>
      </c>
      <c r="H123" s="18" t="n">
        <v>0.6151927480902778</v>
      </c>
      <c r="I123" s="18" t="n">
        <v>0.6170908962384259</v>
      </c>
      <c r="J123" s="14" t="n">
        <v>3</v>
      </c>
      <c r="K123" s="19">
        <f>IF(AND(ISNUMBER(F123),ISNUMBER(G123)),(G123-F123)*1440,"")</f>
        <v/>
      </c>
      <c r="L123" s="19">
        <f>IF(AND(ISNUMBER(H123),ISNUMBER(I123)),(I123-H123)*1440,"")</f>
        <v/>
      </c>
      <c r="M123" s="15">
        <f>IF(ISNUMBER(F123),HOUR(F123),"")</f>
        <v/>
      </c>
    </row>
    <row r="124" ht="15.75" customHeight="1" s="36">
      <c r="A124" s="2" t="n">
        <v>121</v>
      </c>
      <c r="B124" s="12" t="n">
        <v>46085</v>
      </c>
      <c r="C124" s="14" t="inlineStr">
        <is>
          <t>P-132</t>
        </is>
      </c>
      <c r="D124" s="14" t="inlineStr">
        <is>
          <t>Pendientes</t>
        </is>
      </c>
      <c r="E124" s="14" t="inlineStr">
        <is>
          <t>N</t>
        </is>
      </c>
      <c r="F124" s="18" t="n">
        <v>0.6145536453819445</v>
      </c>
      <c r="G124" s="18" t="n">
        <v>0.6173482125347223</v>
      </c>
      <c r="H124" s="18" t="n">
        <v>0.6173829347569445</v>
      </c>
      <c r="I124" s="18" t="n">
        <v>0.6196746014236112</v>
      </c>
      <c r="J124" s="14" t="n">
        <v>2</v>
      </c>
      <c r="K124" s="19">
        <f>IF(AND(ISNUMBER(F124),ISNUMBER(G124)),(G124-F124)*1440,"")</f>
        <v/>
      </c>
      <c r="L124" s="19">
        <f>IF(AND(ISNUMBER(H124),ISNUMBER(I124)),(I124-H124)*1440,"")</f>
        <v/>
      </c>
      <c r="M124" s="15">
        <f>IF(ISNUMBER(F124),HOUR(F124),"")</f>
        <v/>
      </c>
    </row>
    <row r="125" ht="15.75" customHeight="1" s="36">
      <c r="A125" s="2" t="n">
        <v>122</v>
      </c>
      <c r="B125" s="12" t="n">
        <v>46085</v>
      </c>
      <c r="C125" s="14" t="inlineStr">
        <is>
          <t>P-140</t>
        </is>
      </c>
      <c r="D125" s="14" t="inlineStr">
        <is>
          <t>Pendientes</t>
        </is>
      </c>
      <c r="E125" s="14" t="inlineStr">
        <is>
          <t>N</t>
        </is>
      </c>
      <c r="F125" s="18" t="n">
        <v>0.6421087129398148</v>
      </c>
      <c r="G125" s="18" t="n">
        <v>0.6421087129398148</v>
      </c>
      <c r="H125" s="18" t="n">
        <v>0.642143435162037</v>
      </c>
      <c r="I125" s="18" t="n">
        <v>0.6442962129398148</v>
      </c>
      <c r="J125" s="14" t="n">
        <v>3</v>
      </c>
      <c r="K125" s="19">
        <f>IF(AND(ISNUMBER(F125),ISNUMBER(G125)),(G125-F125)*1440,"")</f>
        <v/>
      </c>
      <c r="L125" s="19">
        <f>IF(AND(ISNUMBER(H125),ISNUMBER(I125)),(I125-H125)*1440,"")</f>
        <v/>
      </c>
      <c r="M125" s="15">
        <f>IF(ISNUMBER(F125),HOUR(F125),"")</f>
        <v/>
      </c>
    </row>
    <row r="126" ht="15.75" customHeight="1" s="36">
      <c r="A126" s="2" t="n">
        <v>123</v>
      </c>
      <c r="B126" s="12" t="n">
        <v>46085</v>
      </c>
      <c r="C126" s="14" t="inlineStr">
        <is>
          <t>D-286</t>
        </is>
      </c>
      <c r="D126" s="14" t="inlineStr">
        <is>
          <t>Dispensación</t>
        </is>
      </c>
      <c r="E126" s="14" t="inlineStr">
        <is>
          <t>N</t>
        </is>
      </c>
      <c r="F126" s="18" t="n">
        <v>0.6528622221296296</v>
      </c>
      <c r="G126" s="18" t="n">
        <v>0.6528622221296296</v>
      </c>
      <c r="H126" s="18" t="n">
        <v>0.6529085184259259</v>
      </c>
      <c r="I126" s="18" t="n">
        <v>0.6540312036111111</v>
      </c>
      <c r="J126" s="14" t="n">
        <v>4</v>
      </c>
      <c r="K126" s="19">
        <f>IF(AND(ISNUMBER(F126),ISNUMBER(G126)),(G126-F126)*1440,"")</f>
        <v/>
      </c>
      <c r="L126" s="19">
        <f>IF(AND(ISNUMBER(H126),ISNUMBER(I126)),(I126-H126)*1440,"")</f>
        <v/>
      </c>
      <c r="M126" s="15">
        <f>IF(ISNUMBER(F126),HOUR(F126),"")</f>
        <v/>
      </c>
    </row>
    <row r="127" ht="15.75" customHeight="1" s="36">
      <c r="A127" s="2" t="n">
        <v>124</v>
      </c>
      <c r="B127" s="12" t="n">
        <v>46085</v>
      </c>
      <c r="C127" s="14" t="inlineStr">
        <is>
          <t>P-145</t>
        </is>
      </c>
      <c r="D127" s="14" t="inlineStr">
        <is>
          <t>Pendientes</t>
        </is>
      </c>
      <c r="E127" s="14" t="inlineStr">
        <is>
          <t>N</t>
        </is>
      </c>
      <c r="F127" s="18" t="n">
        <v>0.6612800276851851</v>
      </c>
      <c r="G127" s="18" t="n">
        <v>0.6612800276851851</v>
      </c>
      <c r="H127" s="18" t="n">
        <v>0.6613263239814815</v>
      </c>
      <c r="I127" s="18" t="n">
        <v>0.6633865091666666</v>
      </c>
      <c r="J127" s="14" t="n">
        <v>4</v>
      </c>
      <c r="K127" s="19">
        <f>IF(AND(ISNUMBER(F127),ISNUMBER(G127)),(G127-F127)*1440,"")</f>
        <v/>
      </c>
      <c r="L127" s="19">
        <f>IF(AND(ISNUMBER(H127),ISNUMBER(I127)),(I127-H127)*1440,"")</f>
        <v/>
      </c>
      <c r="M127" s="15">
        <f>IF(ISNUMBER(F127),HOUR(F127),"")</f>
        <v/>
      </c>
    </row>
    <row r="128" ht="15.75" customHeight="1" s="36">
      <c r="A128" s="2" t="n">
        <v>125</v>
      </c>
      <c r="B128" s="12" t="n">
        <v>46085</v>
      </c>
      <c r="C128" s="14" t="inlineStr">
        <is>
          <t>V-184</t>
        </is>
      </c>
      <c r="D128" s="14" t="inlineStr">
        <is>
          <t>Turno virtual</t>
        </is>
      </c>
      <c r="E128" s="14" t="inlineStr">
        <is>
          <t>N</t>
        </is>
      </c>
      <c r="F128" s="18" t="n">
        <v>0.691670853287037</v>
      </c>
      <c r="G128" s="18" t="n">
        <v>0.691670853287037</v>
      </c>
      <c r="H128" s="18" t="n">
        <v>0.6917171495833334</v>
      </c>
      <c r="I128" s="18" t="n">
        <v>0.6926430755092593</v>
      </c>
      <c r="J128" s="14" t="n">
        <v>1</v>
      </c>
      <c r="K128" s="19">
        <f>IF(AND(ISNUMBER(F128),ISNUMBER(G128)),(G128-F128)*1440,"")</f>
        <v/>
      </c>
      <c r="L128" s="19">
        <f>IF(AND(ISNUMBER(H128),ISNUMBER(I128)),(I128-H128)*1440,"")</f>
        <v/>
      </c>
      <c r="M128" s="15">
        <f>IF(ISNUMBER(F128),HOUR(F128),"")</f>
        <v/>
      </c>
    </row>
    <row r="129" ht="15.75" customHeight="1" s="36">
      <c r="A129" s="2" t="n">
        <v>126</v>
      </c>
      <c r="B129" s="12" t="n">
        <v>46085</v>
      </c>
      <c r="C129" s="14" t="inlineStr">
        <is>
          <t>P-150</t>
        </is>
      </c>
      <c r="D129" s="14" t="inlineStr">
        <is>
          <t>Pendientes</t>
        </is>
      </c>
      <c r="E129" s="14" t="inlineStr">
        <is>
          <t>N</t>
        </is>
      </c>
      <c r="F129" s="18" t="n">
        <v>0.706692297037037</v>
      </c>
      <c r="G129" s="18" t="n">
        <v>0.706692297037037</v>
      </c>
      <c r="H129" s="18" t="n">
        <v>0.7067038711111111</v>
      </c>
      <c r="I129" s="18" t="n">
        <v>0.7072131303703704</v>
      </c>
      <c r="J129" s="14" t="n">
        <v>4</v>
      </c>
      <c r="K129" s="19">
        <f>IF(AND(ISNUMBER(F129),ISNUMBER(G129)),(G129-F129)*1440,"")</f>
        <v/>
      </c>
      <c r="L129" s="19">
        <f>IF(AND(ISNUMBER(H129),ISNUMBER(I129)),(I129-H129)*1440,"")</f>
        <v/>
      </c>
      <c r="M129" s="15">
        <f>IF(ISNUMBER(F129),HOUR(F129),"")</f>
        <v/>
      </c>
    </row>
    <row r="130" ht="15.75" customHeight="1" s="36">
      <c r="A130" s="2" t="n">
        <v>127</v>
      </c>
      <c r="B130" s="12" t="n">
        <v>46086</v>
      </c>
      <c r="C130" s="14" t="inlineStr">
        <is>
          <t>P-002</t>
        </is>
      </c>
      <c r="D130" s="14" t="inlineStr">
        <is>
          <t>Pendientes</t>
        </is>
      </c>
      <c r="E130" s="14" t="inlineStr">
        <is>
          <t>N</t>
        </is>
      </c>
      <c r="F130" s="18" t="n">
        <v>0.2967618011111111</v>
      </c>
      <c r="G130" s="18" t="n">
        <v>0.299189371099537</v>
      </c>
      <c r="H130" s="18" t="n">
        <v>0.2992009451736111</v>
      </c>
      <c r="I130" s="18" t="n">
        <v>0.3016199266550926</v>
      </c>
      <c r="J130" s="14" t="n">
        <v>3</v>
      </c>
      <c r="K130" s="19">
        <f>IF(AND(ISNUMBER(F130),ISNUMBER(G130)),(G130-F130)*1440,"")</f>
        <v/>
      </c>
      <c r="L130" s="19">
        <f>IF(AND(ISNUMBER(H130),ISNUMBER(I130)),(I130-H130)*1440,"")</f>
        <v/>
      </c>
      <c r="M130" s="15">
        <f>IF(ISNUMBER(F130),HOUR(F130),"")</f>
        <v/>
      </c>
    </row>
    <row r="131" ht="15.75" customHeight="1" s="36">
      <c r="A131" s="2" t="n">
        <v>128</v>
      </c>
      <c r="B131" s="12" t="n">
        <v>46086</v>
      </c>
      <c r="C131" s="14" t="inlineStr">
        <is>
          <t>D-023</t>
        </is>
      </c>
      <c r="D131" s="14" t="inlineStr">
        <is>
          <t>Dispensación</t>
        </is>
      </c>
      <c r="E131" s="14" t="inlineStr">
        <is>
          <t>N</t>
        </is>
      </c>
      <c r="F131" s="18" t="n">
        <v>0.3113707740740741</v>
      </c>
      <c r="G131" s="18" t="n">
        <v>0.3162022018865741</v>
      </c>
      <c r="H131" s="18" t="n">
        <v>0.3162484981828704</v>
      </c>
      <c r="I131" s="18" t="n">
        <v>0.3187832204050926</v>
      </c>
      <c r="J131" s="14" t="n">
        <v>1</v>
      </c>
      <c r="K131" s="19">
        <f>IF(AND(ISNUMBER(F131),ISNUMBER(G131)),(G131-F131)*1440,"")</f>
        <v/>
      </c>
      <c r="L131" s="19">
        <f>IF(AND(ISNUMBER(H131),ISNUMBER(I131)),(I131-H131)*1440,"")</f>
        <v/>
      </c>
      <c r="M131" s="15">
        <f>IF(ISNUMBER(F131),HOUR(F131),"")</f>
        <v/>
      </c>
    </row>
    <row r="132" ht="15.75" customHeight="1" s="36">
      <c r="A132" s="2" t="n">
        <v>129</v>
      </c>
      <c r="B132" s="12" t="n">
        <v>46086</v>
      </c>
      <c r="C132" s="14" t="inlineStr">
        <is>
          <t>D-024</t>
        </is>
      </c>
      <c r="D132" s="14" t="inlineStr">
        <is>
          <t>Dispensación</t>
        </is>
      </c>
      <c r="E132" s="14" t="inlineStr">
        <is>
          <t>N</t>
        </is>
      </c>
      <c r="F132" s="18" t="n">
        <v>0.3124323075578704</v>
      </c>
      <c r="G132" s="18" t="n">
        <v>0.3167735528125</v>
      </c>
      <c r="H132" s="18" t="n">
        <v>0.3168082750347222</v>
      </c>
      <c r="I132" s="18" t="n">
        <v>0.3177689231828704</v>
      </c>
      <c r="J132" s="14" t="n">
        <v>2</v>
      </c>
      <c r="K132" s="19">
        <f>IF(AND(ISNUMBER(F132),ISNUMBER(G132)),(G132-F132)*1440,"")</f>
        <v/>
      </c>
      <c r="L132" s="19">
        <f>IF(AND(ISNUMBER(H132),ISNUMBER(I132)),(I132-H132)*1440,"")</f>
        <v/>
      </c>
      <c r="M132" s="15">
        <f>IF(ISNUMBER(F132),HOUR(F132),"")</f>
        <v/>
      </c>
    </row>
    <row r="133" ht="15.75" customHeight="1" s="36">
      <c r="A133" s="2" t="n">
        <v>130</v>
      </c>
      <c r="B133" s="12" t="n">
        <v>46086</v>
      </c>
      <c r="C133" s="14" t="inlineStr">
        <is>
          <t>V-018</t>
        </is>
      </c>
      <c r="D133" s="14" t="inlineStr">
        <is>
          <t>Turno virtual</t>
        </is>
      </c>
      <c r="E133" s="14" t="inlineStr">
        <is>
          <t>N</t>
        </is>
      </c>
      <c r="F133" s="18" t="n">
        <v>0.3140727509953704</v>
      </c>
      <c r="G133" s="18" t="n">
        <v>0.3187832204050926</v>
      </c>
      <c r="H133" s="18" t="n">
        <v>0.3188295167013889</v>
      </c>
      <c r="I133" s="18" t="n">
        <v>0.320091090775463</v>
      </c>
      <c r="J133" s="14" t="n">
        <v>1</v>
      </c>
      <c r="K133" s="19">
        <f>IF(AND(ISNUMBER(F133),ISNUMBER(G133)),(G133-F133)*1440,"")</f>
        <v/>
      </c>
      <c r="L133" s="19">
        <f>IF(AND(ISNUMBER(H133),ISNUMBER(I133)),(I133-H133)*1440,"")</f>
        <v/>
      </c>
      <c r="M133" s="15">
        <f>IF(ISNUMBER(F133),HOUR(F133),"")</f>
        <v/>
      </c>
    </row>
    <row r="134" ht="15.75" customHeight="1" s="36">
      <c r="A134" s="2" t="n">
        <v>131</v>
      </c>
      <c r="B134" s="12" t="n">
        <v>46086</v>
      </c>
      <c r="C134" s="14" t="inlineStr">
        <is>
          <t>P-016</t>
        </is>
      </c>
      <c r="D134" s="14" t="inlineStr">
        <is>
          <t>Pendientes</t>
        </is>
      </c>
      <c r="E134" s="14" t="inlineStr">
        <is>
          <t>N</t>
        </is>
      </c>
      <c r="F134" s="18" t="n">
        <v>0.3209163780324074</v>
      </c>
      <c r="G134" s="18" t="n">
        <v>0.3270818315162037</v>
      </c>
      <c r="H134" s="18" t="n">
        <v>0.3271049796643519</v>
      </c>
      <c r="I134" s="18" t="n">
        <v>0.3288295167013889</v>
      </c>
      <c r="J134" s="14" t="n">
        <v>1</v>
      </c>
      <c r="K134" s="19">
        <f>IF(AND(ISNUMBER(F134),ISNUMBER(G134)),(G134-F134)*1440,"")</f>
        <v/>
      </c>
      <c r="L134" s="19">
        <f>IF(AND(ISNUMBER(H134),ISNUMBER(I134)),(I134-H134)*1440,"")</f>
        <v/>
      </c>
      <c r="M134" s="15">
        <f>IF(ISNUMBER(F134),HOUR(F134),"")</f>
        <v/>
      </c>
    </row>
    <row r="135" ht="15.75" customHeight="1" s="36">
      <c r="A135" s="2" t="n">
        <v>132</v>
      </c>
      <c r="B135" s="12" t="n">
        <v>46086</v>
      </c>
      <c r="C135" s="14" t="inlineStr">
        <is>
          <t>P-019</t>
        </is>
      </c>
      <c r="D135" s="14" t="inlineStr">
        <is>
          <t>Pendientes</t>
        </is>
      </c>
      <c r="E135" s="14" t="inlineStr">
        <is>
          <t>N</t>
        </is>
      </c>
      <c r="F135" s="18" t="n">
        <v>0.3272212413541666</v>
      </c>
      <c r="G135" s="18" t="n">
        <v>0.3318966463310185</v>
      </c>
      <c r="H135" s="18" t="n">
        <v>0.3319082204050926</v>
      </c>
      <c r="I135" s="18" t="n">
        <v>0.3330077574421296</v>
      </c>
      <c r="J135" s="14" t="n">
        <v>1</v>
      </c>
      <c r="K135" s="19">
        <f>IF(AND(ISNUMBER(F135),ISNUMBER(G135)),(G135-F135)*1440,"")</f>
        <v/>
      </c>
      <c r="L135" s="19">
        <f>IF(AND(ISNUMBER(H135),ISNUMBER(I135)),(I135-H135)*1440,"")</f>
        <v/>
      </c>
      <c r="M135" s="15">
        <f>IF(ISNUMBER(F135),HOUR(F135),"")</f>
        <v/>
      </c>
    </row>
    <row r="136" ht="15.75" customHeight="1" s="36">
      <c r="A136" s="2" t="n">
        <v>133</v>
      </c>
      <c r="B136" s="12" t="n">
        <v>46086</v>
      </c>
      <c r="C136" s="14" t="inlineStr">
        <is>
          <t>D-049</t>
        </is>
      </c>
      <c r="D136" s="14" t="inlineStr">
        <is>
          <t>Dispensación</t>
        </is>
      </c>
      <c r="E136" s="14" t="inlineStr">
        <is>
          <t>N</t>
        </is>
      </c>
      <c r="F136" s="18" t="n">
        <v>0.3334700409953704</v>
      </c>
      <c r="G136" s="18" t="n">
        <v>0.3386222414699074</v>
      </c>
      <c r="H136" s="18" t="n">
        <v>0.3386338155439815</v>
      </c>
      <c r="I136" s="18" t="n">
        <v>0.3411569636921296</v>
      </c>
      <c r="J136" s="14" t="n">
        <v>3</v>
      </c>
      <c r="K136" s="19">
        <f>IF(AND(ISNUMBER(F136),ISNUMBER(G136)),(G136-F136)*1440,"")</f>
        <v/>
      </c>
      <c r="L136" s="19">
        <f>IF(AND(ISNUMBER(H136),ISNUMBER(I136)),(I136-H136)*1440,"")</f>
        <v/>
      </c>
      <c r="M136" s="15">
        <f>IF(ISNUMBER(F136),HOUR(F136),"")</f>
        <v/>
      </c>
    </row>
    <row r="137" ht="15.75" customHeight="1" s="36">
      <c r="A137" s="2" t="n">
        <v>134</v>
      </c>
      <c r="B137" s="12" t="n">
        <v>46086</v>
      </c>
      <c r="C137" s="14" t="inlineStr">
        <is>
          <t>D-055</t>
        </is>
      </c>
      <c r="D137" s="14" t="inlineStr">
        <is>
          <t>Dispensación</t>
        </is>
      </c>
      <c r="E137" s="14" t="inlineStr">
        <is>
          <t>N</t>
        </is>
      </c>
      <c r="F137" s="18" t="n">
        <v>0.3357727852083333</v>
      </c>
      <c r="G137" s="18" t="n">
        <v>0.3448364611458333</v>
      </c>
      <c r="H137" s="18" t="n">
        <v>0.3448711833680556</v>
      </c>
      <c r="I137" s="18" t="n">
        <v>0.3484012759606482</v>
      </c>
      <c r="J137" s="14" t="n">
        <v>1</v>
      </c>
      <c r="K137" s="19">
        <f>IF(AND(ISNUMBER(F137),ISNUMBER(G137)),(G137-F137)*1440,"")</f>
        <v/>
      </c>
      <c r="L137" s="19">
        <f>IF(AND(ISNUMBER(H137),ISNUMBER(I137)),(I137-H137)*1440,"")</f>
        <v/>
      </c>
      <c r="M137" s="15">
        <f>IF(ISNUMBER(F137),HOUR(F137),"")</f>
        <v/>
      </c>
    </row>
    <row r="138" ht="15.75" customHeight="1" s="36">
      <c r="A138" s="2" t="n">
        <v>135</v>
      </c>
      <c r="B138" s="12" t="n">
        <v>46086</v>
      </c>
      <c r="C138" s="14" t="inlineStr">
        <is>
          <t>D-073</t>
        </is>
      </c>
      <c r="D138" s="14" t="inlineStr">
        <is>
          <t>Dispensación</t>
        </is>
      </c>
      <c r="E138" s="14" t="inlineStr">
        <is>
          <t>N</t>
        </is>
      </c>
      <c r="F138" s="18" t="n">
        <v>0.3425096148263889</v>
      </c>
      <c r="G138" s="18" t="n">
        <v>0.3579509451736111</v>
      </c>
      <c r="H138" s="18" t="n">
        <v>0.3579972414699074</v>
      </c>
      <c r="I138" s="18" t="n">
        <v>0.3599416859143518</v>
      </c>
      <c r="J138" s="14" t="n">
        <v>3</v>
      </c>
      <c r="K138" s="19">
        <f>IF(AND(ISNUMBER(F138),ISNUMBER(G138)),(G138-F138)*1440,"")</f>
        <v/>
      </c>
      <c r="L138" s="19">
        <f>IF(AND(ISNUMBER(H138),ISNUMBER(I138)),(I138-H138)*1440,"")</f>
        <v/>
      </c>
      <c r="M138" s="15">
        <f>IF(ISNUMBER(F138),HOUR(F138),"")</f>
        <v/>
      </c>
    </row>
    <row r="139" ht="15.75" customHeight="1" s="36">
      <c r="A139" s="2" t="n">
        <v>136</v>
      </c>
      <c r="B139" s="12" t="n">
        <v>46086</v>
      </c>
      <c r="C139" s="14" t="inlineStr">
        <is>
          <t>V-035</t>
        </is>
      </c>
      <c r="D139" s="14" t="inlineStr">
        <is>
          <t>Turno virtual</t>
        </is>
      </c>
      <c r="E139" s="14" t="inlineStr">
        <is>
          <t>N</t>
        </is>
      </c>
      <c r="F139" s="18" t="n">
        <v>0.3443731227199074</v>
      </c>
      <c r="G139" s="18" t="n">
        <v>0.3621347624537037</v>
      </c>
      <c r="H139" s="18" t="n">
        <v>0.3621694846759259</v>
      </c>
      <c r="I139" s="18" t="n">
        <v>0.3655838365277778</v>
      </c>
      <c r="J139" s="14" t="n">
        <v>4</v>
      </c>
      <c r="K139" s="19">
        <f>IF(AND(ISNUMBER(F139),ISNUMBER(G139)),(G139-F139)*1440,"")</f>
        <v/>
      </c>
      <c r="L139" s="19">
        <f>IF(AND(ISNUMBER(H139),ISNUMBER(I139)),(I139-H139)*1440,"")</f>
        <v/>
      </c>
      <c r="M139" s="15">
        <f>IF(ISNUMBER(F139),HOUR(F139),"")</f>
        <v/>
      </c>
    </row>
    <row r="140" ht="15.75" customHeight="1" s="36">
      <c r="A140" s="2" t="n">
        <v>137</v>
      </c>
      <c r="B140" s="12" t="n">
        <v>46086</v>
      </c>
      <c r="C140" s="14" t="inlineStr">
        <is>
          <t>V-039</t>
        </is>
      </c>
      <c r="D140" s="14" t="inlineStr">
        <is>
          <t>Turno virtual</t>
        </is>
      </c>
      <c r="E140" s="14" t="inlineStr">
        <is>
          <t>N</t>
        </is>
      </c>
      <c r="F140" s="18" t="n">
        <v>0.3482216737731482</v>
      </c>
      <c r="G140" s="18" t="n">
        <v>0.3715304972569444</v>
      </c>
      <c r="H140" s="18" t="n">
        <v>0.3715420713310185</v>
      </c>
      <c r="I140" s="18" t="n">
        <v>0.3728962379976852</v>
      </c>
      <c r="J140" s="14" t="n">
        <v>2</v>
      </c>
      <c r="K140" s="19">
        <f>IF(AND(ISNUMBER(F140),ISNUMBER(G140)),(G140-F140)*1440,"")</f>
        <v/>
      </c>
      <c r="L140" s="19">
        <f>IF(AND(ISNUMBER(H140),ISNUMBER(I140)),(I140-H140)*1440,"")</f>
        <v/>
      </c>
      <c r="M140" s="15">
        <f>IF(ISNUMBER(F140),HOUR(F140),"")</f>
        <v/>
      </c>
    </row>
    <row r="141" ht="15.75" customHeight="1" s="36">
      <c r="A141" s="2" t="n">
        <v>138</v>
      </c>
      <c r="B141" s="12" t="n">
        <v>46086</v>
      </c>
      <c r="C141" s="14" t="inlineStr">
        <is>
          <t>P-040</t>
        </is>
      </c>
      <c r="D141" s="14" t="inlineStr">
        <is>
          <t>Pendientes</t>
        </is>
      </c>
      <c r="E141" s="14" t="inlineStr">
        <is>
          <t>N</t>
        </is>
      </c>
      <c r="F141" s="18" t="n">
        <v>0.3646780915856481</v>
      </c>
      <c r="G141" s="18" t="n">
        <v>0.3902531278125</v>
      </c>
      <c r="H141" s="18" t="n">
        <v>0.390264701886574</v>
      </c>
      <c r="I141" s="18" t="n">
        <v>0.3940262759606481</v>
      </c>
      <c r="J141" s="14" t="n">
        <v>1</v>
      </c>
      <c r="K141" s="19">
        <f>IF(AND(ISNUMBER(F141),ISNUMBER(G141)),(G141-F141)*1440,"")</f>
        <v/>
      </c>
      <c r="L141" s="19">
        <f>IF(AND(ISNUMBER(H141),ISNUMBER(I141)),(I141-H141)*1440,"")</f>
        <v/>
      </c>
      <c r="M141" s="15">
        <f>IF(ISNUMBER(F141),HOUR(F141),"")</f>
        <v/>
      </c>
    </row>
    <row r="142" ht="15.75" customHeight="1" s="36">
      <c r="A142" s="2" t="n">
        <v>139</v>
      </c>
      <c r="B142" s="12" t="n">
        <v>46086</v>
      </c>
      <c r="C142" s="14" t="inlineStr">
        <is>
          <t>D-104</t>
        </is>
      </c>
      <c r="D142" s="14" t="inlineStr">
        <is>
          <t>Dispensación</t>
        </is>
      </c>
      <c r="E142" s="14" t="inlineStr">
        <is>
          <t>N</t>
        </is>
      </c>
      <c r="F142" s="18" t="n">
        <v>0.374409520474537</v>
      </c>
      <c r="G142" s="18" t="n">
        <v>0.3993861303587963</v>
      </c>
      <c r="H142" s="18" t="n">
        <v>0.3993977044328704</v>
      </c>
      <c r="I142" s="18" t="n">
        <v>0.4007634451736111</v>
      </c>
      <c r="J142" s="14" t="n">
        <v>3</v>
      </c>
      <c r="K142" s="19">
        <f>IF(AND(ISNUMBER(F142),ISNUMBER(G142)),(G142-F142)*1440,"")</f>
        <v/>
      </c>
      <c r="L142" s="19">
        <f>IF(AND(ISNUMBER(H142),ISNUMBER(I142)),(I142-H142)*1440,"")</f>
        <v/>
      </c>
      <c r="M142" s="15">
        <f>IF(ISNUMBER(F142),HOUR(F142),"")</f>
        <v/>
      </c>
    </row>
    <row r="143" ht="15.75" customHeight="1" s="36">
      <c r="A143" s="2" t="n">
        <v>140</v>
      </c>
      <c r="B143" s="12" t="n">
        <v>46086</v>
      </c>
      <c r="C143" s="14" t="inlineStr">
        <is>
          <t>P-051</t>
        </is>
      </c>
      <c r="D143" s="14" t="inlineStr">
        <is>
          <t>Pendientes</t>
        </is>
      </c>
      <c r="E143" s="14" t="inlineStr">
        <is>
          <t>S</t>
        </is>
      </c>
      <c r="F143" s="18" t="n">
        <v>0.3831924807175926</v>
      </c>
      <c r="G143" s="18" t="n">
        <v>0.3833707750347223</v>
      </c>
      <c r="H143" s="18" t="n">
        <v>0.3833939231828704</v>
      </c>
      <c r="I143" s="18" t="n">
        <v>0.3866809602199074</v>
      </c>
      <c r="J143" s="14" t="n">
        <v>2</v>
      </c>
      <c r="K143" s="19">
        <f>IF(AND(ISNUMBER(F143),ISNUMBER(G143)),(G143-F143)*1440,"")</f>
        <v/>
      </c>
      <c r="L143" s="19">
        <f>IF(AND(ISNUMBER(H143),ISNUMBER(I143)),(I143-H143)*1440,"")</f>
        <v/>
      </c>
      <c r="M143" s="15">
        <f>IF(ISNUMBER(F143),HOUR(F143),"")</f>
        <v/>
      </c>
    </row>
    <row r="144" ht="15.75" customHeight="1" s="36">
      <c r="A144" s="2" t="n">
        <v>141</v>
      </c>
      <c r="B144" s="12" t="n">
        <v>46086</v>
      </c>
      <c r="C144" s="14" t="inlineStr">
        <is>
          <t>D-113</t>
        </is>
      </c>
      <c r="D144" s="14" t="inlineStr">
        <is>
          <t>Dispensación</t>
        </is>
      </c>
      <c r="E144" s="14" t="inlineStr">
        <is>
          <t>N</t>
        </is>
      </c>
      <c r="F144" s="18" t="n">
        <v>0.3860194016782408</v>
      </c>
      <c r="G144" s="18" t="n">
        <v>0.4125795167013889</v>
      </c>
      <c r="H144" s="18" t="n">
        <v>0.4126142389236111</v>
      </c>
      <c r="I144" s="18" t="n">
        <v>0.4140957204050926</v>
      </c>
      <c r="J144" s="14" t="n">
        <v>1</v>
      </c>
      <c r="K144" s="19">
        <f>IF(AND(ISNUMBER(F144),ISNUMBER(G144)),(G144-F144)*1440,"")</f>
        <v/>
      </c>
      <c r="L144" s="19">
        <f>IF(AND(ISNUMBER(H144),ISNUMBER(I144)),(I144-H144)*1440,"")</f>
        <v/>
      </c>
      <c r="M144" s="15">
        <f>IF(ISNUMBER(F144),HOUR(F144),"")</f>
        <v/>
      </c>
    </row>
    <row r="145" ht="15.75" customHeight="1" s="36">
      <c r="A145" s="2" t="n">
        <v>142</v>
      </c>
      <c r="B145" s="12" t="n">
        <v>46086</v>
      </c>
      <c r="C145" s="14" t="inlineStr">
        <is>
          <t>D-123</t>
        </is>
      </c>
      <c r="D145" s="14" t="inlineStr">
        <is>
          <t>Dispensación</t>
        </is>
      </c>
      <c r="E145" s="14" t="inlineStr">
        <is>
          <t>N</t>
        </is>
      </c>
      <c r="F145" s="18" t="n">
        <v>0.3992966041666667</v>
      </c>
      <c r="G145" s="18" t="n">
        <v>0.4238824476388889</v>
      </c>
      <c r="H145" s="18" t="n">
        <v>0.423894021712963</v>
      </c>
      <c r="I145" s="18" t="n">
        <v>0.4277829106018519</v>
      </c>
      <c r="J145" s="14" t="n">
        <v>4</v>
      </c>
      <c r="K145" s="19">
        <f>IF(AND(ISNUMBER(F145),ISNUMBER(G145)),(G145-F145)*1440,"")</f>
        <v/>
      </c>
      <c r="L145" s="19">
        <f>IF(AND(ISNUMBER(H145),ISNUMBER(I145)),(I145-H145)*1440,"")</f>
        <v/>
      </c>
      <c r="M145" s="15">
        <f>IF(ISNUMBER(F145),HOUR(F145),"")</f>
        <v/>
      </c>
    </row>
    <row r="146" ht="15.75" customHeight="1" s="36">
      <c r="A146" s="2" t="n">
        <v>143</v>
      </c>
      <c r="B146" s="12" t="n">
        <v>46086</v>
      </c>
      <c r="C146" s="14" t="inlineStr">
        <is>
          <t>V-075</t>
        </is>
      </c>
      <c r="D146" s="14" t="inlineStr">
        <is>
          <t>Turno virtual</t>
        </is>
      </c>
      <c r="E146" s="14" t="inlineStr">
        <is>
          <t>N</t>
        </is>
      </c>
      <c r="F146" s="18" t="n">
        <v>0.3997176272106481</v>
      </c>
      <c r="G146" s="18" t="n">
        <v>0.4248722414699074</v>
      </c>
      <c r="H146" s="18" t="n">
        <v>0.4248953896180556</v>
      </c>
      <c r="I146" s="18" t="n">
        <v>0.4266315007291667</v>
      </c>
      <c r="J146" s="14" t="n">
        <v>3</v>
      </c>
      <c r="K146" s="19">
        <f>IF(AND(ISNUMBER(F146),ISNUMBER(G146)),(G146-F146)*1440,"")</f>
        <v/>
      </c>
      <c r="L146" s="19">
        <f>IF(AND(ISNUMBER(H146),ISNUMBER(I146)),(I146-H146)*1440,"")</f>
        <v/>
      </c>
      <c r="M146" s="15">
        <f>IF(ISNUMBER(F146),HOUR(F146),"")</f>
        <v/>
      </c>
    </row>
    <row r="147" ht="15.75" customHeight="1" s="36">
      <c r="A147" s="2" t="n">
        <v>144</v>
      </c>
      <c r="B147" s="12" t="n">
        <v>46086</v>
      </c>
      <c r="C147" s="14" t="inlineStr">
        <is>
          <t>D-125</t>
        </is>
      </c>
      <c r="D147" s="14" t="inlineStr">
        <is>
          <t>Dispensación</t>
        </is>
      </c>
      <c r="E147" s="14" t="inlineStr">
        <is>
          <t>N</t>
        </is>
      </c>
      <c r="F147" s="18" t="n">
        <v>0.4003008782870371</v>
      </c>
      <c r="G147" s="18" t="n">
        <v>0.4250910907754629</v>
      </c>
      <c r="H147" s="18" t="n">
        <v>0.4251142389236111</v>
      </c>
      <c r="I147" s="18" t="n">
        <v>0.4270702574421296</v>
      </c>
      <c r="J147" s="14" t="n">
        <v>1</v>
      </c>
      <c r="K147" s="19">
        <f>IF(AND(ISNUMBER(F147),ISNUMBER(G147)),(G147-F147)*1440,"")</f>
        <v/>
      </c>
      <c r="L147" s="19">
        <f>IF(AND(ISNUMBER(H147),ISNUMBER(I147)),(I147-H147)*1440,"")</f>
        <v/>
      </c>
      <c r="M147" s="15">
        <f>IF(ISNUMBER(F147),HOUR(F147),"")</f>
        <v/>
      </c>
    </row>
    <row r="148" ht="15.75" customHeight="1" s="36">
      <c r="A148" s="2" t="n">
        <v>145</v>
      </c>
      <c r="B148" s="12" t="n">
        <v>46086</v>
      </c>
      <c r="C148" s="14" t="inlineStr">
        <is>
          <t>D-128</t>
        </is>
      </c>
      <c r="D148" s="14" t="inlineStr">
        <is>
          <t>Dispensación</t>
        </is>
      </c>
      <c r="E148" s="14" t="inlineStr">
        <is>
          <t>N</t>
        </is>
      </c>
      <c r="F148" s="18" t="n">
        <v>0.404362194375</v>
      </c>
      <c r="G148" s="18" t="n">
        <v>0.4277762759606481</v>
      </c>
      <c r="H148" s="18" t="n">
        <v>0.4277994241087963</v>
      </c>
      <c r="I148" s="18" t="n">
        <v>0.4308202574421296</v>
      </c>
      <c r="J148" s="14" t="n">
        <v>1</v>
      </c>
      <c r="K148" s="19">
        <f>IF(AND(ISNUMBER(F148),ISNUMBER(G148)),(G148-F148)*1440,"")</f>
        <v/>
      </c>
      <c r="L148" s="19">
        <f>IF(AND(ISNUMBER(H148),ISNUMBER(I148)),(I148-H148)*1440,"")</f>
        <v/>
      </c>
      <c r="M148" s="15">
        <f>IF(ISNUMBER(F148),HOUR(F148),"")</f>
        <v/>
      </c>
    </row>
    <row r="149" ht="15.75" customHeight="1" s="36">
      <c r="A149" s="2" t="n">
        <v>146</v>
      </c>
      <c r="B149" s="12" t="n">
        <v>46086</v>
      </c>
      <c r="C149" s="14" t="inlineStr">
        <is>
          <t>V-089</t>
        </is>
      </c>
      <c r="D149" s="14" t="inlineStr">
        <is>
          <t>Turno virtual</t>
        </is>
      </c>
      <c r="E149" s="14" t="inlineStr">
        <is>
          <t>N</t>
        </is>
      </c>
      <c r="F149" s="18" t="n">
        <v>0.420587793449074</v>
      </c>
      <c r="G149" s="18" t="n">
        <v>0.455115297025463</v>
      </c>
      <c r="H149" s="18" t="n">
        <v>0.4551500192476852</v>
      </c>
      <c r="I149" s="18" t="n">
        <v>0.4578352044328704</v>
      </c>
      <c r="J149" s="14" t="n">
        <v>3</v>
      </c>
      <c r="K149" s="19">
        <f>IF(AND(ISNUMBER(F149),ISNUMBER(G149)),(G149-F149)*1440,"")</f>
        <v/>
      </c>
      <c r="L149" s="19">
        <f>IF(AND(ISNUMBER(H149),ISNUMBER(I149)),(I149-H149)*1440,"")</f>
        <v/>
      </c>
      <c r="M149" s="15">
        <f>IF(ISNUMBER(F149),HOUR(F149),"")</f>
        <v/>
      </c>
    </row>
    <row r="150" ht="15.75" customHeight="1" s="36">
      <c r="A150" s="2" t="n">
        <v>147</v>
      </c>
      <c r="B150" s="12" t="n">
        <v>46086</v>
      </c>
      <c r="C150" s="14" t="inlineStr">
        <is>
          <t>P-071</t>
        </is>
      </c>
      <c r="D150" s="14" t="inlineStr">
        <is>
          <t>Pendientes</t>
        </is>
      </c>
      <c r="E150" s="14" t="inlineStr">
        <is>
          <t>N</t>
        </is>
      </c>
      <c r="F150" s="18" t="n">
        <v>0.4251165026157407</v>
      </c>
      <c r="G150" s="18" t="n">
        <v>0.4592240933217593</v>
      </c>
      <c r="H150" s="18" t="n">
        <v>0.4592356673958334</v>
      </c>
      <c r="I150" s="18" t="n">
        <v>0.4596176118402778</v>
      </c>
      <c r="J150" s="14" t="n">
        <v>3</v>
      </c>
      <c r="K150" s="19">
        <f>IF(AND(ISNUMBER(F150),ISNUMBER(G150)),(G150-F150)*1440,"")</f>
        <v/>
      </c>
      <c r="L150" s="19">
        <f>IF(AND(ISNUMBER(H150),ISNUMBER(I150)),(I150-H150)*1440,"")</f>
        <v/>
      </c>
      <c r="M150" s="15">
        <f>IF(ISNUMBER(F150),HOUR(F150),"")</f>
        <v/>
      </c>
    </row>
    <row r="151" ht="15.75" customHeight="1" s="36">
      <c r="A151" s="2" t="n">
        <v>148</v>
      </c>
      <c r="B151" s="12" t="n">
        <v>46086</v>
      </c>
      <c r="C151" s="14" t="inlineStr">
        <is>
          <t>D-167</t>
        </is>
      </c>
      <c r="D151" s="14" t="inlineStr">
        <is>
          <t>Dispensación</t>
        </is>
      </c>
      <c r="E151" s="14" t="inlineStr">
        <is>
          <t>N</t>
        </is>
      </c>
      <c r="F151" s="18" t="n">
        <v>0.4462160481481481</v>
      </c>
      <c r="G151" s="18" t="n">
        <v>0.4773406824421297</v>
      </c>
      <c r="H151" s="18" t="n">
        <v>0.4773754046643519</v>
      </c>
      <c r="I151" s="18" t="n">
        <v>0.4777573491087963</v>
      </c>
      <c r="J151" s="14" t="n">
        <v>2</v>
      </c>
      <c r="K151" s="19">
        <f>IF(AND(ISNUMBER(F151),ISNUMBER(G151)),(G151-F151)*1440,"")</f>
        <v/>
      </c>
      <c r="L151" s="19">
        <f>IF(AND(ISNUMBER(H151),ISNUMBER(I151)),(I151-H151)*1440,"")</f>
        <v/>
      </c>
      <c r="M151" s="15">
        <f>IF(ISNUMBER(F151),HOUR(F151),"")</f>
        <v/>
      </c>
    </row>
    <row r="152" ht="15.75" customHeight="1" s="36">
      <c r="A152" s="2" t="n">
        <v>149</v>
      </c>
      <c r="B152" s="12" t="n">
        <v>46086</v>
      </c>
      <c r="C152" s="14" t="inlineStr">
        <is>
          <t>P-086</t>
        </is>
      </c>
      <c r="D152" s="14" t="inlineStr">
        <is>
          <t>Pendientes</t>
        </is>
      </c>
      <c r="E152" s="14" t="inlineStr">
        <is>
          <t>N</t>
        </is>
      </c>
      <c r="F152" s="18" t="n">
        <v>0.4517203827546296</v>
      </c>
      <c r="G152" s="18" t="n">
        <v>0.4813873870717592</v>
      </c>
      <c r="H152" s="18" t="n">
        <v>0.4814336833680555</v>
      </c>
      <c r="I152" s="18" t="n">
        <v>0.4828341463310185</v>
      </c>
      <c r="J152" s="14" t="n">
        <v>1</v>
      </c>
      <c r="K152" s="19">
        <f>IF(AND(ISNUMBER(F152),ISNUMBER(G152)),(G152-F152)*1440,"")</f>
        <v/>
      </c>
      <c r="L152" s="19">
        <f>IF(AND(ISNUMBER(H152),ISNUMBER(I152)),(I152-H152)*1440,"")</f>
        <v/>
      </c>
      <c r="M152" s="15">
        <f>IF(ISNUMBER(F152),HOUR(F152),"")</f>
        <v/>
      </c>
    </row>
    <row r="153" ht="15.75" customHeight="1" s="36">
      <c r="A153" s="2" t="n">
        <v>150</v>
      </c>
      <c r="B153" s="12" t="n">
        <v>46086</v>
      </c>
      <c r="C153" s="14" t="inlineStr">
        <is>
          <t>V-107</t>
        </is>
      </c>
      <c r="D153" s="14" t="inlineStr">
        <is>
          <t>Turno virtual</t>
        </is>
      </c>
      <c r="E153" s="14" t="inlineStr">
        <is>
          <t>N</t>
        </is>
      </c>
      <c r="F153" s="18" t="n">
        <v>0.4601915791319444</v>
      </c>
      <c r="G153" s="18" t="n">
        <v>0.4845074476388889</v>
      </c>
      <c r="H153" s="18" t="n">
        <v>0.4845305957870371</v>
      </c>
      <c r="I153" s="18" t="n">
        <v>0.4860352254166667</v>
      </c>
      <c r="J153" s="14" t="n">
        <v>4</v>
      </c>
      <c r="K153" s="19">
        <f>IF(AND(ISNUMBER(F153),ISNUMBER(G153)),(G153-F153)*1440,"")</f>
        <v/>
      </c>
      <c r="L153" s="19">
        <f>IF(AND(ISNUMBER(H153),ISNUMBER(I153)),(I153-H153)*1440,"")</f>
        <v/>
      </c>
      <c r="M153" s="15">
        <f>IF(ISNUMBER(F153),HOUR(F153),"")</f>
        <v/>
      </c>
    </row>
    <row r="154" ht="15.75" customHeight="1" s="36">
      <c r="A154" s="2" t="n">
        <v>151</v>
      </c>
      <c r="B154" s="12" t="n">
        <v>46086</v>
      </c>
      <c r="C154" s="14" t="inlineStr">
        <is>
          <t>V-109</t>
        </is>
      </c>
      <c r="D154" s="14" t="inlineStr">
        <is>
          <t>Turno virtual</t>
        </is>
      </c>
      <c r="E154" s="14" t="inlineStr">
        <is>
          <t>N</t>
        </is>
      </c>
      <c r="F154" s="18" t="n">
        <v>0.4643568394560185</v>
      </c>
      <c r="G154" s="18" t="n">
        <v>0.4860352254166667</v>
      </c>
      <c r="H154" s="18" t="n">
        <v>0.486081521712963</v>
      </c>
      <c r="I154" s="18" t="n">
        <v>0.4864634661574074</v>
      </c>
      <c r="J154" s="14" t="n">
        <v>4</v>
      </c>
      <c r="K154" s="19">
        <f>IF(AND(ISNUMBER(F154),ISNUMBER(G154)),(G154-F154)*1440,"")</f>
        <v/>
      </c>
      <c r="L154" s="19">
        <f>IF(AND(ISNUMBER(H154),ISNUMBER(I154)),(I154-H154)*1440,"")</f>
        <v/>
      </c>
      <c r="M154" s="15">
        <f>IF(ISNUMBER(F154),HOUR(F154),"")</f>
        <v/>
      </c>
    </row>
    <row r="155" ht="15.75" customHeight="1" s="36">
      <c r="A155" s="2" t="n">
        <v>152</v>
      </c>
      <c r="B155" s="12" t="n">
        <v>46086</v>
      </c>
      <c r="C155" s="14" t="inlineStr">
        <is>
          <t>V-127</t>
        </is>
      </c>
      <c r="D155" s="14" t="inlineStr">
        <is>
          <t>Turno virtual</t>
        </is>
      </c>
      <c r="E155" s="14" t="inlineStr">
        <is>
          <t>N</t>
        </is>
      </c>
      <c r="F155" s="18" t="n">
        <v>0.4957609775115741</v>
      </c>
      <c r="G155" s="18" t="n">
        <v>0.5110170167013889</v>
      </c>
      <c r="H155" s="18" t="n">
        <v>0.5110517389236111</v>
      </c>
      <c r="I155" s="18" t="n">
        <v>0.5154730352199074</v>
      </c>
      <c r="J155" s="14" t="n">
        <v>1</v>
      </c>
      <c r="K155" s="19">
        <f>IF(AND(ISNUMBER(F155),ISNUMBER(G155)),(G155-F155)*1440,"")</f>
        <v/>
      </c>
      <c r="L155" s="19">
        <f>IF(AND(ISNUMBER(H155),ISNUMBER(I155)),(I155-H155)*1440,"")</f>
        <v/>
      </c>
      <c r="M155" s="15">
        <f>IF(ISNUMBER(F155),HOUR(F155),"")</f>
        <v/>
      </c>
    </row>
    <row r="156" ht="15.75" customHeight="1" s="36">
      <c r="A156" s="2" t="n">
        <v>153</v>
      </c>
      <c r="B156" s="12" t="n">
        <v>46086</v>
      </c>
      <c r="C156" s="14" t="inlineStr">
        <is>
          <t>P-096</t>
        </is>
      </c>
      <c r="D156" s="14" t="inlineStr">
        <is>
          <t>Pendientes</t>
        </is>
      </c>
      <c r="E156" s="14" t="inlineStr">
        <is>
          <t>N</t>
        </is>
      </c>
      <c r="F156" s="18" t="n">
        <v>0.4964005786574074</v>
      </c>
      <c r="G156" s="18" t="n">
        <v>0.5140967785069445</v>
      </c>
      <c r="H156" s="18" t="n">
        <v>0.5141430748032407</v>
      </c>
      <c r="I156" s="18" t="n">
        <v>0.5166430748032408</v>
      </c>
      <c r="J156" s="14" t="n">
        <v>3</v>
      </c>
      <c r="K156" s="19">
        <f>IF(AND(ISNUMBER(F156),ISNUMBER(G156)),(G156-F156)*1440,"")</f>
        <v/>
      </c>
      <c r="L156" s="19">
        <f>IF(AND(ISNUMBER(H156),ISNUMBER(I156)),(I156-H156)*1440,"")</f>
        <v/>
      </c>
      <c r="M156" s="15">
        <f>IF(ISNUMBER(F156),HOUR(F156),"")</f>
        <v/>
      </c>
    </row>
    <row r="157" ht="15.75" customHeight="1" s="36">
      <c r="A157" s="2" t="n">
        <v>154</v>
      </c>
      <c r="B157" s="12" t="n">
        <v>46086</v>
      </c>
      <c r="C157" s="14" t="inlineStr">
        <is>
          <t>V-139</t>
        </is>
      </c>
      <c r="D157" s="14" t="inlineStr">
        <is>
          <t>Turno virtual</t>
        </is>
      </c>
      <c r="E157" s="14" t="inlineStr">
        <is>
          <t>N</t>
        </is>
      </c>
      <c r="F157" s="18" t="n">
        <v>0.5205240947106481</v>
      </c>
      <c r="G157" s="18" t="n">
        <v>0.5350447944791666</v>
      </c>
      <c r="H157" s="18" t="n">
        <v>0.5350563685532407</v>
      </c>
      <c r="I157" s="18" t="n">
        <v>0.5354383129976852</v>
      </c>
      <c r="J157" s="14" t="n">
        <v>1</v>
      </c>
      <c r="K157" s="19">
        <f>IF(AND(ISNUMBER(F157),ISNUMBER(G157)),(G157-F157)*1440,"")</f>
        <v/>
      </c>
      <c r="L157" s="19">
        <f>IF(AND(ISNUMBER(H157),ISNUMBER(I157)),(I157-H157)*1440,"")</f>
        <v/>
      </c>
      <c r="M157" s="15">
        <f>IF(ISNUMBER(F157),HOUR(F157),"")</f>
        <v/>
      </c>
    </row>
    <row r="158" ht="15.75" customHeight="1" s="36">
      <c r="A158" s="2" t="n">
        <v>155</v>
      </c>
      <c r="B158" s="12" t="n">
        <v>46086</v>
      </c>
      <c r="C158" s="14" t="inlineStr">
        <is>
          <t>V-141</t>
        </is>
      </c>
      <c r="D158" s="14" t="inlineStr">
        <is>
          <t>Turno virtual</t>
        </is>
      </c>
      <c r="E158" s="14" t="inlineStr">
        <is>
          <t>N</t>
        </is>
      </c>
      <c r="F158" s="18" t="n">
        <v>0.5247081045023149</v>
      </c>
      <c r="G158" s="18" t="n">
        <v>0.5384949266550926</v>
      </c>
      <c r="H158" s="18" t="n">
        <v>0.5385296488773148</v>
      </c>
      <c r="I158" s="18" t="n">
        <v>0.5397680748032407</v>
      </c>
      <c r="J158" s="14" t="n">
        <v>3</v>
      </c>
      <c r="K158" s="19">
        <f>IF(AND(ISNUMBER(F158),ISNUMBER(G158)),(G158-F158)*1440,"")</f>
        <v/>
      </c>
      <c r="L158" s="19">
        <f>IF(AND(ISNUMBER(H158),ISNUMBER(I158)),(I158-H158)*1440,"")</f>
        <v/>
      </c>
      <c r="M158" s="15">
        <f>IF(ISNUMBER(F158),HOUR(F158),"")</f>
        <v/>
      </c>
    </row>
    <row r="159" ht="15.75" customHeight="1" s="36">
      <c r="A159" s="2" t="n">
        <v>156</v>
      </c>
      <c r="B159" s="12" t="n">
        <v>46086</v>
      </c>
      <c r="C159" s="14" t="inlineStr">
        <is>
          <t>D-206</t>
        </is>
      </c>
      <c r="D159" s="14" t="inlineStr">
        <is>
          <t>Dispensación</t>
        </is>
      </c>
      <c r="E159" s="14" t="inlineStr">
        <is>
          <t>S</t>
        </is>
      </c>
      <c r="F159" s="18" t="n">
        <v>0.5263618586342592</v>
      </c>
      <c r="G159" s="18" t="n">
        <v>0.5286916859143519</v>
      </c>
      <c r="H159" s="18" t="n">
        <v>0.5287148340625</v>
      </c>
      <c r="I159" s="18" t="n">
        <v>0.5305551118402778</v>
      </c>
      <c r="J159" s="14" t="n">
        <v>3</v>
      </c>
      <c r="K159" s="19">
        <f>IF(AND(ISNUMBER(F159),ISNUMBER(G159)),(G159-F159)*1440,"")</f>
        <v/>
      </c>
      <c r="L159" s="19">
        <f>IF(AND(ISNUMBER(H159),ISNUMBER(I159)),(I159-H159)*1440,"")</f>
        <v/>
      </c>
      <c r="M159" s="15">
        <f>IF(ISNUMBER(F159),HOUR(F159),"")</f>
        <v/>
      </c>
    </row>
    <row r="160" ht="15.75" customHeight="1" s="36">
      <c r="A160" s="2" t="n">
        <v>157</v>
      </c>
      <c r="B160" s="12" t="n">
        <v>46086</v>
      </c>
      <c r="C160" s="14" t="inlineStr">
        <is>
          <t>V-152</t>
        </is>
      </c>
      <c r="D160" s="14" t="inlineStr">
        <is>
          <t>Turno virtual</t>
        </is>
      </c>
      <c r="E160" s="14" t="inlineStr">
        <is>
          <t>N</t>
        </is>
      </c>
      <c r="F160" s="18" t="n">
        <v>0.5522100197916666</v>
      </c>
      <c r="G160" s="18" t="n">
        <v>0.5569671488773148</v>
      </c>
      <c r="H160" s="18" t="n">
        <v>0.557001871099537</v>
      </c>
      <c r="I160" s="18" t="n">
        <v>0.5574185377662038</v>
      </c>
      <c r="J160" s="14" t="n">
        <v>3</v>
      </c>
      <c r="K160" s="19">
        <f>IF(AND(ISNUMBER(F160),ISNUMBER(G160)),(G160-F160)*1440,"")</f>
        <v/>
      </c>
      <c r="L160" s="19">
        <f>IF(AND(ISNUMBER(H160),ISNUMBER(I160)),(I160-H160)*1440,"")</f>
        <v/>
      </c>
      <c r="M160" s="15">
        <f>IF(ISNUMBER(F160),HOUR(F160),"")</f>
        <v/>
      </c>
    </row>
    <row r="161" ht="15.75" customHeight="1" s="36">
      <c r="A161" s="2" t="n">
        <v>158</v>
      </c>
      <c r="B161" s="12" t="n">
        <v>46086</v>
      </c>
      <c r="C161" s="14" t="inlineStr">
        <is>
          <t>V-154</t>
        </is>
      </c>
      <c r="D161" s="14" t="inlineStr">
        <is>
          <t>Turno virtual</t>
        </is>
      </c>
      <c r="E161" s="14" t="inlineStr">
        <is>
          <t>N</t>
        </is>
      </c>
      <c r="F161" s="18" t="n">
        <v>0.5571534357523148</v>
      </c>
      <c r="G161" s="18" t="n">
        <v>0.5598490933217593</v>
      </c>
      <c r="H161" s="18" t="n">
        <v>0.5598838155439815</v>
      </c>
      <c r="I161" s="18" t="n">
        <v>0.5627773340625</v>
      </c>
      <c r="J161" s="14" t="n">
        <v>3</v>
      </c>
      <c r="K161" s="19">
        <f>IF(AND(ISNUMBER(F161),ISNUMBER(G161)),(G161-F161)*1440,"")</f>
        <v/>
      </c>
      <c r="L161" s="19">
        <f>IF(AND(ISNUMBER(H161),ISNUMBER(I161)),(I161-H161)*1440,"")</f>
        <v/>
      </c>
      <c r="M161" s="15">
        <f>IF(ISNUMBER(F161),HOUR(F161),"")</f>
        <v/>
      </c>
    </row>
    <row r="162" ht="15.75" customHeight="1" s="36">
      <c r="A162" s="2" t="n">
        <v>159</v>
      </c>
      <c r="B162" s="12" t="n">
        <v>46086</v>
      </c>
      <c r="C162" s="14" t="inlineStr">
        <is>
          <t>P-113</t>
        </is>
      </c>
      <c r="D162" s="14" t="inlineStr">
        <is>
          <t>Pendientes</t>
        </is>
      </c>
      <c r="E162" s="14" t="inlineStr">
        <is>
          <t>N</t>
        </is>
      </c>
      <c r="F162" s="18" t="n">
        <v>0.5605597537037037</v>
      </c>
      <c r="G162" s="18" t="n">
        <v>0.5627773340625</v>
      </c>
      <c r="H162" s="18" t="n">
        <v>0.5628236303587963</v>
      </c>
      <c r="I162" s="18" t="n">
        <v>0.5642935377662037</v>
      </c>
      <c r="J162" s="14" t="n">
        <v>3</v>
      </c>
      <c r="K162" s="19">
        <f>IF(AND(ISNUMBER(F162),ISNUMBER(G162)),(G162-F162)*1440,"")</f>
        <v/>
      </c>
      <c r="L162" s="19">
        <f>IF(AND(ISNUMBER(H162),ISNUMBER(I162)),(I162-H162)*1440,"")</f>
        <v/>
      </c>
      <c r="M162" s="15">
        <f>IF(ISNUMBER(F162),HOUR(F162),"")</f>
        <v/>
      </c>
    </row>
    <row r="163" ht="15.75" customHeight="1" s="36">
      <c r="A163" s="2" t="n">
        <v>160</v>
      </c>
      <c r="B163" s="12" t="n">
        <v>46086</v>
      </c>
      <c r="C163" s="14" t="inlineStr">
        <is>
          <t>D-243</t>
        </is>
      </c>
      <c r="D163" s="14" t="inlineStr">
        <is>
          <t>Dispensación</t>
        </is>
      </c>
      <c r="E163" s="14" t="inlineStr">
        <is>
          <t>N</t>
        </is>
      </c>
      <c r="F163" s="18" t="n">
        <v>0.5873398051504629</v>
      </c>
      <c r="G163" s="18" t="n">
        <v>0.5898851071064816</v>
      </c>
      <c r="H163" s="18" t="n">
        <v>0.5899082552546296</v>
      </c>
      <c r="I163" s="18" t="n">
        <v>0.5907763108101852</v>
      </c>
      <c r="J163" s="14" t="n">
        <v>2</v>
      </c>
      <c r="K163" s="19">
        <f>IF(AND(ISNUMBER(F163),ISNUMBER(G163)),(G163-F163)*1440,"")</f>
        <v/>
      </c>
      <c r="L163" s="19">
        <f>IF(AND(ISNUMBER(H163),ISNUMBER(I163)),(I163-H163)*1440,"")</f>
        <v/>
      </c>
      <c r="M163" s="15">
        <f>IF(ISNUMBER(F163),HOUR(F163),"")</f>
        <v/>
      </c>
    </row>
    <row r="164" ht="15.75" customHeight="1" s="36">
      <c r="A164" s="2" t="n">
        <v>161</v>
      </c>
      <c r="B164" s="12" t="n">
        <v>46086</v>
      </c>
      <c r="C164" s="14" t="inlineStr">
        <is>
          <t>V-161</t>
        </is>
      </c>
      <c r="D164" s="14" t="inlineStr">
        <is>
          <t>Turno virtual</t>
        </is>
      </c>
      <c r="E164" s="14" t="inlineStr">
        <is>
          <t>N</t>
        </is>
      </c>
      <c r="F164" s="18" t="n">
        <v>0.5884466857407408</v>
      </c>
      <c r="G164" s="18" t="n">
        <v>0.5899677195486112</v>
      </c>
      <c r="H164" s="18" t="n">
        <v>0.5900024417708334</v>
      </c>
      <c r="I164" s="18" t="n">
        <v>0.5910209602893518</v>
      </c>
      <c r="J164" s="14" t="n">
        <v>1</v>
      </c>
      <c r="K164" s="19">
        <f>IF(AND(ISNUMBER(F164),ISNUMBER(G164)),(G164-F164)*1440,"")</f>
        <v/>
      </c>
      <c r="L164" s="19">
        <f>IF(AND(ISNUMBER(H164),ISNUMBER(I164)),(I164-H164)*1440,"")</f>
        <v/>
      </c>
      <c r="M164" s="15">
        <f>IF(ISNUMBER(F164),HOUR(F164),"")</f>
        <v/>
      </c>
    </row>
    <row r="165" ht="15.75" customHeight="1" s="36">
      <c r="A165" s="2" t="n">
        <v>162</v>
      </c>
      <c r="B165" s="12" t="n">
        <v>46086</v>
      </c>
      <c r="C165" s="14" t="inlineStr">
        <is>
          <t>D-255</t>
        </is>
      </c>
      <c r="D165" s="14" t="inlineStr">
        <is>
          <t>Dispensación</t>
        </is>
      </c>
      <c r="E165" s="14" t="inlineStr">
        <is>
          <t>N</t>
        </is>
      </c>
      <c r="F165" s="18" t="n">
        <v>0.6008253784027778</v>
      </c>
      <c r="G165" s="18" t="n">
        <v>0.6008253784027778</v>
      </c>
      <c r="H165" s="18" t="n">
        <v>0.6008716746990741</v>
      </c>
      <c r="I165" s="18" t="n">
        <v>0.6026772302546296</v>
      </c>
      <c r="J165" s="14" t="n">
        <v>2</v>
      </c>
      <c r="K165" s="19">
        <f>IF(AND(ISNUMBER(F165),ISNUMBER(G165)),(G165-F165)*1440,"")</f>
        <v/>
      </c>
      <c r="L165" s="19">
        <f>IF(AND(ISNUMBER(H165),ISNUMBER(I165)),(I165-H165)*1440,"")</f>
        <v/>
      </c>
      <c r="M165" s="15">
        <f>IF(ISNUMBER(F165),HOUR(F165),"")</f>
        <v/>
      </c>
    </row>
    <row r="166" ht="15.75" customHeight="1" s="36">
      <c r="A166" s="2" t="n">
        <v>163</v>
      </c>
      <c r="B166" s="12" t="n">
        <v>46086</v>
      </c>
      <c r="C166" s="14" t="inlineStr">
        <is>
          <t>D-266</t>
        </is>
      </c>
      <c r="D166" s="14" t="inlineStr">
        <is>
          <t>Dispensación</t>
        </is>
      </c>
      <c r="E166" s="14" t="inlineStr">
        <is>
          <t>N</t>
        </is>
      </c>
      <c r="F166" s="18" t="n">
        <v>0.6133951457291666</v>
      </c>
      <c r="G166" s="18" t="n">
        <v>0.6146553597337963</v>
      </c>
      <c r="H166" s="18" t="n">
        <v>0.6146669338078703</v>
      </c>
      <c r="I166" s="18" t="n">
        <v>0.6151414708449073</v>
      </c>
      <c r="J166" s="14" t="n">
        <v>1</v>
      </c>
      <c r="K166" s="19">
        <f>IF(AND(ISNUMBER(F166),ISNUMBER(G166)),(G166-F166)*1440,"")</f>
        <v/>
      </c>
      <c r="L166" s="19">
        <f>IF(AND(ISNUMBER(H166),ISNUMBER(I166)),(I166-H166)*1440,"")</f>
        <v/>
      </c>
      <c r="M166" s="15">
        <f>IF(ISNUMBER(F166),HOUR(F166),"")</f>
        <v/>
      </c>
    </row>
    <row r="167" ht="15.75" customHeight="1" s="36">
      <c r="A167" s="2" t="n">
        <v>164</v>
      </c>
      <c r="B167" s="12" t="n">
        <v>46086</v>
      </c>
      <c r="C167" s="14" t="inlineStr">
        <is>
          <t>P-139</t>
        </is>
      </c>
      <c r="D167" s="14" t="inlineStr">
        <is>
          <t>Pendientes</t>
        </is>
      </c>
      <c r="E167" s="14" t="inlineStr">
        <is>
          <t>N</t>
        </is>
      </c>
      <c r="F167" s="18" t="n">
        <v>0.6257401968402777</v>
      </c>
      <c r="G167" s="18" t="n">
        <v>0.6281304608449074</v>
      </c>
      <c r="H167" s="18" t="n">
        <v>0.6281536089930555</v>
      </c>
      <c r="I167" s="18" t="n">
        <v>0.6296698126967593</v>
      </c>
      <c r="J167" s="14" t="n">
        <v>2</v>
      </c>
      <c r="K167" s="19">
        <f>IF(AND(ISNUMBER(F167),ISNUMBER(G167)),(G167-F167)*1440,"")</f>
        <v/>
      </c>
      <c r="L167" s="19">
        <f>IF(AND(ISNUMBER(H167),ISNUMBER(I167)),(I167-H167)*1440,"")</f>
        <v/>
      </c>
      <c r="M167" s="15">
        <f>IF(ISNUMBER(F167),HOUR(F167),"")</f>
        <v/>
      </c>
    </row>
    <row r="168" ht="15.75" customHeight="1" s="36">
      <c r="A168" s="2" t="n">
        <v>165</v>
      </c>
      <c r="B168" s="12" t="n">
        <v>46086</v>
      </c>
      <c r="C168" s="14" t="inlineStr">
        <is>
          <t>D-284</t>
        </is>
      </c>
      <c r="D168" s="14" t="inlineStr">
        <is>
          <t>Dispensación</t>
        </is>
      </c>
      <c r="E168" s="14" t="inlineStr">
        <is>
          <t>N</t>
        </is>
      </c>
      <c r="F168" s="18" t="n">
        <v>0.6419175117824074</v>
      </c>
      <c r="G168" s="18" t="n">
        <v>0.6419175117824074</v>
      </c>
      <c r="H168" s="18" t="n">
        <v>0.6419638080787037</v>
      </c>
      <c r="I168" s="18" t="n">
        <v>0.6423457525231482</v>
      </c>
      <c r="J168" s="14" t="n">
        <v>2</v>
      </c>
      <c r="K168" s="19">
        <f>IF(AND(ISNUMBER(F168),ISNUMBER(G168)),(G168-F168)*1440,"")</f>
        <v/>
      </c>
      <c r="L168" s="19">
        <f>IF(AND(ISNUMBER(H168),ISNUMBER(I168)),(I168-H168)*1440,"")</f>
        <v/>
      </c>
      <c r="M168" s="15">
        <f>IF(ISNUMBER(F168),HOUR(F168),"")</f>
        <v/>
      </c>
    </row>
    <row r="169" ht="15.75" customHeight="1" s="36">
      <c r="A169" s="2" t="n">
        <v>166</v>
      </c>
      <c r="B169" s="12" t="n">
        <v>46086</v>
      </c>
      <c r="C169" s="14" t="inlineStr">
        <is>
          <t>P-148</t>
        </is>
      </c>
      <c r="D169" s="14" t="inlineStr">
        <is>
          <t>Pendientes</t>
        </is>
      </c>
      <c r="E169" s="14" t="inlineStr">
        <is>
          <t>N</t>
        </is>
      </c>
      <c r="F169" s="18" t="n">
        <v>0.6539222485185185</v>
      </c>
      <c r="G169" s="18" t="n">
        <v>0.6539222485185185</v>
      </c>
      <c r="H169" s="18" t="n">
        <v>0.6539685448148148</v>
      </c>
      <c r="I169" s="18" t="n">
        <v>0.656167618888889</v>
      </c>
      <c r="J169" s="14" t="n">
        <v>2</v>
      </c>
      <c r="K169" s="19">
        <f>IF(AND(ISNUMBER(F169),ISNUMBER(G169)),(G169-F169)*1440,"")</f>
        <v/>
      </c>
      <c r="L169" s="19">
        <f>IF(AND(ISNUMBER(H169),ISNUMBER(I169)),(I169-H169)*1440,"")</f>
        <v/>
      </c>
      <c r="M169" s="15">
        <f>IF(ISNUMBER(F169),HOUR(F169),"")</f>
        <v/>
      </c>
    </row>
    <row r="170" ht="15.75" customHeight="1" s="36">
      <c r="A170" s="2" t="n">
        <v>167</v>
      </c>
      <c r="B170" s="12" t="n">
        <v>46086</v>
      </c>
      <c r="C170" s="14" t="inlineStr">
        <is>
          <t>D-301</t>
        </is>
      </c>
      <c r="D170" s="14" t="inlineStr">
        <is>
          <t>Dispensación</t>
        </is>
      </c>
      <c r="E170" s="14" t="inlineStr">
        <is>
          <t>N</t>
        </is>
      </c>
      <c r="F170" s="18" t="n">
        <v>0.6696981247916667</v>
      </c>
      <c r="G170" s="18" t="n">
        <v>0.6696981247916667</v>
      </c>
      <c r="H170" s="18" t="n">
        <v>0.6697444210879629</v>
      </c>
      <c r="I170" s="18" t="n">
        <v>0.6717351618287037</v>
      </c>
      <c r="J170" s="14" t="n">
        <v>3</v>
      </c>
      <c r="K170" s="19">
        <f>IF(AND(ISNUMBER(F170),ISNUMBER(G170)),(G170-F170)*1440,"")</f>
        <v/>
      </c>
      <c r="L170" s="19">
        <f>IF(AND(ISNUMBER(H170),ISNUMBER(I170)),(I170-H170)*1440,"")</f>
        <v/>
      </c>
      <c r="M170" s="15">
        <f>IF(ISNUMBER(F170),HOUR(F170),"")</f>
        <v/>
      </c>
    </row>
    <row r="171" ht="15.75" customHeight="1" s="36">
      <c r="A171" s="2" t="n">
        <v>168</v>
      </c>
      <c r="B171" s="12" t="n">
        <v>46086</v>
      </c>
      <c r="C171" s="14" t="inlineStr">
        <is>
          <t>P-155</t>
        </is>
      </c>
      <c r="D171" s="14" t="inlineStr">
        <is>
          <t>Pendientes</t>
        </is>
      </c>
      <c r="E171" s="14" t="inlineStr">
        <is>
          <t>N</t>
        </is>
      </c>
      <c r="F171" s="18" t="n">
        <v>0.6804369119791667</v>
      </c>
      <c r="G171" s="18" t="n">
        <v>0.6804369119791667</v>
      </c>
      <c r="H171" s="18" t="n">
        <v>0.6804484860532407</v>
      </c>
      <c r="I171" s="18" t="n">
        <v>0.6808304304976851</v>
      </c>
      <c r="J171" s="14" t="n">
        <v>2</v>
      </c>
      <c r="K171" s="19">
        <f>IF(AND(ISNUMBER(F171),ISNUMBER(G171)),(G171-F171)*1440,"")</f>
        <v/>
      </c>
      <c r="L171" s="19">
        <f>IF(AND(ISNUMBER(H171),ISNUMBER(I171)),(I171-H171)*1440,"")</f>
        <v/>
      </c>
      <c r="M171" s="15">
        <f>IF(ISNUMBER(F171),HOUR(F171),"")</f>
        <v/>
      </c>
    </row>
    <row r="172" ht="15.75" customHeight="1" s="36">
      <c r="A172" s="2" t="n">
        <v>169</v>
      </c>
      <c r="B172" s="12" t="n">
        <v>46087</v>
      </c>
      <c r="C172" s="14" t="inlineStr">
        <is>
          <t>D-013</t>
        </is>
      </c>
      <c r="D172" s="14" t="inlineStr">
        <is>
          <t>Dispensación</t>
        </is>
      </c>
      <c r="E172" s="14" t="inlineStr">
        <is>
          <t>N</t>
        </is>
      </c>
      <c r="F172" s="18" t="n">
        <v>0.3010414607986111</v>
      </c>
      <c r="G172" s="18" t="n">
        <v>0.3044133665972222</v>
      </c>
      <c r="H172" s="18" t="n">
        <v>0.3044480888194445</v>
      </c>
      <c r="I172" s="18" t="n">
        <v>0.3056980888194444</v>
      </c>
      <c r="J172" s="14" t="n">
        <v>2</v>
      </c>
      <c r="K172" s="19">
        <f>IF(AND(ISNUMBER(F172),ISNUMBER(G172)),(G172-F172)*1440,"")</f>
        <v/>
      </c>
      <c r="L172" s="19">
        <f>IF(AND(ISNUMBER(H172),ISNUMBER(I172)),(I172-H172)*1440,"")</f>
        <v/>
      </c>
      <c r="M172" s="15">
        <f>IF(ISNUMBER(F172),HOUR(F172),"")</f>
        <v/>
      </c>
    </row>
    <row r="173" ht="15.75" customHeight="1" s="36">
      <c r="A173" s="2" t="n">
        <v>170</v>
      </c>
      <c r="B173" s="12" t="n">
        <v>46087</v>
      </c>
      <c r="C173" s="14" t="inlineStr">
        <is>
          <t>D-016</t>
        </is>
      </c>
      <c r="D173" s="14" t="inlineStr">
        <is>
          <t>Dispensación</t>
        </is>
      </c>
      <c r="E173" s="14" t="inlineStr">
        <is>
          <t>N</t>
        </is>
      </c>
      <c r="F173" s="18" t="n">
        <v>0.3052578882060185</v>
      </c>
      <c r="G173" s="18" t="n">
        <v>0.3097374406712963</v>
      </c>
      <c r="H173" s="18" t="n">
        <v>0.3097721628935185</v>
      </c>
      <c r="I173" s="18" t="n">
        <v>0.3166355888194444</v>
      </c>
      <c r="J173" s="14" t="n">
        <v>2</v>
      </c>
      <c r="K173" s="19">
        <f>IF(AND(ISNUMBER(F173),ISNUMBER(G173)),(G173-F173)*1440,"")</f>
        <v/>
      </c>
      <c r="L173" s="19">
        <f>IF(AND(ISNUMBER(H173),ISNUMBER(I173)),(I173-H173)*1440,"")</f>
        <v/>
      </c>
      <c r="M173" s="15">
        <f>IF(ISNUMBER(F173),HOUR(F173),"")</f>
        <v/>
      </c>
    </row>
    <row r="174" ht="15.75" customHeight="1" s="36">
      <c r="A174" s="2" t="n">
        <v>171</v>
      </c>
      <c r="B174" s="12" t="n">
        <v>46087</v>
      </c>
      <c r="C174" s="14" t="inlineStr">
        <is>
          <t>V-016</t>
        </is>
      </c>
      <c r="D174" s="14" t="inlineStr">
        <is>
          <t>Turno virtual</t>
        </is>
      </c>
      <c r="E174" s="14" t="inlineStr">
        <is>
          <t>N</t>
        </is>
      </c>
      <c r="F174" s="18" t="n">
        <v>0.3213141849189815</v>
      </c>
      <c r="G174" s="18" t="n">
        <v>0.326975608587963</v>
      </c>
      <c r="H174" s="18" t="n">
        <v>0.3270219048842593</v>
      </c>
      <c r="I174" s="18" t="n">
        <v>0.3288737567361111</v>
      </c>
      <c r="J174" s="14" t="n">
        <v>4</v>
      </c>
      <c r="K174" s="19">
        <f>IF(AND(ISNUMBER(F174),ISNUMBER(G174)),(G174-F174)*1440,"")</f>
        <v/>
      </c>
      <c r="L174" s="19">
        <f>IF(AND(ISNUMBER(H174),ISNUMBER(I174)),(I174-H174)*1440,"")</f>
        <v/>
      </c>
      <c r="M174" s="15">
        <f>IF(ISNUMBER(F174),HOUR(F174),"")</f>
        <v/>
      </c>
    </row>
    <row r="175" ht="15.75" customHeight="1" s="36">
      <c r="A175" s="2" t="n">
        <v>172</v>
      </c>
      <c r="B175" s="12" t="n">
        <v>46087</v>
      </c>
      <c r="C175" s="14" t="inlineStr">
        <is>
          <t>P-017</t>
        </is>
      </c>
      <c r="D175" s="14" t="inlineStr">
        <is>
          <t>Pendientes</t>
        </is>
      </c>
      <c r="E175" s="14" t="inlineStr">
        <is>
          <t>N</t>
        </is>
      </c>
      <c r="F175" s="18" t="n">
        <v>0.3233052482870371</v>
      </c>
      <c r="G175" s="18" t="n">
        <v>0.3302279234027778</v>
      </c>
      <c r="H175" s="18" t="n">
        <v>0.330262645625</v>
      </c>
      <c r="I175" s="18" t="n">
        <v>0.332450145625</v>
      </c>
      <c r="J175" s="14" t="n">
        <v>4</v>
      </c>
      <c r="K175" s="19">
        <f>IF(AND(ISNUMBER(F175),ISNUMBER(G175)),(G175-F175)*1440,"")</f>
        <v/>
      </c>
      <c r="L175" s="19">
        <f>IF(AND(ISNUMBER(H175),ISNUMBER(I175)),(I175-H175)*1440,"")</f>
        <v/>
      </c>
      <c r="M175" s="15">
        <f>IF(ISNUMBER(F175),HOUR(F175),"")</f>
        <v/>
      </c>
    </row>
    <row r="176" ht="15.75" customHeight="1" s="36">
      <c r="A176" s="2" t="n">
        <v>173</v>
      </c>
      <c r="B176" s="12" t="n">
        <v>46087</v>
      </c>
      <c r="C176" s="14" t="inlineStr">
        <is>
          <t>V-022</t>
        </is>
      </c>
      <c r="D176" s="14" t="inlineStr">
        <is>
          <t>Turno virtual</t>
        </is>
      </c>
      <c r="E176" s="14" t="inlineStr">
        <is>
          <t>N</t>
        </is>
      </c>
      <c r="F176" s="18" t="n">
        <v>0.3286487979398148</v>
      </c>
      <c r="G176" s="18" t="n">
        <v>0.3391059221064815</v>
      </c>
      <c r="H176" s="18" t="n">
        <v>0.3391174961805556</v>
      </c>
      <c r="I176" s="18" t="n">
        <v>0.3404022184027778</v>
      </c>
      <c r="J176" s="14" t="n">
        <v>3</v>
      </c>
      <c r="K176" s="19">
        <f>IF(AND(ISNUMBER(F176),ISNUMBER(G176)),(G176-F176)*1440,"")</f>
        <v/>
      </c>
      <c r="L176" s="19">
        <f>IF(AND(ISNUMBER(H176),ISNUMBER(I176)),(I176-H176)*1440,"")</f>
        <v/>
      </c>
      <c r="M176" s="15">
        <f>IF(ISNUMBER(F176),HOUR(F176),"")</f>
        <v/>
      </c>
    </row>
    <row r="177" ht="15.75" customHeight="1" s="36">
      <c r="A177" s="2" t="n">
        <v>174</v>
      </c>
      <c r="B177" s="12" t="n">
        <v>46087</v>
      </c>
      <c r="C177" s="14" t="inlineStr">
        <is>
          <t>D-054</t>
        </is>
      </c>
      <c r="D177" s="14" t="inlineStr">
        <is>
          <t>Dispensación</t>
        </is>
      </c>
      <c r="E177" s="14" t="inlineStr">
        <is>
          <t>N</t>
        </is>
      </c>
      <c r="F177" s="18" t="n">
        <v>0.3394409153703704</v>
      </c>
      <c r="G177" s="18" t="n">
        <v>0.3484444381597222</v>
      </c>
      <c r="H177" s="18" t="n">
        <v>0.3484560122337963</v>
      </c>
      <c r="I177" s="18" t="n">
        <v>0.3510833270486111</v>
      </c>
      <c r="J177" s="14" t="n">
        <v>1</v>
      </c>
      <c r="K177" s="19">
        <f>IF(AND(ISNUMBER(F177),ISNUMBER(G177)),(G177-F177)*1440,"")</f>
        <v/>
      </c>
      <c r="L177" s="19">
        <f>IF(AND(ISNUMBER(H177),ISNUMBER(I177)),(I177-H177)*1440,"")</f>
        <v/>
      </c>
      <c r="M177" s="15">
        <f>IF(ISNUMBER(F177),HOUR(F177),"")</f>
        <v/>
      </c>
    </row>
    <row r="178" ht="15.75" customHeight="1" s="36">
      <c r="A178" s="2" t="n">
        <v>175</v>
      </c>
      <c r="B178" s="12" t="n">
        <v>46087</v>
      </c>
      <c r="C178" s="14" t="inlineStr">
        <is>
          <t>P-031</t>
        </is>
      </c>
      <c r="D178" s="14" t="inlineStr">
        <is>
          <t>Pendientes</t>
        </is>
      </c>
      <c r="E178" s="14" t="inlineStr">
        <is>
          <t>N</t>
        </is>
      </c>
      <c r="F178" s="18" t="n">
        <v>0.3475255167824074</v>
      </c>
      <c r="G178" s="18" t="n">
        <v>0.3566620307523148</v>
      </c>
      <c r="H178" s="18" t="n">
        <v>0.356696752974537</v>
      </c>
      <c r="I178" s="18" t="n">
        <v>0.3614652714930556</v>
      </c>
      <c r="J178" s="14" t="n">
        <v>1</v>
      </c>
      <c r="K178" s="19">
        <f>IF(AND(ISNUMBER(F178),ISNUMBER(G178)),(G178-F178)*1440,"")</f>
        <v/>
      </c>
      <c r="L178" s="19">
        <f>IF(AND(ISNUMBER(H178),ISNUMBER(I178)),(I178-H178)*1440,"")</f>
        <v/>
      </c>
      <c r="M178" s="15">
        <f>IF(ISNUMBER(F178),HOUR(F178),"")</f>
        <v/>
      </c>
    </row>
    <row r="179" ht="15.75" customHeight="1" s="36">
      <c r="A179" s="2" t="n">
        <v>176</v>
      </c>
      <c r="B179" s="12" t="n">
        <v>46087</v>
      </c>
      <c r="C179" s="14" t="inlineStr">
        <is>
          <t>P-033</t>
        </is>
      </c>
      <c r="D179" s="14" t="inlineStr">
        <is>
          <t>Pendientes</t>
        </is>
      </c>
      <c r="E179" s="14" t="inlineStr">
        <is>
          <t>N</t>
        </is>
      </c>
      <c r="F179" s="18" t="n">
        <v>0.3488895513425926</v>
      </c>
      <c r="G179" s="18" t="n">
        <v>0.3590242196990741</v>
      </c>
      <c r="H179" s="18" t="n">
        <v>0.3590705159953704</v>
      </c>
      <c r="I179" s="18" t="n">
        <v>0.3602973678472222</v>
      </c>
      <c r="J179" s="14" t="n">
        <v>4</v>
      </c>
      <c r="K179" s="19">
        <f>IF(AND(ISNUMBER(F179),ISNUMBER(G179)),(G179-F179)*1440,"")</f>
        <v/>
      </c>
      <c r="L179" s="19">
        <f>IF(AND(ISNUMBER(H179),ISNUMBER(I179)),(I179-H179)*1440,"")</f>
        <v/>
      </c>
      <c r="M179" s="15">
        <f>IF(ISNUMBER(F179),HOUR(F179),"")</f>
        <v/>
      </c>
    </row>
    <row r="180" ht="15.75" customHeight="1" s="36">
      <c r="A180" s="2" t="n">
        <v>177</v>
      </c>
      <c r="B180" s="12" t="n">
        <v>46087</v>
      </c>
      <c r="C180" s="14" t="inlineStr">
        <is>
          <t>V-041</t>
        </is>
      </c>
      <c r="D180" s="14" t="inlineStr">
        <is>
          <t>Turno virtual</t>
        </is>
      </c>
      <c r="E180" s="14" t="inlineStr">
        <is>
          <t>S</t>
        </is>
      </c>
      <c r="F180" s="18" t="n">
        <v>0.3610018632986111</v>
      </c>
      <c r="G180" s="18" t="n">
        <v>0.3611191271064815</v>
      </c>
      <c r="H180" s="18" t="n">
        <v>0.3611307011805556</v>
      </c>
      <c r="I180" s="18" t="n">
        <v>0.3632834789583334</v>
      </c>
      <c r="J180" s="14" t="n">
        <v>4</v>
      </c>
      <c r="K180" s="19">
        <f>IF(AND(ISNUMBER(F180),ISNUMBER(G180)),(G180-F180)*1440,"")</f>
        <v/>
      </c>
      <c r="L180" s="19">
        <f>IF(AND(ISNUMBER(H180),ISNUMBER(I180)),(I180-H180)*1440,"")</f>
        <v/>
      </c>
      <c r="M180" s="15">
        <f>IF(ISNUMBER(F180),HOUR(F180),"")</f>
        <v/>
      </c>
    </row>
    <row r="181" ht="15.75" customHeight="1" s="36">
      <c r="A181" s="2" t="n">
        <v>178</v>
      </c>
      <c r="B181" s="12" t="n">
        <v>46087</v>
      </c>
      <c r="C181" s="14" t="inlineStr">
        <is>
          <t>V-045</t>
        </is>
      </c>
      <c r="D181" s="14" t="inlineStr">
        <is>
          <t>Turno virtual</t>
        </is>
      </c>
      <c r="E181" s="14" t="inlineStr">
        <is>
          <t>N</t>
        </is>
      </c>
      <c r="F181" s="18" t="n">
        <v>0.3710522777314815</v>
      </c>
      <c r="G181" s="18" t="n">
        <v>0.3833066271064815</v>
      </c>
      <c r="H181" s="18" t="n">
        <v>0.3833413493287037</v>
      </c>
      <c r="I181" s="18" t="n">
        <v>0.3881908863657408</v>
      </c>
      <c r="J181" s="14" t="n">
        <v>4</v>
      </c>
      <c r="K181" s="19">
        <f>IF(AND(ISNUMBER(F181),ISNUMBER(G181)),(G181-F181)*1440,"")</f>
        <v/>
      </c>
      <c r="L181" s="19">
        <f>IF(AND(ISNUMBER(H181),ISNUMBER(I181)),(I181-H181)*1440,"")</f>
        <v/>
      </c>
      <c r="M181" s="15">
        <f>IF(ISNUMBER(F181),HOUR(F181),"")</f>
        <v/>
      </c>
    </row>
    <row r="182" ht="15.75" customHeight="1" s="36">
      <c r="A182" s="2" t="n">
        <v>179</v>
      </c>
      <c r="B182" s="12" t="n">
        <v>46087</v>
      </c>
      <c r="C182" s="14" t="inlineStr">
        <is>
          <t>D-083</t>
        </is>
      </c>
      <c r="D182" s="14" t="inlineStr">
        <is>
          <t>Dispensación</t>
        </is>
      </c>
      <c r="E182" s="14" t="inlineStr">
        <is>
          <t>N</t>
        </is>
      </c>
      <c r="F182" s="18" t="n">
        <v>0.372966048900463</v>
      </c>
      <c r="G182" s="18" t="n">
        <v>0.3835156443287037</v>
      </c>
      <c r="H182" s="18" t="n">
        <v>0.383561940625</v>
      </c>
      <c r="I182" s="18" t="n">
        <v>0.3869184221064815</v>
      </c>
      <c r="J182" s="14" t="n">
        <v>3</v>
      </c>
      <c r="K182" s="19">
        <f>IF(AND(ISNUMBER(F182),ISNUMBER(G182)),(G182-F182)*1440,"")</f>
        <v/>
      </c>
      <c r="L182" s="19">
        <f>IF(AND(ISNUMBER(H182),ISNUMBER(I182)),(I182-H182)*1440,"")</f>
        <v/>
      </c>
      <c r="M182" s="15">
        <f>IF(ISNUMBER(F182),HOUR(F182),"")</f>
        <v/>
      </c>
    </row>
    <row r="183" ht="15.75" customHeight="1" s="36">
      <c r="A183" s="2" t="n">
        <v>180</v>
      </c>
      <c r="B183" s="12" t="n">
        <v>46087</v>
      </c>
      <c r="C183" s="14" t="inlineStr">
        <is>
          <t>D-091</t>
        </is>
      </c>
      <c r="D183" s="14" t="inlineStr">
        <is>
          <t>Dispensación</t>
        </is>
      </c>
      <c r="E183" s="14" t="inlineStr">
        <is>
          <t>N</t>
        </is>
      </c>
      <c r="F183" s="18" t="n">
        <v>0.3783970661226852</v>
      </c>
      <c r="G183" s="18" t="n">
        <v>0.3943026813657407</v>
      </c>
      <c r="H183" s="18" t="n">
        <v>0.3943374035879629</v>
      </c>
      <c r="I183" s="18" t="n">
        <v>0.3947193480324074</v>
      </c>
      <c r="J183" s="14" t="n">
        <v>3</v>
      </c>
      <c r="K183" s="19">
        <f>IF(AND(ISNUMBER(F183),ISNUMBER(G183)),(G183-F183)*1440,"")</f>
        <v/>
      </c>
      <c r="L183" s="19">
        <f>IF(AND(ISNUMBER(H183),ISNUMBER(I183)),(I183-H183)*1440,"")</f>
        <v/>
      </c>
      <c r="M183" s="15">
        <f>IF(ISNUMBER(F183),HOUR(F183),"")</f>
        <v/>
      </c>
    </row>
    <row r="184" ht="15.75" customHeight="1" s="36">
      <c r="A184" s="2" t="n">
        <v>181</v>
      </c>
      <c r="B184" s="12" t="n">
        <v>46087</v>
      </c>
      <c r="C184" s="14" t="inlineStr">
        <is>
          <t>D-094</t>
        </is>
      </c>
      <c r="D184" s="14" t="inlineStr">
        <is>
          <t>Dispensación</t>
        </is>
      </c>
      <c r="E184" s="14" t="inlineStr">
        <is>
          <t>N</t>
        </is>
      </c>
      <c r="F184" s="18" t="n">
        <v>0.3804534841550926</v>
      </c>
      <c r="G184" s="18" t="n">
        <v>0.3975549961805555</v>
      </c>
      <c r="H184" s="18" t="n">
        <v>0.3975665702546296</v>
      </c>
      <c r="I184" s="18" t="n">
        <v>0.3979485146990741</v>
      </c>
      <c r="J184" s="14" t="n">
        <v>3</v>
      </c>
      <c r="K184" s="19">
        <f>IF(AND(ISNUMBER(F184),ISNUMBER(G184)),(G184-F184)*1440,"")</f>
        <v/>
      </c>
      <c r="L184" s="19">
        <f>IF(AND(ISNUMBER(H184),ISNUMBER(I184)),(I184-H184)*1440,"")</f>
        <v/>
      </c>
      <c r="M184" s="15">
        <f>IF(ISNUMBER(F184),HOUR(F184),"")</f>
        <v/>
      </c>
    </row>
    <row r="185" ht="15.75" customHeight="1" s="36">
      <c r="A185" s="2" t="n">
        <v>182</v>
      </c>
      <c r="B185" s="12" t="n">
        <v>46087</v>
      </c>
      <c r="C185" s="14" t="inlineStr">
        <is>
          <t>D-101</t>
        </is>
      </c>
      <c r="D185" s="14" t="inlineStr">
        <is>
          <t>Dispensación</t>
        </is>
      </c>
      <c r="E185" s="14" t="inlineStr">
        <is>
          <t>N</t>
        </is>
      </c>
      <c r="F185" s="18" t="n">
        <v>0.3893617631712963</v>
      </c>
      <c r="G185" s="18" t="n">
        <v>0.4092314751967592</v>
      </c>
      <c r="H185" s="18" t="n">
        <v>0.4092661974189815</v>
      </c>
      <c r="I185" s="18" t="n">
        <v>0.4110370307523148</v>
      </c>
      <c r="J185" s="14" t="n">
        <v>1</v>
      </c>
      <c r="K185" s="19">
        <f>IF(AND(ISNUMBER(F185),ISNUMBER(G185)),(G185-F185)*1440,"")</f>
        <v/>
      </c>
      <c r="L185" s="19">
        <f>IF(AND(ISNUMBER(H185),ISNUMBER(I185)),(I185-H185)*1440,"")</f>
        <v/>
      </c>
      <c r="M185" s="15">
        <f>IF(ISNUMBER(F185),HOUR(F185),"")</f>
        <v/>
      </c>
    </row>
    <row r="186" ht="15.75" customHeight="1" s="36">
      <c r="A186" s="2" t="n">
        <v>183</v>
      </c>
      <c r="B186" s="12" t="n">
        <v>46087</v>
      </c>
      <c r="C186" s="14" t="inlineStr">
        <is>
          <t>D-122</t>
        </is>
      </c>
      <c r="D186" s="14" t="inlineStr">
        <is>
          <t>Dispensación</t>
        </is>
      </c>
      <c r="E186" s="14" t="inlineStr">
        <is>
          <t>N</t>
        </is>
      </c>
      <c r="F186" s="18" t="n">
        <v>0.4051495195949074</v>
      </c>
      <c r="G186" s="18" t="n">
        <v>0.4283304591435185</v>
      </c>
      <c r="H186" s="18" t="n">
        <v>0.4283536072916667</v>
      </c>
      <c r="I186" s="18" t="n">
        <v>0.4310850887731481</v>
      </c>
      <c r="J186" s="14" t="n">
        <v>3</v>
      </c>
      <c r="K186" s="19">
        <f>IF(AND(ISNUMBER(F186),ISNUMBER(G186)),(G186-F186)*1440,"")</f>
        <v/>
      </c>
      <c r="L186" s="19">
        <f>IF(AND(ISNUMBER(H186),ISNUMBER(I186)),(I186-H186)*1440,"")</f>
        <v/>
      </c>
      <c r="M186" s="15">
        <f>IF(ISNUMBER(F186),HOUR(F186),"")</f>
        <v/>
      </c>
    </row>
    <row r="187" ht="15.75" customHeight="1" s="36">
      <c r="A187" s="2" t="n">
        <v>184</v>
      </c>
      <c r="B187" s="12" t="n">
        <v>46087</v>
      </c>
      <c r="C187" s="14" t="inlineStr">
        <is>
          <t>P-071</t>
        </is>
      </c>
      <c r="D187" s="14" t="inlineStr">
        <is>
          <t>Pendientes</t>
        </is>
      </c>
      <c r="E187" s="14" t="inlineStr">
        <is>
          <t>S</t>
        </is>
      </c>
      <c r="F187" s="18" t="n">
        <v>0.4060910513078704</v>
      </c>
      <c r="G187" s="18" t="n">
        <v>0.4062580159953704</v>
      </c>
      <c r="H187" s="18" t="n">
        <v>0.4062927382175927</v>
      </c>
      <c r="I187" s="18" t="n">
        <v>0.4082719048842593</v>
      </c>
      <c r="J187" s="14" t="n">
        <v>4</v>
      </c>
      <c r="K187" s="19">
        <f>IF(AND(ISNUMBER(F187),ISNUMBER(G187)),(G187-F187)*1440,"")</f>
        <v/>
      </c>
      <c r="L187" s="19">
        <f>IF(AND(ISNUMBER(H187),ISNUMBER(I187)),(I187-H187)*1440,"")</f>
        <v/>
      </c>
      <c r="M187" s="15">
        <f>IF(ISNUMBER(F187),HOUR(F187),"")</f>
        <v/>
      </c>
    </row>
    <row r="188" ht="15.75" customHeight="1" s="36">
      <c r="A188" s="2" t="n">
        <v>185</v>
      </c>
      <c r="B188" s="12" t="n">
        <v>46087</v>
      </c>
      <c r="C188" s="14" t="inlineStr">
        <is>
          <t>V-072</t>
        </is>
      </c>
      <c r="D188" s="14" t="inlineStr">
        <is>
          <t>Turno virtual</t>
        </is>
      </c>
      <c r="E188" s="14" t="inlineStr">
        <is>
          <t>N</t>
        </is>
      </c>
      <c r="F188" s="18" t="n">
        <v>0.4107488632175926</v>
      </c>
      <c r="G188" s="18" t="n">
        <v>0.4374508295138889</v>
      </c>
      <c r="H188" s="18" t="n">
        <v>0.4374971258101852</v>
      </c>
      <c r="I188" s="18" t="n">
        <v>0.439186940625</v>
      </c>
      <c r="J188" s="14" t="n">
        <v>3</v>
      </c>
      <c r="K188" s="19">
        <f>IF(AND(ISNUMBER(F188),ISNUMBER(G188)),(G188-F188)*1440,"")</f>
        <v/>
      </c>
      <c r="L188" s="19">
        <f>IF(AND(ISNUMBER(H188),ISNUMBER(I188)),(I188-H188)*1440,"")</f>
        <v/>
      </c>
      <c r="M188" s="15">
        <f>IF(ISNUMBER(F188),HOUR(F188),"")</f>
        <v/>
      </c>
    </row>
    <row r="189" ht="15.75" customHeight="1" s="36">
      <c r="A189" s="2" t="n">
        <v>186</v>
      </c>
      <c r="B189" s="12" t="n">
        <v>46087</v>
      </c>
      <c r="C189" s="14" t="inlineStr">
        <is>
          <t>D-137</t>
        </is>
      </c>
      <c r="D189" s="14" t="inlineStr">
        <is>
          <t>Dispensación</t>
        </is>
      </c>
      <c r="E189" s="14" t="inlineStr">
        <is>
          <t>N</t>
        </is>
      </c>
      <c r="F189" s="18" t="n">
        <v>0.4161618258796296</v>
      </c>
      <c r="G189" s="18" t="n">
        <v>0.4425152184490741</v>
      </c>
      <c r="H189" s="18" t="n">
        <v>0.4425267925231482</v>
      </c>
      <c r="I189" s="18" t="n">
        <v>0.4429781814120371</v>
      </c>
      <c r="J189" s="14" t="n">
        <v>2</v>
      </c>
      <c r="K189" s="19">
        <f>IF(AND(ISNUMBER(F189),ISNUMBER(G189)),(G189-F189)*1440,"")</f>
        <v/>
      </c>
      <c r="L189" s="19">
        <f>IF(AND(ISNUMBER(H189),ISNUMBER(I189)),(I189-H189)*1440,"")</f>
        <v/>
      </c>
      <c r="M189" s="15">
        <f>IF(ISNUMBER(F189),HOUR(F189),"")</f>
        <v/>
      </c>
    </row>
    <row r="190" ht="15.75" customHeight="1" s="36">
      <c r="A190" s="2" t="n">
        <v>187</v>
      </c>
      <c r="B190" s="12" t="n">
        <v>46087</v>
      </c>
      <c r="C190" s="14" t="inlineStr">
        <is>
          <t>V-083</t>
        </is>
      </c>
      <c r="D190" s="14" t="inlineStr">
        <is>
          <t>Turno virtual</t>
        </is>
      </c>
      <c r="E190" s="14" t="inlineStr">
        <is>
          <t>N</t>
        </is>
      </c>
      <c r="F190" s="18" t="n">
        <v>0.4293155173842592</v>
      </c>
      <c r="G190" s="18" t="n">
        <v>0.4528161443750001</v>
      </c>
      <c r="H190" s="18" t="n">
        <v>0.4528624406712963</v>
      </c>
      <c r="I190" s="18" t="n">
        <v>0.4550267925231482</v>
      </c>
      <c r="J190" s="14" t="n">
        <v>2</v>
      </c>
      <c r="K190" s="19">
        <f>IF(AND(ISNUMBER(F190),ISNUMBER(G190)),(G190-F190)*1440,"")</f>
        <v/>
      </c>
      <c r="L190" s="19">
        <f>IF(AND(ISNUMBER(H190),ISNUMBER(I190)),(I190-H190)*1440,"")</f>
        <v/>
      </c>
      <c r="M190" s="15">
        <f>IF(ISNUMBER(F190),HOUR(F190),"")</f>
        <v/>
      </c>
    </row>
    <row r="191" ht="15.75" customHeight="1" s="36">
      <c r="A191" s="2" t="n">
        <v>188</v>
      </c>
      <c r="B191" s="12" t="n">
        <v>46087</v>
      </c>
      <c r="C191" s="14" t="inlineStr">
        <is>
          <t>D-155</t>
        </is>
      </c>
      <c r="D191" s="14" t="inlineStr">
        <is>
          <t>Dispensación</t>
        </is>
      </c>
      <c r="E191" s="14" t="inlineStr">
        <is>
          <t>N</t>
        </is>
      </c>
      <c r="F191" s="18" t="n">
        <v>0.4394944214930555</v>
      </c>
      <c r="G191" s="18" t="n">
        <v>0.4640347159375</v>
      </c>
      <c r="H191" s="18" t="n">
        <v>0.464046290011574</v>
      </c>
      <c r="I191" s="18" t="n">
        <v>0.4654583270486111</v>
      </c>
      <c r="J191" s="14" t="n">
        <v>1</v>
      </c>
      <c r="K191" s="19">
        <f>IF(AND(ISNUMBER(F191),ISNUMBER(G191)),(G191-F191)*1440,"")</f>
        <v/>
      </c>
      <c r="L191" s="19">
        <f>IF(AND(ISNUMBER(H191),ISNUMBER(I191)),(I191-H191)*1440,"")</f>
        <v/>
      </c>
      <c r="M191" s="15">
        <f>IF(ISNUMBER(F191),HOUR(F191),"")</f>
        <v/>
      </c>
    </row>
    <row r="192" ht="15.75" customHeight="1" s="36">
      <c r="A192" s="2" t="n">
        <v>189</v>
      </c>
      <c r="B192" s="12" t="n">
        <v>46087</v>
      </c>
      <c r="C192" s="14" t="inlineStr">
        <is>
          <t>D-158</t>
        </is>
      </c>
      <c r="D192" s="14" t="inlineStr">
        <is>
          <t>Dispensación</t>
        </is>
      </c>
      <c r="E192" s="14" t="inlineStr">
        <is>
          <t>N</t>
        </is>
      </c>
      <c r="F192" s="18" t="n">
        <v>0.4405986747685186</v>
      </c>
      <c r="G192" s="18" t="n">
        <v>0.4651591628472222</v>
      </c>
      <c r="H192" s="18" t="n">
        <v>0.4651707369212963</v>
      </c>
      <c r="I192" s="18" t="n">
        <v>0.4707841628472222</v>
      </c>
      <c r="J192" s="14" t="n">
        <v>3</v>
      </c>
      <c r="K192" s="19">
        <f>IF(AND(ISNUMBER(F192),ISNUMBER(G192)),(G192-F192)*1440,"")</f>
        <v/>
      </c>
      <c r="L192" s="19">
        <f>IF(AND(ISNUMBER(H192),ISNUMBER(I192)),(I192-H192)*1440,"")</f>
        <v/>
      </c>
      <c r="M192" s="15">
        <f>IF(ISNUMBER(F192),HOUR(F192),"")</f>
        <v/>
      </c>
    </row>
    <row r="193" ht="15.75" customHeight="1" s="36">
      <c r="A193" s="2" t="n">
        <v>190</v>
      </c>
      <c r="B193" s="12" t="n">
        <v>46087</v>
      </c>
      <c r="C193" s="14" t="inlineStr">
        <is>
          <t>V-092</t>
        </is>
      </c>
      <c r="D193" s="14" t="inlineStr">
        <is>
          <t>Turno virtual</t>
        </is>
      </c>
      <c r="E193" s="14" t="inlineStr">
        <is>
          <t>N</t>
        </is>
      </c>
      <c r="F193" s="18" t="n">
        <v>0.4458645790856481</v>
      </c>
      <c r="G193" s="18" t="n">
        <v>0.4697142925231482</v>
      </c>
      <c r="H193" s="18" t="n">
        <v>0.4697374406712964</v>
      </c>
      <c r="I193" s="18" t="n">
        <v>0.4718439221527778</v>
      </c>
      <c r="J193" s="14" t="n">
        <v>2</v>
      </c>
      <c r="K193" s="19">
        <f>IF(AND(ISNUMBER(F193),ISNUMBER(G193)),(G193-F193)*1440,"")</f>
        <v/>
      </c>
      <c r="L193" s="19">
        <f>IF(AND(ISNUMBER(H193),ISNUMBER(I193)),(I193-H193)*1440,"")</f>
        <v/>
      </c>
      <c r="M193" s="15">
        <f>IF(ISNUMBER(F193),HOUR(F193),"")</f>
        <v/>
      </c>
    </row>
    <row r="194" ht="15.75" customHeight="1" s="36">
      <c r="A194" s="2" t="n">
        <v>191</v>
      </c>
      <c r="B194" s="12" t="n">
        <v>46087</v>
      </c>
      <c r="C194" s="14" t="inlineStr">
        <is>
          <t>P-097</t>
        </is>
      </c>
      <c r="D194" s="14" t="inlineStr">
        <is>
          <t>Pendientes</t>
        </is>
      </c>
      <c r="E194" s="14" t="inlineStr">
        <is>
          <t>S</t>
        </is>
      </c>
      <c r="F194" s="18" t="n">
        <v>0.457197926875</v>
      </c>
      <c r="G194" s="18" t="n">
        <v>0.4586538493287037</v>
      </c>
      <c r="H194" s="18" t="n">
        <v>0.4587001456250001</v>
      </c>
      <c r="I194" s="18" t="n">
        <v>0.4598691271064815</v>
      </c>
      <c r="J194" s="14" t="n">
        <v>4</v>
      </c>
      <c r="K194" s="19">
        <f>IF(AND(ISNUMBER(F194),ISNUMBER(G194)),(G194-F194)*1440,"")</f>
        <v/>
      </c>
      <c r="L194" s="19">
        <f>IF(AND(ISNUMBER(H194),ISNUMBER(I194)),(I194-H194)*1440,"")</f>
        <v/>
      </c>
      <c r="M194" s="15">
        <f>IF(ISNUMBER(F194),HOUR(F194),"")</f>
        <v/>
      </c>
    </row>
    <row r="195" ht="15.75" customHeight="1" s="36">
      <c r="A195" s="2" t="n">
        <v>192</v>
      </c>
      <c r="B195" s="12" t="n">
        <v>46087</v>
      </c>
      <c r="C195" s="14" t="inlineStr">
        <is>
          <t>V-108</t>
        </is>
      </c>
      <c r="D195" s="14" t="inlineStr">
        <is>
          <t>Turno virtual</t>
        </is>
      </c>
      <c r="E195" s="14" t="inlineStr">
        <is>
          <t>N</t>
        </is>
      </c>
      <c r="F195" s="18" t="n">
        <v>0.459450301261574</v>
      </c>
      <c r="G195" s="18" t="n">
        <v>0.4856517925231482</v>
      </c>
      <c r="H195" s="18" t="n">
        <v>0.4856633665972223</v>
      </c>
      <c r="I195" s="18" t="n">
        <v>0.4885105888194445</v>
      </c>
      <c r="J195" s="14" t="n">
        <v>2</v>
      </c>
      <c r="K195" s="19">
        <f>IF(AND(ISNUMBER(F195),ISNUMBER(G195)),(G195-F195)*1440,"")</f>
        <v/>
      </c>
      <c r="L195" s="19">
        <f>IF(AND(ISNUMBER(H195),ISNUMBER(I195)),(I195-H195)*1440,"")</f>
        <v/>
      </c>
      <c r="M195" s="15">
        <f>IF(ISNUMBER(F195),HOUR(F195),"")</f>
        <v/>
      </c>
    </row>
    <row r="196" ht="15.75" customHeight="1" s="36">
      <c r="A196" s="2" t="n">
        <v>193</v>
      </c>
      <c r="B196" s="12" t="n">
        <v>46087</v>
      </c>
      <c r="C196" s="14" t="inlineStr">
        <is>
          <t>D-186</t>
        </is>
      </c>
      <c r="D196" s="14" t="inlineStr">
        <is>
          <t>Dispensación</t>
        </is>
      </c>
      <c r="E196" s="14" t="inlineStr">
        <is>
          <t>N</t>
        </is>
      </c>
      <c r="F196" s="18" t="n">
        <v>0.4747324761689815</v>
      </c>
      <c r="G196" s="18" t="n">
        <v>0.496223977662037</v>
      </c>
      <c r="H196" s="18" t="n">
        <v>0.4962702739583333</v>
      </c>
      <c r="I196" s="18" t="n">
        <v>0.4980411072916666</v>
      </c>
      <c r="J196" s="14" t="n">
        <v>3</v>
      </c>
      <c r="K196" s="19">
        <f>IF(AND(ISNUMBER(F196),ISNUMBER(G196)),(G196-F196)*1440,"")</f>
        <v/>
      </c>
      <c r="L196" s="19">
        <f>IF(AND(ISNUMBER(H196),ISNUMBER(I196)),(I196-H196)*1440,"")</f>
        <v/>
      </c>
      <c r="M196" s="15">
        <f>IF(ISNUMBER(F196),HOUR(F196),"")</f>
        <v/>
      </c>
    </row>
    <row r="197" ht="15.75" customHeight="1" s="36">
      <c r="A197" s="2" t="n">
        <v>194</v>
      </c>
      <c r="B197" s="12" t="n">
        <v>46087</v>
      </c>
      <c r="C197" s="14" t="inlineStr">
        <is>
          <t>V-119</t>
        </is>
      </c>
      <c r="D197" s="14" t="inlineStr">
        <is>
          <t>Turno virtual</t>
        </is>
      </c>
      <c r="E197" s="14" t="inlineStr">
        <is>
          <t>N</t>
        </is>
      </c>
      <c r="F197" s="18" t="n">
        <v>0.4862552878356481</v>
      </c>
      <c r="G197" s="18" t="n">
        <v>0.5036776813657408</v>
      </c>
      <c r="H197" s="18" t="n">
        <v>0.5036892554398148</v>
      </c>
      <c r="I197" s="18" t="n">
        <v>0.5055063850694445</v>
      </c>
      <c r="J197" s="14" t="n">
        <v>3</v>
      </c>
      <c r="K197" s="19">
        <f>IF(AND(ISNUMBER(F197),ISNUMBER(G197)),(G197-F197)*1440,"")</f>
        <v/>
      </c>
      <c r="L197" s="19">
        <f>IF(AND(ISNUMBER(H197),ISNUMBER(I197)),(I197-H197)*1440,"")</f>
        <v/>
      </c>
      <c r="M197" s="15">
        <f>IF(ISNUMBER(F197),HOUR(F197),"")</f>
        <v/>
      </c>
    </row>
    <row r="198" ht="15.75" customHeight="1" s="36">
      <c r="A198" s="2" t="n">
        <v>195</v>
      </c>
      <c r="B198" s="12" t="n">
        <v>46087</v>
      </c>
      <c r="C198" s="14" t="inlineStr">
        <is>
          <t>V-125</t>
        </is>
      </c>
      <c r="D198" s="14" t="inlineStr">
        <is>
          <t>Turno virtual</t>
        </is>
      </c>
      <c r="E198" s="14" t="inlineStr">
        <is>
          <t>N</t>
        </is>
      </c>
      <c r="F198" s="18" t="n">
        <v>0.4934680163541667</v>
      </c>
      <c r="G198" s="18" t="n">
        <v>0.5148994777083333</v>
      </c>
      <c r="H198" s="18" t="n">
        <v>0.5149226258564815</v>
      </c>
      <c r="I198" s="18" t="n">
        <v>0.5165082740046296</v>
      </c>
      <c r="J198" s="14" t="n">
        <v>2</v>
      </c>
      <c r="K198" s="19">
        <f>IF(AND(ISNUMBER(F198),ISNUMBER(G198)),(G198-F198)*1440,"")</f>
        <v/>
      </c>
      <c r="L198" s="19">
        <f>IF(AND(ISNUMBER(H198),ISNUMBER(I198)),(I198-H198)*1440,"")</f>
        <v/>
      </c>
      <c r="M198" s="15">
        <f>IF(ISNUMBER(F198),HOUR(F198),"")</f>
        <v/>
      </c>
    </row>
    <row r="199" ht="15.75" customHeight="1" s="36">
      <c r="A199" s="2" t="n">
        <v>196</v>
      </c>
      <c r="B199" s="12" t="n">
        <v>46087</v>
      </c>
      <c r="C199" s="14" t="inlineStr">
        <is>
          <t>P-114</t>
        </is>
      </c>
      <c r="D199" s="14" t="inlineStr">
        <is>
          <t>Pendientes</t>
        </is>
      </c>
      <c r="E199" s="14" t="inlineStr">
        <is>
          <t>N</t>
        </is>
      </c>
      <c r="F199" s="18" t="n">
        <v>0.504007990150463</v>
      </c>
      <c r="G199" s="18" t="n">
        <v>0.5214735517824074</v>
      </c>
      <c r="H199" s="18" t="n">
        <v>0.5215198480787038</v>
      </c>
      <c r="I199" s="18" t="n">
        <v>0.5268670703009259</v>
      </c>
      <c r="J199" s="14" t="n">
        <v>2</v>
      </c>
      <c r="K199" s="19">
        <f>IF(AND(ISNUMBER(F199),ISNUMBER(G199)),(G199-F199)*1440,"")</f>
        <v/>
      </c>
      <c r="L199" s="19">
        <f>IF(AND(ISNUMBER(H199),ISNUMBER(I199)),(I199-H199)*1440,"")</f>
        <v/>
      </c>
      <c r="M199" s="15">
        <f>IF(ISNUMBER(F199),HOUR(F199),"")</f>
        <v/>
      </c>
    </row>
    <row r="200" ht="15.75" customHeight="1" s="36">
      <c r="A200" s="2" t="n">
        <v>197</v>
      </c>
      <c r="B200" s="12" t="n">
        <v>46087</v>
      </c>
      <c r="C200" s="14" t="inlineStr">
        <is>
          <t>D-206</t>
        </is>
      </c>
      <c r="D200" s="14" t="inlineStr">
        <is>
          <t>Dispensación</t>
        </is>
      </c>
      <c r="E200" s="14" t="inlineStr">
        <is>
          <t>N</t>
        </is>
      </c>
      <c r="F200" s="18" t="n">
        <v>0.5067548257175926</v>
      </c>
      <c r="G200" s="18" t="n">
        <v>0.5227633295138888</v>
      </c>
      <c r="H200" s="18" t="n">
        <v>0.522786477662037</v>
      </c>
      <c r="I200" s="18" t="n">
        <v>0.5247887924768518</v>
      </c>
      <c r="J200" s="14" t="n">
        <v>3</v>
      </c>
      <c r="K200" s="19">
        <f>IF(AND(ISNUMBER(F200),ISNUMBER(G200)),(G200-F200)*1440,"")</f>
        <v/>
      </c>
      <c r="L200" s="19">
        <f>IF(AND(ISNUMBER(H200),ISNUMBER(I200)),(I200-H200)*1440,"")</f>
        <v/>
      </c>
      <c r="M200" s="15">
        <f>IF(ISNUMBER(F200),HOUR(F200),"")</f>
        <v/>
      </c>
    </row>
    <row r="201" ht="15.75" customHeight="1" s="36">
      <c r="A201" s="2" t="n">
        <v>198</v>
      </c>
      <c r="B201" s="12" t="n">
        <v>46087</v>
      </c>
      <c r="C201" s="14" t="inlineStr">
        <is>
          <t>V-144</t>
        </is>
      </c>
      <c r="D201" s="14" t="inlineStr">
        <is>
          <t>Turno virtual</t>
        </is>
      </c>
      <c r="E201" s="14" t="inlineStr">
        <is>
          <t>N</t>
        </is>
      </c>
      <c r="F201" s="18" t="n">
        <v>0.5421504562615741</v>
      </c>
      <c r="G201" s="18" t="n">
        <v>0.5450897184027778</v>
      </c>
      <c r="H201" s="18" t="n">
        <v>0.545124440625</v>
      </c>
      <c r="I201" s="18" t="n">
        <v>0.546686940625</v>
      </c>
      <c r="J201" s="14" t="n">
        <v>3</v>
      </c>
      <c r="K201" s="19">
        <f>IF(AND(ISNUMBER(F201),ISNUMBER(G201)),(G201-F201)*1440,"")</f>
        <v/>
      </c>
      <c r="L201" s="19">
        <f>IF(AND(ISNUMBER(H201),ISNUMBER(I201)),(I201-H201)*1440,"")</f>
        <v/>
      </c>
      <c r="M201" s="15">
        <f>IF(ISNUMBER(F201),HOUR(F201),"")</f>
        <v/>
      </c>
    </row>
    <row r="202" ht="15.75" customHeight="1" s="36">
      <c r="A202" s="2" t="n">
        <v>199</v>
      </c>
      <c r="B202" s="12" t="n">
        <v>46087</v>
      </c>
      <c r="C202" s="14" t="inlineStr">
        <is>
          <t>P-125</t>
        </is>
      </c>
      <c r="D202" s="14" t="inlineStr">
        <is>
          <t>Pendientes</t>
        </is>
      </c>
      <c r="E202" s="14" t="inlineStr">
        <is>
          <t>N</t>
        </is>
      </c>
      <c r="F202" s="18" t="n">
        <v>0.5542948736342593</v>
      </c>
      <c r="G202" s="18" t="n">
        <v>0.5575267925231482</v>
      </c>
      <c r="H202" s="18" t="n">
        <v>0.5575383665972222</v>
      </c>
      <c r="I202" s="18" t="n">
        <v>0.5579203110416667</v>
      </c>
      <c r="J202" s="14" t="n">
        <v>2</v>
      </c>
      <c r="K202" s="19">
        <f>IF(AND(ISNUMBER(F202),ISNUMBER(G202)),(G202-F202)*1440,"")</f>
        <v/>
      </c>
      <c r="L202" s="19">
        <f>IF(AND(ISNUMBER(H202),ISNUMBER(I202)),(I202-H202)*1440,"")</f>
        <v/>
      </c>
      <c r="M202" s="15">
        <f>IF(ISNUMBER(F202),HOUR(F202),"")</f>
        <v/>
      </c>
    </row>
    <row r="203" ht="15.75" customHeight="1" s="36">
      <c r="A203" s="2" t="n">
        <v>200</v>
      </c>
      <c r="B203" s="12" t="n">
        <v>46087</v>
      </c>
      <c r="C203" s="14" t="inlineStr">
        <is>
          <t>V-151</t>
        </is>
      </c>
      <c r="D203" s="14" t="inlineStr">
        <is>
          <t>Turno virtual</t>
        </is>
      </c>
      <c r="E203" s="14" t="inlineStr">
        <is>
          <t>N</t>
        </is>
      </c>
      <c r="F203" s="18" t="n">
        <v>0.5608168855671296</v>
      </c>
      <c r="G203" s="18" t="n">
        <v>0.5625549961805555</v>
      </c>
      <c r="H203" s="18" t="n">
        <v>0.5625781443287037</v>
      </c>
      <c r="I203" s="18" t="n">
        <v>0.5657262924768518</v>
      </c>
      <c r="J203" s="14" t="n">
        <v>3</v>
      </c>
      <c r="K203" s="19">
        <f>IF(AND(ISNUMBER(F203),ISNUMBER(G203)),(G203-F203)*1440,"")</f>
        <v/>
      </c>
      <c r="L203" s="19">
        <f>IF(AND(ISNUMBER(H203),ISNUMBER(I203)),(I203-H203)*1440,"")</f>
        <v/>
      </c>
      <c r="M203" s="15">
        <f>IF(ISNUMBER(F203),HOUR(F203),"")</f>
        <v/>
      </c>
    </row>
    <row r="204" ht="15.75" customHeight="1" s="36">
      <c r="A204" s="2" t="n">
        <v>201</v>
      </c>
      <c r="B204" s="12" t="n">
        <v>46087</v>
      </c>
      <c r="C204" s="14" t="inlineStr">
        <is>
          <t>D-241</t>
        </is>
      </c>
      <c r="D204" s="14" t="inlineStr">
        <is>
          <t>Dispensación</t>
        </is>
      </c>
      <c r="E204" s="14" t="inlineStr">
        <is>
          <t>N</t>
        </is>
      </c>
      <c r="F204" s="18" t="n">
        <v>0.5915561280555556</v>
      </c>
      <c r="G204" s="18" t="n">
        <v>0.5915561280555556</v>
      </c>
      <c r="H204" s="18" t="n">
        <v>0.5916024243518518</v>
      </c>
      <c r="I204" s="18" t="n">
        <v>0.5932343687962963</v>
      </c>
      <c r="J204" s="14" t="n">
        <v>1</v>
      </c>
      <c r="K204" s="19">
        <f>IF(AND(ISNUMBER(F204),ISNUMBER(G204)),(G204-F204)*1440,"")</f>
        <v/>
      </c>
      <c r="L204" s="19">
        <f>IF(AND(ISNUMBER(H204),ISNUMBER(I204)),(I204-H204)*1440,"")</f>
        <v/>
      </c>
      <c r="M204" s="15">
        <f>IF(ISNUMBER(F204),HOUR(F204),"")</f>
        <v/>
      </c>
    </row>
    <row r="205" ht="15.75" customHeight="1" s="36">
      <c r="A205" s="2" t="n">
        <v>202</v>
      </c>
      <c r="B205" s="12" t="n">
        <v>46087</v>
      </c>
      <c r="C205" s="14" t="inlineStr">
        <is>
          <t>D-257</t>
        </is>
      </c>
      <c r="D205" s="14" t="inlineStr">
        <is>
          <t>Dispensación</t>
        </is>
      </c>
      <c r="E205" s="14" t="inlineStr">
        <is>
          <t>N</t>
        </is>
      </c>
      <c r="F205" s="18" t="n">
        <v>0.6090410192824074</v>
      </c>
      <c r="G205" s="18" t="n">
        <v>0.6113477947222222</v>
      </c>
      <c r="H205" s="18" t="n">
        <v>0.6113825169444445</v>
      </c>
      <c r="I205" s="18" t="n">
        <v>0.6131417762037037</v>
      </c>
      <c r="J205" s="14" t="n">
        <v>1</v>
      </c>
      <c r="K205" s="19">
        <f>IF(AND(ISNUMBER(F205),ISNUMBER(G205)),(G205-F205)*1440,"")</f>
        <v/>
      </c>
      <c r="L205" s="19">
        <f>IF(AND(ISNUMBER(H205),ISNUMBER(I205)),(I205-H205)*1440,"")</f>
        <v/>
      </c>
      <c r="M205" s="15">
        <f>IF(ISNUMBER(F205),HOUR(F205),"")</f>
        <v/>
      </c>
    </row>
    <row r="206" ht="15.75" customHeight="1" s="36">
      <c r="A206" s="2" t="n">
        <v>203</v>
      </c>
      <c r="B206" s="12" t="n">
        <v>46087</v>
      </c>
      <c r="C206" s="14" t="inlineStr">
        <is>
          <t>V-176</t>
        </is>
      </c>
      <c r="D206" s="14" t="inlineStr">
        <is>
          <t>Turno virtual</t>
        </is>
      </c>
      <c r="E206" s="14" t="inlineStr">
        <is>
          <t>N</t>
        </is>
      </c>
      <c r="F206" s="18" t="n">
        <v>0.6194508345717593</v>
      </c>
      <c r="G206" s="18" t="n">
        <v>0.6262024885069445</v>
      </c>
      <c r="H206" s="18" t="n">
        <v>0.6262256366550926</v>
      </c>
      <c r="I206" s="18" t="n">
        <v>0.6276608218402777</v>
      </c>
      <c r="J206" s="14" t="n">
        <v>3</v>
      </c>
      <c r="K206" s="19">
        <f>IF(AND(ISNUMBER(F206),ISNUMBER(G206)),(G206-F206)*1440,"")</f>
        <v/>
      </c>
      <c r="L206" s="19">
        <f>IF(AND(ISNUMBER(H206),ISNUMBER(I206)),(I206-H206)*1440,"")</f>
        <v/>
      </c>
      <c r="M206" s="15">
        <f>IF(ISNUMBER(F206),HOUR(F206),"")</f>
        <v/>
      </c>
    </row>
    <row r="207" ht="15.75" customHeight="1" s="36">
      <c r="A207" s="2" t="n">
        <v>204</v>
      </c>
      <c r="B207" s="12" t="n">
        <v>46087</v>
      </c>
      <c r="C207" s="14" t="inlineStr">
        <is>
          <t>D-272</t>
        </is>
      </c>
      <c r="D207" s="14" t="inlineStr">
        <is>
          <t>Dispensación</t>
        </is>
      </c>
      <c r="E207" s="14" t="inlineStr">
        <is>
          <t>N</t>
        </is>
      </c>
      <c r="F207" s="18" t="n">
        <v>0.6223491407407408</v>
      </c>
      <c r="G207" s="18" t="n">
        <v>0.6275862206481482</v>
      </c>
      <c r="H207" s="18" t="n">
        <v>0.6275977947222222</v>
      </c>
      <c r="I207" s="18" t="n">
        <v>0.6309079799074073</v>
      </c>
      <c r="J207" s="14" t="n">
        <v>1</v>
      </c>
      <c r="K207" s="19">
        <f>IF(AND(ISNUMBER(F207),ISNUMBER(G207)),(G207-F207)*1440,"")</f>
        <v/>
      </c>
      <c r="L207" s="19">
        <f>IF(AND(ISNUMBER(H207),ISNUMBER(I207)),(I207-H207)*1440,"")</f>
        <v/>
      </c>
      <c r="M207" s="15">
        <f>IF(ISNUMBER(F207),HOUR(F207),"")</f>
        <v/>
      </c>
    </row>
    <row r="208" ht="15.75" customHeight="1" s="36">
      <c r="A208" s="2" t="n">
        <v>205</v>
      </c>
      <c r="B208" s="12" t="n">
        <v>46087</v>
      </c>
      <c r="C208" s="14" t="inlineStr">
        <is>
          <t>P-149</t>
        </is>
      </c>
      <c r="D208" s="14" t="inlineStr">
        <is>
          <t>Pendientes</t>
        </is>
      </c>
      <c r="E208" s="14" t="inlineStr">
        <is>
          <t>N</t>
        </is>
      </c>
      <c r="F208" s="18" t="n">
        <v>0.6276411642361112</v>
      </c>
      <c r="G208" s="18" t="n">
        <v>0.6289914386574074</v>
      </c>
      <c r="H208" s="18" t="n">
        <v>0.6290145868055556</v>
      </c>
      <c r="I208" s="18" t="n">
        <v>0.6312136608796296</v>
      </c>
      <c r="J208" s="14" t="n">
        <v>4</v>
      </c>
      <c r="K208" s="19">
        <f>IF(AND(ISNUMBER(F208),ISNUMBER(G208)),(G208-F208)*1440,"")</f>
        <v/>
      </c>
      <c r="L208" s="19">
        <f>IF(AND(ISNUMBER(H208),ISNUMBER(I208)),(I208-H208)*1440,"")</f>
        <v/>
      </c>
      <c r="M208" s="15">
        <f>IF(ISNUMBER(F208),HOUR(F208),"")</f>
        <v/>
      </c>
    </row>
    <row r="209" ht="15.75" customHeight="1" s="36">
      <c r="A209" s="2" t="n">
        <v>206</v>
      </c>
      <c r="B209" s="12" t="n">
        <v>46087</v>
      </c>
      <c r="C209" s="14" t="inlineStr">
        <is>
          <t>D-283</t>
        </is>
      </c>
      <c r="D209" s="14" t="inlineStr">
        <is>
          <t>Dispensación</t>
        </is>
      </c>
      <c r="E209" s="14" t="inlineStr">
        <is>
          <t>N</t>
        </is>
      </c>
      <c r="F209" s="18" t="n">
        <v>0.6404983887268518</v>
      </c>
      <c r="G209" s="18" t="n">
        <v>0.6407560948263888</v>
      </c>
      <c r="H209" s="18" t="n">
        <v>0.6408023911226851</v>
      </c>
      <c r="I209" s="18" t="n">
        <v>0.6417167429745371</v>
      </c>
      <c r="J209" s="14" t="n">
        <v>2</v>
      </c>
      <c r="K209" s="19">
        <f>IF(AND(ISNUMBER(F209),ISNUMBER(G209)),(G209-F209)*1440,"")</f>
        <v/>
      </c>
      <c r="L209" s="19">
        <f>IF(AND(ISNUMBER(H209),ISNUMBER(I209)),(I209-H209)*1440,"")</f>
        <v/>
      </c>
      <c r="M209" s="15">
        <f>IF(ISNUMBER(F209),HOUR(F209),"")</f>
        <v/>
      </c>
    </row>
    <row r="210" ht="15.75" customHeight="1" s="36">
      <c r="A210" s="2" t="n">
        <v>207</v>
      </c>
      <c r="B210" s="12" t="n">
        <v>46087</v>
      </c>
      <c r="C210" s="14" t="inlineStr">
        <is>
          <t>V-184</t>
        </is>
      </c>
      <c r="D210" s="14" t="inlineStr">
        <is>
          <t>Turno virtual</t>
        </is>
      </c>
      <c r="E210" s="14" t="inlineStr">
        <is>
          <t>N</t>
        </is>
      </c>
      <c r="F210" s="18" t="n">
        <v>0.6430747463310186</v>
      </c>
      <c r="G210" s="18" t="n">
        <v>0.6430747463310186</v>
      </c>
      <c r="H210" s="18" t="n">
        <v>0.6430863204050926</v>
      </c>
      <c r="I210" s="18" t="n">
        <v>0.6459682648495371</v>
      </c>
      <c r="J210" s="14" t="n">
        <v>3</v>
      </c>
      <c r="K210" s="19">
        <f>IF(AND(ISNUMBER(F210),ISNUMBER(G210)),(G210-F210)*1440,"")</f>
        <v/>
      </c>
      <c r="L210" s="19">
        <f>IF(AND(ISNUMBER(H210),ISNUMBER(I210)),(I210-H210)*1440,"")</f>
        <v/>
      </c>
      <c r="M210" s="15">
        <f>IF(ISNUMBER(F210),HOUR(F210),"")</f>
        <v/>
      </c>
    </row>
    <row r="211" ht="15.75" customHeight="1" s="36">
      <c r="A211" s="2" t="n">
        <v>208</v>
      </c>
      <c r="B211" s="12" t="n">
        <v>46087</v>
      </c>
      <c r="C211" s="14" t="inlineStr">
        <is>
          <t>D-297</t>
        </is>
      </c>
      <c r="D211" s="14" t="inlineStr">
        <is>
          <t>Dispensación</t>
        </is>
      </c>
      <c r="E211" s="14" t="inlineStr">
        <is>
          <t>N</t>
        </is>
      </c>
      <c r="F211" s="18" t="n">
        <v>0.6796231355787037</v>
      </c>
      <c r="G211" s="18" t="n">
        <v>0.6796231355787037</v>
      </c>
      <c r="H211" s="18" t="n">
        <v>0.6796462837268519</v>
      </c>
      <c r="I211" s="18" t="n">
        <v>0.6804217466898148</v>
      </c>
      <c r="J211" s="14" t="n">
        <v>3</v>
      </c>
      <c r="K211" s="19">
        <f>IF(AND(ISNUMBER(F211),ISNUMBER(G211)),(G211-F211)*1440,"")</f>
        <v/>
      </c>
      <c r="L211" s="19">
        <f>IF(AND(ISNUMBER(H211),ISNUMBER(I211)),(I211-H211)*1440,"")</f>
        <v/>
      </c>
      <c r="M211" s="15">
        <f>IF(ISNUMBER(F211),HOUR(F211),"")</f>
        <v/>
      </c>
    </row>
    <row r="212" ht="15.75" customHeight="1" s="36">
      <c r="A212" s="2" t="n">
        <v>209</v>
      </c>
      <c r="B212" s="12" t="n">
        <v>46087</v>
      </c>
      <c r="C212" s="14" t="inlineStr">
        <is>
          <t>V-201</t>
        </is>
      </c>
      <c r="D212" s="14" t="inlineStr">
        <is>
          <t>Turno virtual</t>
        </is>
      </c>
      <c r="E212" s="14" t="inlineStr">
        <is>
          <t>N</t>
        </is>
      </c>
      <c r="F212" s="18" t="n">
        <v>0.6962871457175926</v>
      </c>
      <c r="G212" s="18" t="n">
        <v>0.6971127101851852</v>
      </c>
      <c r="H212" s="18" t="n">
        <v>0.6971358583333332</v>
      </c>
      <c r="I212" s="18" t="n">
        <v>0.6989066916666666</v>
      </c>
      <c r="J212" s="14" t="n">
        <v>1</v>
      </c>
      <c r="K212" s="19">
        <f>IF(AND(ISNUMBER(F212),ISNUMBER(G212)),(G212-F212)*1440,"")</f>
        <v/>
      </c>
      <c r="L212" s="19">
        <f>IF(AND(ISNUMBER(H212),ISNUMBER(I212)),(I212-H212)*1440,"")</f>
        <v/>
      </c>
      <c r="M212" s="15">
        <f>IF(ISNUMBER(F212),HOUR(F212),"")</f>
        <v/>
      </c>
    </row>
    <row r="213" ht="15.75" customHeight="1" s="36">
      <c r="A213" s="2" t="n">
        <v>210</v>
      </c>
      <c r="B213" s="12" t="n">
        <v>46087</v>
      </c>
      <c r="C213" s="14" t="inlineStr">
        <is>
          <t>D-311</t>
        </is>
      </c>
      <c r="D213" s="14" t="inlineStr">
        <is>
          <t>Dispensación</t>
        </is>
      </c>
      <c r="E213" s="14" t="inlineStr">
        <is>
          <t>N</t>
        </is>
      </c>
      <c r="F213" s="18" t="n">
        <v>0.7078401432986111</v>
      </c>
      <c r="G213" s="18" t="n">
        <v>0.7078401432986111</v>
      </c>
      <c r="H213" s="18" t="n">
        <v>0.7078632914467592</v>
      </c>
      <c r="I213" s="18" t="n">
        <v>0.7098887544097222</v>
      </c>
      <c r="J213" s="14" t="n">
        <v>2</v>
      </c>
      <c r="K213" s="19">
        <f>IF(AND(ISNUMBER(F213),ISNUMBER(G213)),(G213-F213)*1440,"")</f>
        <v/>
      </c>
      <c r="L213" s="19">
        <f>IF(AND(ISNUMBER(H213),ISNUMBER(I213)),(I213-H213)*1440,"")</f>
        <v/>
      </c>
      <c r="M213" s="15">
        <f>IF(ISNUMBER(F213),HOUR(F213),"")</f>
        <v/>
      </c>
    </row>
    <row r="214" ht="15.75" customHeight="1" s="36">
      <c r="A214" s="2" t="n">
        <v>211</v>
      </c>
      <c r="B214" s="12" t="n">
        <v>46090</v>
      </c>
      <c r="C214" s="14" t="inlineStr">
        <is>
          <t>V-001</t>
        </is>
      </c>
      <c r="D214" s="14" t="inlineStr">
        <is>
          <t>Turno virtual</t>
        </is>
      </c>
      <c r="E214" s="14" t="inlineStr">
        <is>
          <t>S</t>
        </is>
      </c>
      <c r="F214" s="18" t="n">
        <v>0.2924902375810185</v>
      </c>
      <c r="G214" s="18" t="n">
        <v>0.2924902375810185</v>
      </c>
      <c r="H214" s="18" t="n">
        <v>0.2925133857291666</v>
      </c>
      <c r="I214" s="18" t="n">
        <v>0.2942263486921296</v>
      </c>
      <c r="J214" s="14" t="n">
        <v>2</v>
      </c>
      <c r="K214" s="19">
        <f>IF(AND(ISNUMBER(F214),ISNUMBER(G214)),(G214-F214)*1440,"")</f>
        <v/>
      </c>
      <c r="L214" s="19">
        <f>IF(AND(ISNUMBER(H214),ISNUMBER(I214)),(I214-H214)*1440,"")</f>
        <v/>
      </c>
      <c r="M214" s="15">
        <f>IF(ISNUMBER(F214),HOUR(F214),"")</f>
        <v/>
      </c>
    </row>
    <row r="215" ht="15.75" customHeight="1" s="36">
      <c r="A215" s="2" t="n">
        <v>212</v>
      </c>
      <c r="B215" s="12" t="n">
        <v>46090</v>
      </c>
      <c r="C215" s="14" t="inlineStr">
        <is>
          <t>V-005</t>
        </is>
      </c>
      <c r="D215" s="14" t="inlineStr">
        <is>
          <t>Turno virtual</t>
        </is>
      </c>
      <c r="E215" s="14" t="inlineStr">
        <is>
          <t>N</t>
        </is>
      </c>
      <c r="F215" s="18" t="n">
        <v>0.2983751289467593</v>
      </c>
      <c r="G215" s="18" t="n">
        <v>0.2983751289467593</v>
      </c>
      <c r="H215" s="18" t="n">
        <v>0.2984098511689815</v>
      </c>
      <c r="I215" s="18" t="n">
        <v>0.3005973511689815</v>
      </c>
      <c r="J215" s="14" t="n">
        <v>4</v>
      </c>
      <c r="K215" s="19">
        <f>IF(AND(ISNUMBER(F215),ISNUMBER(G215)),(G215-F215)*1440,"")</f>
        <v/>
      </c>
      <c r="L215" s="19">
        <f>IF(AND(ISNUMBER(H215),ISNUMBER(I215)),(I215-H215)*1440,"")</f>
        <v/>
      </c>
      <c r="M215" s="15">
        <f>IF(ISNUMBER(F215),HOUR(F215),"")</f>
        <v/>
      </c>
    </row>
    <row r="216" ht="15.75" customHeight="1" s="36">
      <c r="A216" s="2" t="n">
        <v>213</v>
      </c>
      <c r="B216" s="12" t="n">
        <v>46090</v>
      </c>
      <c r="C216" s="14" t="inlineStr">
        <is>
          <t>D-020</t>
        </is>
      </c>
      <c r="D216" s="14" t="inlineStr">
        <is>
          <t>Dispensación</t>
        </is>
      </c>
      <c r="E216" s="14" t="inlineStr">
        <is>
          <t>N</t>
        </is>
      </c>
      <c r="F216" s="18" t="n">
        <v>0.3099845017592592</v>
      </c>
      <c r="G216" s="18" t="n">
        <v>0.3150533696875</v>
      </c>
      <c r="H216" s="18" t="n">
        <v>0.3150880919097223</v>
      </c>
      <c r="I216" s="18" t="n">
        <v>0.3189885548726852</v>
      </c>
      <c r="J216" s="14" t="n">
        <v>4</v>
      </c>
      <c r="K216" s="19">
        <f>IF(AND(ISNUMBER(F216),ISNUMBER(G216)),(G216-F216)*1440,"")</f>
        <v/>
      </c>
      <c r="L216" s="19">
        <f>IF(AND(ISNUMBER(H216),ISNUMBER(I216)),(I216-H216)*1440,"")</f>
        <v/>
      </c>
      <c r="M216" s="15">
        <f>IF(ISNUMBER(F216),HOUR(F216),"")</f>
        <v/>
      </c>
    </row>
    <row r="217" ht="15.75" customHeight="1" s="36">
      <c r="A217" s="2" t="n">
        <v>214</v>
      </c>
      <c r="B217" s="12" t="n">
        <v>46090</v>
      </c>
      <c r="C217" s="14" t="inlineStr">
        <is>
          <t>D-028</t>
        </is>
      </c>
      <c r="D217" s="14" t="inlineStr">
        <is>
          <t>Dispensación</t>
        </is>
      </c>
      <c r="E217" s="14" t="inlineStr">
        <is>
          <t>N</t>
        </is>
      </c>
      <c r="F217" s="18" t="n">
        <v>0.3180464198958333</v>
      </c>
      <c r="G217" s="18" t="n">
        <v>0.3298704329513889</v>
      </c>
      <c r="H217" s="18" t="n">
        <v>0.3298820070254629</v>
      </c>
      <c r="I217" s="18" t="n">
        <v>0.3318495996180555</v>
      </c>
      <c r="J217" s="14" t="n">
        <v>1</v>
      </c>
      <c r="K217" s="19">
        <f>IF(AND(ISNUMBER(F217),ISNUMBER(G217)),(G217-F217)*1440,"")</f>
        <v/>
      </c>
      <c r="L217" s="19">
        <f>IF(AND(ISNUMBER(H217),ISNUMBER(I217)),(I217-H217)*1440,"")</f>
        <v/>
      </c>
      <c r="M217" s="15">
        <f>IF(ISNUMBER(F217),HOUR(F217),"")</f>
        <v/>
      </c>
    </row>
    <row r="218" ht="15.75" customHeight="1" s="36">
      <c r="A218" s="2" t="n">
        <v>215</v>
      </c>
      <c r="B218" s="12" t="n">
        <v>46090</v>
      </c>
      <c r="C218" s="14" t="inlineStr">
        <is>
          <t>V-023</t>
        </is>
      </c>
      <c r="D218" s="14" t="inlineStr">
        <is>
          <t>Turno virtual</t>
        </is>
      </c>
      <c r="E218" s="14" t="inlineStr">
        <is>
          <t>N</t>
        </is>
      </c>
      <c r="F218" s="18" t="n">
        <v>0.3190178982986111</v>
      </c>
      <c r="G218" s="18" t="n">
        <v>0.3318495996180555</v>
      </c>
      <c r="H218" s="18" t="n">
        <v>0.3318958959143519</v>
      </c>
      <c r="I218" s="18" t="n">
        <v>0.3347546922106481</v>
      </c>
      <c r="J218" s="14" t="n">
        <v>1</v>
      </c>
      <c r="K218" s="19">
        <f>IF(AND(ISNUMBER(F218),ISNUMBER(G218)),(G218-F218)*1440,"")</f>
        <v/>
      </c>
      <c r="L218" s="19">
        <f>IF(AND(ISNUMBER(H218),ISNUMBER(I218)),(I218-H218)*1440,"")</f>
        <v/>
      </c>
      <c r="M218" s="15">
        <f>IF(ISNUMBER(F218),HOUR(F218),"")</f>
        <v/>
      </c>
    </row>
    <row r="219" ht="15.75" customHeight="1" s="36">
      <c r="A219" s="2" t="n">
        <v>216</v>
      </c>
      <c r="B219" s="12" t="n">
        <v>46090</v>
      </c>
      <c r="C219" s="14" t="inlineStr">
        <is>
          <t>V-027</t>
        </is>
      </c>
      <c r="D219" s="14" t="inlineStr">
        <is>
          <t>Turno virtual</t>
        </is>
      </c>
      <c r="E219" s="14" t="inlineStr">
        <is>
          <t>N</t>
        </is>
      </c>
      <c r="F219" s="18" t="n">
        <v>0.3251198191435185</v>
      </c>
      <c r="G219" s="18" t="n">
        <v>0.3381690440625</v>
      </c>
      <c r="H219" s="18" t="n">
        <v>0.3381921922106482</v>
      </c>
      <c r="I219" s="18" t="n">
        <v>0.3437245996180556</v>
      </c>
      <c r="J219" s="14" t="n">
        <v>1</v>
      </c>
      <c r="K219" s="19">
        <f>IF(AND(ISNUMBER(F219),ISNUMBER(G219)),(G219-F219)*1440,"")</f>
        <v/>
      </c>
      <c r="L219" s="19">
        <f>IF(AND(ISNUMBER(H219),ISNUMBER(I219)),(I219-H219)*1440,"")</f>
        <v/>
      </c>
      <c r="M219" s="15">
        <f>IF(ISNUMBER(F219),HOUR(F219),"")</f>
        <v/>
      </c>
    </row>
    <row r="220" ht="15.75" customHeight="1" s="36">
      <c r="A220" s="2" t="n">
        <v>217</v>
      </c>
      <c r="B220" s="12" t="n">
        <v>46090</v>
      </c>
      <c r="C220" s="14" t="inlineStr">
        <is>
          <t>D-035</t>
        </is>
      </c>
      <c r="D220" s="14" t="inlineStr">
        <is>
          <t>Dispensación</t>
        </is>
      </c>
      <c r="E220" s="14" t="inlineStr">
        <is>
          <t>S</t>
        </is>
      </c>
      <c r="F220" s="18" t="n">
        <v>0.3340682059722223</v>
      </c>
      <c r="G220" s="18" t="n">
        <v>0.3347546922106481</v>
      </c>
      <c r="H220" s="18" t="n">
        <v>0.3347778403587963</v>
      </c>
      <c r="I220" s="18" t="n">
        <v>0.3368495996180556</v>
      </c>
      <c r="J220" s="14" t="n">
        <v>1</v>
      </c>
      <c r="K220" s="19">
        <f>IF(AND(ISNUMBER(F220),ISNUMBER(G220)),(G220-F220)*1440,"")</f>
        <v/>
      </c>
      <c r="L220" s="19">
        <f>IF(AND(ISNUMBER(H220),ISNUMBER(I220)),(I220-H220)*1440,"")</f>
        <v/>
      </c>
      <c r="M220" s="15">
        <f>IF(ISNUMBER(F220),HOUR(F220),"")</f>
        <v/>
      </c>
    </row>
    <row r="221" ht="15.75" customHeight="1" s="36">
      <c r="A221" s="2" t="n">
        <v>218</v>
      </c>
      <c r="B221" s="12" t="n">
        <v>46090</v>
      </c>
      <c r="C221" s="14" t="inlineStr">
        <is>
          <t>P-029</t>
        </is>
      </c>
      <c r="D221" s="14" t="inlineStr">
        <is>
          <t>Pendientes</t>
        </is>
      </c>
      <c r="E221" s="14" t="inlineStr">
        <is>
          <t>N</t>
        </is>
      </c>
      <c r="F221" s="18" t="n">
        <v>0.3354033184606481</v>
      </c>
      <c r="G221" s="18" t="n">
        <v>0.3475996659837963</v>
      </c>
      <c r="H221" s="18" t="n">
        <v>0.3476112400578704</v>
      </c>
      <c r="I221" s="18" t="n">
        <v>0.3491274437615741</v>
      </c>
      <c r="J221" s="14" t="n">
        <v>4</v>
      </c>
      <c r="K221" s="19">
        <f>IF(AND(ISNUMBER(F221),ISNUMBER(G221)),(G221-F221)*1440,"")</f>
        <v/>
      </c>
      <c r="L221" s="19">
        <f>IF(AND(ISNUMBER(H221),ISNUMBER(I221)),(I221-H221)*1440,"")</f>
        <v/>
      </c>
      <c r="M221" s="15">
        <f>IF(ISNUMBER(F221),HOUR(F221),"")</f>
        <v/>
      </c>
    </row>
    <row r="222" ht="15.75" customHeight="1" s="36">
      <c r="A222" s="2" t="n">
        <v>219</v>
      </c>
      <c r="B222" s="12" t="n">
        <v>46090</v>
      </c>
      <c r="C222" s="14" t="inlineStr">
        <is>
          <t>D-036</t>
        </is>
      </c>
      <c r="D222" s="14" t="inlineStr">
        <is>
          <t>Dispensación</t>
        </is>
      </c>
      <c r="E222" s="14" t="inlineStr">
        <is>
          <t>N</t>
        </is>
      </c>
      <c r="F222" s="18" t="n">
        <v>0.3355382136111111</v>
      </c>
      <c r="G222" s="18" t="n">
        <v>0.3481733842708333</v>
      </c>
      <c r="H222" s="18" t="n">
        <v>0.3482196805671297</v>
      </c>
      <c r="I222" s="18" t="n">
        <v>0.3516571805671296</v>
      </c>
      <c r="J222" s="14" t="n">
        <v>3</v>
      </c>
      <c r="K222" s="19">
        <f>IF(AND(ISNUMBER(F222),ISNUMBER(G222)),(G222-F222)*1440,"")</f>
        <v/>
      </c>
      <c r="L222" s="19">
        <f>IF(AND(ISNUMBER(H222),ISNUMBER(I222)),(I222-H222)*1440,"")</f>
        <v/>
      </c>
      <c r="M222" s="15">
        <f>IF(ISNUMBER(F222),HOUR(F222),"")</f>
        <v/>
      </c>
    </row>
    <row r="223" ht="15.75" customHeight="1" s="36">
      <c r="A223" s="2" t="n">
        <v>220</v>
      </c>
      <c r="B223" s="12" t="n">
        <v>46090</v>
      </c>
      <c r="C223" s="14" t="inlineStr">
        <is>
          <t>D-049</t>
        </is>
      </c>
      <c r="D223" s="14" t="inlineStr">
        <is>
          <t>Dispensación</t>
        </is>
      </c>
      <c r="E223" s="14" t="inlineStr">
        <is>
          <t>N</t>
        </is>
      </c>
      <c r="F223" s="18" t="n">
        <v>0.3433213789351852</v>
      </c>
      <c r="G223" s="18" t="n">
        <v>0.3589955016898148</v>
      </c>
      <c r="H223" s="18" t="n">
        <v>0.3590186498379629</v>
      </c>
      <c r="I223" s="18" t="n">
        <v>0.3620394831712963</v>
      </c>
      <c r="J223" s="14" t="n">
        <v>2</v>
      </c>
      <c r="K223" s="19">
        <f>IF(AND(ISNUMBER(F223),ISNUMBER(G223)),(G223-F223)*1440,"")</f>
        <v/>
      </c>
      <c r="L223" s="19">
        <f>IF(AND(ISNUMBER(H223),ISNUMBER(I223)),(I223-H223)*1440,"")</f>
        <v/>
      </c>
      <c r="M223" s="15">
        <f>IF(ISNUMBER(F223),HOUR(F223),"")</f>
        <v/>
      </c>
    </row>
    <row r="224" ht="15.75" customHeight="1" s="36">
      <c r="A224" s="2" t="n">
        <v>221</v>
      </c>
      <c r="B224" s="12" t="n">
        <v>46090</v>
      </c>
      <c r="C224" s="14" t="inlineStr">
        <is>
          <t>V-039</t>
        </is>
      </c>
      <c r="D224" s="14" t="inlineStr">
        <is>
          <t>Turno virtual</t>
        </is>
      </c>
      <c r="E224" s="14" t="inlineStr">
        <is>
          <t>N</t>
        </is>
      </c>
      <c r="F224" s="18" t="n">
        <v>0.3480824186574074</v>
      </c>
      <c r="G224" s="18" t="n">
        <v>0.3670626313194444</v>
      </c>
      <c r="H224" s="18" t="n">
        <v>0.3670742053935185</v>
      </c>
      <c r="I224" s="18" t="n">
        <v>0.3690070757638889</v>
      </c>
      <c r="J224" s="14" t="n">
        <v>2</v>
      </c>
      <c r="K224" s="19">
        <f>IF(AND(ISNUMBER(F224),ISNUMBER(G224)),(G224-F224)*1440,"")</f>
        <v/>
      </c>
      <c r="L224" s="19">
        <f>IF(AND(ISNUMBER(H224),ISNUMBER(I224)),(I224-H224)*1440,"")</f>
        <v/>
      </c>
      <c r="M224" s="15">
        <f>IF(ISNUMBER(F224),HOUR(F224),"")</f>
        <v/>
      </c>
    </row>
    <row r="225" ht="15.75" customHeight="1" s="36">
      <c r="A225" s="2" t="n">
        <v>222</v>
      </c>
      <c r="B225" s="12" t="n">
        <v>46090</v>
      </c>
      <c r="C225" s="14" t="inlineStr">
        <is>
          <t>V-044</t>
        </is>
      </c>
      <c r="D225" s="14" t="inlineStr">
        <is>
          <t>Turno virtual</t>
        </is>
      </c>
      <c r="E225" s="14" t="inlineStr">
        <is>
          <t>S</t>
        </is>
      </c>
      <c r="F225" s="18" t="n">
        <v>0.3532356332407407</v>
      </c>
      <c r="G225" s="18" t="n">
        <v>0.3532616366550926</v>
      </c>
      <c r="H225" s="18" t="n">
        <v>0.3532847848032407</v>
      </c>
      <c r="I225" s="18" t="n">
        <v>0.3544306181365741</v>
      </c>
      <c r="J225" s="14" t="n">
        <v>1</v>
      </c>
      <c r="K225" s="19">
        <f>IF(AND(ISNUMBER(F225),ISNUMBER(G225)),(G225-F225)*1440,"")</f>
        <v/>
      </c>
      <c r="L225" s="19">
        <f>IF(AND(ISNUMBER(H225),ISNUMBER(I225)),(I225-H225)*1440,"")</f>
        <v/>
      </c>
      <c r="M225" s="15">
        <f>IF(ISNUMBER(F225),HOUR(F225),"")</f>
        <v/>
      </c>
    </row>
    <row r="226" ht="15.75" customHeight="1" s="36">
      <c r="A226" s="2" t="n">
        <v>223</v>
      </c>
      <c r="B226" s="12" t="n">
        <v>46090</v>
      </c>
      <c r="C226" s="14" t="inlineStr">
        <is>
          <t>P-051</t>
        </is>
      </c>
      <c r="D226" s="14" t="inlineStr">
        <is>
          <t>Pendientes</t>
        </is>
      </c>
      <c r="E226" s="14" t="inlineStr">
        <is>
          <t>N</t>
        </is>
      </c>
      <c r="F226" s="18" t="n">
        <v>0.3732803839004629</v>
      </c>
      <c r="G226" s="18" t="n">
        <v>0.4003658696875</v>
      </c>
      <c r="H226" s="18" t="n">
        <v>0.4003890178356482</v>
      </c>
      <c r="I226" s="18" t="n">
        <v>0.4011181845023148</v>
      </c>
      <c r="J226" s="14" t="n">
        <v>4</v>
      </c>
      <c r="K226" s="19">
        <f>IF(AND(ISNUMBER(F226),ISNUMBER(G226)),(G226-F226)*1440,"")</f>
        <v/>
      </c>
      <c r="L226" s="19">
        <f>IF(AND(ISNUMBER(H226),ISNUMBER(I226)),(I226-H226)*1440,"")</f>
        <v/>
      </c>
      <c r="M226" s="15">
        <f>IF(ISNUMBER(F226),HOUR(F226),"")</f>
        <v/>
      </c>
    </row>
    <row r="227" ht="15.75" customHeight="1" s="36">
      <c r="A227" s="2" t="n">
        <v>224</v>
      </c>
      <c r="B227" s="12" t="n">
        <v>46090</v>
      </c>
      <c r="C227" s="14" t="inlineStr">
        <is>
          <t>D-091</t>
        </is>
      </c>
      <c r="D227" s="14" t="inlineStr">
        <is>
          <t>Dispensación</t>
        </is>
      </c>
      <c r="E227" s="14" t="inlineStr">
        <is>
          <t>N</t>
        </is>
      </c>
      <c r="F227" s="18" t="n">
        <v>0.3774998503356481</v>
      </c>
      <c r="G227" s="18" t="n">
        <v>0.4042084622800926</v>
      </c>
      <c r="H227" s="18" t="n">
        <v>0.4042316104282407</v>
      </c>
      <c r="I227" s="18" t="n">
        <v>0.4066042956134259</v>
      </c>
      <c r="J227" s="14" t="n">
        <v>4</v>
      </c>
      <c r="K227" s="19">
        <f>IF(AND(ISNUMBER(F227),ISNUMBER(G227)),(G227-F227)*1440,"")</f>
        <v/>
      </c>
      <c r="L227" s="19">
        <f>IF(AND(ISNUMBER(H227),ISNUMBER(I227)),(I227-H227)*1440,"")</f>
        <v/>
      </c>
      <c r="M227" s="15">
        <f>IF(ISNUMBER(F227),HOUR(F227),"")</f>
        <v/>
      </c>
    </row>
    <row r="228" ht="15.75" customHeight="1" s="36">
      <c r="A228" s="2" t="n">
        <v>225</v>
      </c>
      <c r="B228" s="12" t="n">
        <v>46090</v>
      </c>
      <c r="C228" s="14" t="inlineStr">
        <is>
          <t>D-095</t>
        </is>
      </c>
      <c r="D228" s="14" t="inlineStr">
        <is>
          <t>Dispensación</t>
        </is>
      </c>
      <c r="E228" s="14" t="inlineStr">
        <is>
          <t>N</t>
        </is>
      </c>
      <c r="F228" s="18" t="n">
        <v>0.3804827394328704</v>
      </c>
      <c r="G228" s="18" t="n">
        <v>0.4074607770949074</v>
      </c>
      <c r="H228" s="18" t="n">
        <v>0.4074839252430555</v>
      </c>
      <c r="I228" s="18" t="n">
        <v>0.408328832650463</v>
      </c>
      <c r="J228" s="14" t="n">
        <v>4</v>
      </c>
      <c r="K228" s="19">
        <f>IF(AND(ISNUMBER(F228),ISNUMBER(G228)),(G228-F228)*1440,"")</f>
        <v/>
      </c>
      <c r="L228" s="19">
        <f>IF(AND(ISNUMBER(H228),ISNUMBER(I228)),(I228-H228)*1440,"")</f>
        <v/>
      </c>
      <c r="M228" s="15">
        <f>IF(ISNUMBER(F228),HOUR(F228),"")</f>
        <v/>
      </c>
    </row>
    <row r="229" ht="15.75" customHeight="1" s="36">
      <c r="A229" s="2" t="n">
        <v>226</v>
      </c>
      <c r="B229" s="12" t="n">
        <v>46090</v>
      </c>
      <c r="C229" s="14" t="inlineStr">
        <is>
          <t>D-101</t>
        </is>
      </c>
      <c r="D229" s="14" t="inlineStr">
        <is>
          <t>Dispensación</t>
        </is>
      </c>
      <c r="E229" s="14" t="inlineStr">
        <is>
          <t>N</t>
        </is>
      </c>
      <c r="F229" s="18" t="n">
        <v>0.3877166355324074</v>
      </c>
      <c r="G229" s="18" t="n">
        <v>0.4133817176041666</v>
      </c>
      <c r="H229" s="18" t="n">
        <v>0.4134048657523148</v>
      </c>
      <c r="I229" s="18" t="n">
        <v>0.4154071805671296</v>
      </c>
      <c r="J229" s="14" t="n">
        <v>3</v>
      </c>
      <c r="K229" s="19">
        <f>IF(AND(ISNUMBER(F229),ISNUMBER(G229)),(G229-F229)*1440,"")</f>
        <v/>
      </c>
      <c r="L229" s="19">
        <f>IF(AND(ISNUMBER(H229),ISNUMBER(I229)),(I229-H229)*1440,"")</f>
        <v/>
      </c>
      <c r="M229" s="15">
        <f>IF(ISNUMBER(F229),HOUR(F229),"")</f>
        <v/>
      </c>
    </row>
    <row r="230" ht="15.75" customHeight="1" s="36">
      <c r="A230" s="2" t="n">
        <v>227</v>
      </c>
      <c r="B230" s="12" t="n">
        <v>46090</v>
      </c>
      <c r="C230" s="14" t="inlineStr">
        <is>
          <t>P-064</t>
        </is>
      </c>
      <c r="D230" s="14" t="inlineStr">
        <is>
          <t>Pendientes</t>
        </is>
      </c>
      <c r="E230" s="14" t="inlineStr">
        <is>
          <t>N</t>
        </is>
      </c>
      <c r="F230" s="18" t="n">
        <v>0.4015232666782408</v>
      </c>
      <c r="G230" s="18" t="n">
        <v>0.4275715324189814</v>
      </c>
      <c r="H230" s="18" t="n">
        <v>0.4276178287152778</v>
      </c>
      <c r="I230" s="18" t="n">
        <v>0.4312405139004629</v>
      </c>
      <c r="J230" s="14" t="n">
        <v>3</v>
      </c>
      <c r="K230" s="19">
        <f>IF(AND(ISNUMBER(F230),ISNUMBER(G230)),(G230-F230)*1440,"")</f>
        <v/>
      </c>
      <c r="L230" s="19">
        <f>IF(AND(ISNUMBER(H230),ISNUMBER(I230)),(I230-H230)*1440,"")</f>
        <v/>
      </c>
      <c r="M230" s="15">
        <f>IF(ISNUMBER(F230),HOUR(F230),"")</f>
        <v/>
      </c>
    </row>
    <row r="231" ht="15.75" customHeight="1" s="36">
      <c r="A231" s="2" t="n">
        <v>228</v>
      </c>
      <c r="B231" s="12" t="n">
        <v>46090</v>
      </c>
      <c r="C231" s="14" t="inlineStr">
        <is>
          <t>D-127</t>
        </is>
      </c>
      <c r="D231" s="14" t="inlineStr">
        <is>
          <t>Dispensación</t>
        </is>
      </c>
      <c r="E231" s="14" t="inlineStr">
        <is>
          <t>N</t>
        </is>
      </c>
      <c r="F231" s="18" t="n">
        <v>0.4164788202777778</v>
      </c>
      <c r="G231" s="18" t="n">
        <v>0.4382825363541667</v>
      </c>
      <c r="H231" s="18" t="n">
        <v>0.4383172585763889</v>
      </c>
      <c r="I231" s="18" t="n">
        <v>0.4402964252430556</v>
      </c>
      <c r="J231" s="14" t="n">
        <v>4</v>
      </c>
      <c r="K231" s="19">
        <f>IF(AND(ISNUMBER(F231),ISNUMBER(G231)),(G231-F231)*1440,"")</f>
        <v/>
      </c>
      <c r="L231" s="19">
        <f>IF(AND(ISNUMBER(H231),ISNUMBER(I231)),(I231-H231)*1440,"")</f>
        <v/>
      </c>
      <c r="M231" s="15">
        <f>IF(ISNUMBER(F231),HOUR(F231),"")</f>
        <v/>
      </c>
    </row>
    <row r="232" ht="15.75" customHeight="1" s="36">
      <c r="A232" s="2" t="n">
        <v>229</v>
      </c>
      <c r="B232" s="12" t="n">
        <v>46090</v>
      </c>
      <c r="C232" s="14" t="inlineStr">
        <is>
          <t>D-134</t>
        </is>
      </c>
      <c r="D232" s="14" t="inlineStr">
        <is>
          <t>Dispensación</t>
        </is>
      </c>
      <c r="E232" s="14" t="inlineStr">
        <is>
          <t>N</t>
        </is>
      </c>
      <c r="F232" s="18" t="n">
        <v>0.4232874843055556</v>
      </c>
      <c r="G232" s="18" t="n">
        <v>0.4448979213078704</v>
      </c>
      <c r="H232" s="18" t="n">
        <v>0.4449442176041666</v>
      </c>
      <c r="I232" s="18" t="n">
        <v>0.4455113472337963</v>
      </c>
      <c r="J232" s="14" t="n">
        <v>3</v>
      </c>
      <c r="K232" s="19">
        <f>IF(AND(ISNUMBER(F232),ISNUMBER(G232)),(G232-F232)*1440,"")</f>
        <v/>
      </c>
      <c r="L232" s="19">
        <f>IF(AND(ISNUMBER(H232),ISNUMBER(I232)),(I232-H232)*1440,"")</f>
        <v/>
      </c>
      <c r="M232" s="15">
        <f>IF(ISNUMBER(F232),HOUR(F232),"")</f>
        <v/>
      </c>
    </row>
    <row r="233" ht="15.75" customHeight="1" s="36">
      <c r="A233" s="2" t="n">
        <v>230</v>
      </c>
      <c r="B233" s="12" t="n">
        <v>46090</v>
      </c>
      <c r="C233" s="14" t="inlineStr">
        <is>
          <t>D-135</t>
        </is>
      </c>
      <c r="D233" s="14" t="inlineStr">
        <is>
          <t>Dispensación</t>
        </is>
      </c>
      <c r="E233" s="14" t="inlineStr">
        <is>
          <t>S</t>
        </is>
      </c>
      <c r="F233" s="18" t="n">
        <v>0.424214919525463</v>
      </c>
      <c r="G233" s="18" t="n">
        <v>0.4243542979861111</v>
      </c>
      <c r="H233" s="18" t="n">
        <v>0.4244005942824073</v>
      </c>
      <c r="I233" s="18" t="n">
        <v>0.4263913350231481</v>
      </c>
      <c r="J233" s="14" t="n">
        <v>2</v>
      </c>
      <c r="K233" s="19">
        <f>IF(AND(ISNUMBER(F233),ISNUMBER(G233)),(G233-F233)*1440,"")</f>
        <v/>
      </c>
      <c r="L233" s="19">
        <f>IF(AND(ISNUMBER(H233),ISNUMBER(I233)),(I233-H233)*1440,"")</f>
        <v/>
      </c>
      <c r="M233" s="15">
        <f>IF(ISNUMBER(F233),HOUR(F233),"")</f>
        <v/>
      </c>
    </row>
    <row r="234" ht="15.75" customHeight="1" s="36">
      <c r="A234" s="2" t="n">
        <v>231</v>
      </c>
      <c r="B234" s="12" t="n">
        <v>46090</v>
      </c>
      <c r="C234" s="14" t="inlineStr">
        <is>
          <t>D-137</t>
        </is>
      </c>
      <c r="D234" s="14" t="inlineStr">
        <is>
          <t>Dispensación</t>
        </is>
      </c>
      <c r="E234" s="14" t="inlineStr">
        <is>
          <t>N</t>
        </is>
      </c>
      <c r="F234" s="18" t="n">
        <v>0.425299675324074</v>
      </c>
      <c r="G234" s="18" t="n">
        <v>0.4457153403587963</v>
      </c>
      <c r="H234" s="18" t="n">
        <v>0.4457500625810185</v>
      </c>
      <c r="I234" s="18" t="n">
        <v>0.4463750625810185</v>
      </c>
      <c r="J234" s="14" t="n">
        <v>1</v>
      </c>
      <c r="K234" s="19">
        <f>IF(AND(ISNUMBER(F234),ISNUMBER(G234)),(G234-F234)*1440,"")</f>
        <v/>
      </c>
      <c r="L234" s="19">
        <f>IF(AND(ISNUMBER(H234),ISNUMBER(I234)),(I234-H234)*1440,"")</f>
        <v/>
      </c>
      <c r="M234" s="15">
        <f>IF(ISNUMBER(F234),HOUR(F234),"")</f>
        <v/>
      </c>
    </row>
    <row r="235" ht="15.75" customHeight="1" s="36">
      <c r="A235" s="2" t="n">
        <v>232</v>
      </c>
      <c r="B235" s="12" t="n">
        <v>46090</v>
      </c>
      <c r="C235" s="14" t="inlineStr">
        <is>
          <t>D-141</t>
        </is>
      </c>
      <c r="D235" s="14" t="inlineStr">
        <is>
          <t>Dispensación</t>
        </is>
      </c>
      <c r="E235" s="14" t="inlineStr">
        <is>
          <t>N</t>
        </is>
      </c>
      <c r="F235" s="18" t="n">
        <v>0.4304833734375</v>
      </c>
      <c r="G235" s="18" t="n">
        <v>0.4553608842708333</v>
      </c>
      <c r="H235" s="18" t="n">
        <v>0.4554071805671296</v>
      </c>
      <c r="I235" s="18" t="n">
        <v>0.4589025509375</v>
      </c>
      <c r="J235" s="14" t="n">
        <v>3</v>
      </c>
      <c r="K235" s="19">
        <f>IF(AND(ISNUMBER(F235),ISNUMBER(G235)),(G235-F235)*1440,"")</f>
        <v/>
      </c>
      <c r="L235" s="19">
        <f>IF(AND(ISNUMBER(H235),ISNUMBER(I235)),(I235-H235)*1440,"")</f>
        <v/>
      </c>
      <c r="M235" s="15">
        <f>IF(ISNUMBER(F235),HOUR(F235),"")</f>
        <v/>
      </c>
    </row>
    <row r="236" ht="15.75" customHeight="1" s="36">
      <c r="A236" s="2" t="n">
        <v>233</v>
      </c>
      <c r="B236" s="12" t="n">
        <v>46090</v>
      </c>
      <c r="C236" s="14" t="inlineStr">
        <is>
          <t>P-080</t>
        </is>
      </c>
      <c r="D236" s="14" t="inlineStr">
        <is>
          <t>Pendientes</t>
        </is>
      </c>
      <c r="E236" s="14" t="inlineStr">
        <is>
          <t>N</t>
        </is>
      </c>
      <c r="F236" s="18" t="n">
        <v>0.4436695102777777</v>
      </c>
      <c r="G236" s="18" t="n">
        <v>0.4658357794675925</v>
      </c>
      <c r="H236" s="18" t="n">
        <v>0.4658820757638888</v>
      </c>
      <c r="I236" s="18" t="n">
        <v>0.4665765202083333</v>
      </c>
      <c r="J236" s="14" t="n">
        <v>2</v>
      </c>
      <c r="K236" s="19">
        <f>IF(AND(ISNUMBER(F236),ISNUMBER(G236)),(G236-F236)*1440,"")</f>
        <v/>
      </c>
      <c r="L236" s="19">
        <f>IF(AND(ISNUMBER(H236),ISNUMBER(I236)),(I236-H236)*1440,"")</f>
        <v/>
      </c>
      <c r="M236" s="15">
        <f>IF(ISNUMBER(F236),HOUR(F236),"")</f>
        <v/>
      </c>
    </row>
    <row r="237" ht="15.75" customHeight="1" s="36">
      <c r="A237" s="2" t="n">
        <v>234</v>
      </c>
      <c r="B237" s="12" t="n">
        <v>46090</v>
      </c>
      <c r="C237" s="14" t="inlineStr">
        <is>
          <t>P-090</t>
        </is>
      </c>
      <c r="D237" s="14" t="inlineStr">
        <is>
          <t>Pendientes</t>
        </is>
      </c>
      <c r="E237" s="14" t="inlineStr">
        <is>
          <t>N</t>
        </is>
      </c>
      <c r="F237" s="18" t="n">
        <v>0.4616178351041667</v>
      </c>
      <c r="G237" s="18" t="n">
        <v>0.4800070733912037</v>
      </c>
      <c r="H237" s="18" t="n">
        <v>0.4800417956134259</v>
      </c>
      <c r="I237" s="18" t="n">
        <v>0.4825996659837963</v>
      </c>
      <c r="J237" s="14" t="n">
        <v>4</v>
      </c>
      <c r="K237" s="19">
        <f>IF(AND(ISNUMBER(F237),ISNUMBER(G237)),(G237-F237)*1440,"")</f>
        <v/>
      </c>
      <c r="L237" s="19">
        <f>IF(AND(ISNUMBER(H237),ISNUMBER(I237)),(I237-H237)*1440,"")</f>
        <v/>
      </c>
      <c r="M237" s="15">
        <f>IF(ISNUMBER(F237),HOUR(F237),"")</f>
        <v/>
      </c>
    </row>
    <row r="238" ht="15.75" customHeight="1" s="36">
      <c r="A238" s="2" t="n">
        <v>235</v>
      </c>
      <c r="B238" s="12" t="n">
        <v>46090</v>
      </c>
      <c r="C238" s="14" t="inlineStr">
        <is>
          <t>P-097</t>
        </is>
      </c>
      <c r="D238" s="14" t="inlineStr">
        <is>
          <t>Pendientes</t>
        </is>
      </c>
      <c r="E238" s="14" t="inlineStr">
        <is>
          <t>N</t>
        </is>
      </c>
      <c r="F238" s="18" t="n">
        <v>0.4775975296064815</v>
      </c>
      <c r="G238" s="18" t="n">
        <v>0.4909743101967592</v>
      </c>
      <c r="H238" s="18" t="n">
        <v>0.4909858842708333</v>
      </c>
      <c r="I238" s="18" t="n">
        <v>0.4943886620486111</v>
      </c>
      <c r="J238" s="14" t="n">
        <v>3</v>
      </c>
      <c r="K238" s="19">
        <f>IF(AND(ISNUMBER(F238),ISNUMBER(G238)),(G238-F238)*1440,"")</f>
        <v/>
      </c>
      <c r="L238" s="19">
        <f>IF(AND(ISNUMBER(H238),ISNUMBER(I238)),(I238-H238)*1440,"")</f>
        <v/>
      </c>
      <c r="M238" s="15">
        <f>IF(ISNUMBER(F238),HOUR(F238),"")</f>
        <v/>
      </c>
    </row>
    <row r="239" ht="15.75" customHeight="1" s="36">
      <c r="A239" s="2" t="n">
        <v>236</v>
      </c>
      <c r="B239" s="12" t="n">
        <v>46090</v>
      </c>
      <c r="C239" s="14" t="inlineStr">
        <is>
          <t>D-168</t>
        </is>
      </c>
      <c r="D239" s="14" t="inlineStr">
        <is>
          <t>Dispensación</t>
        </is>
      </c>
      <c r="E239" s="14" t="inlineStr">
        <is>
          <t>N</t>
        </is>
      </c>
      <c r="F239" s="18" t="n">
        <v>0.4787613970370371</v>
      </c>
      <c r="G239" s="18" t="n">
        <v>0.492393581099537</v>
      </c>
      <c r="H239" s="18" t="n">
        <v>0.4924398773958333</v>
      </c>
      <c r="I239" s="18" t="n">
        <v>0.4949167292476852</v>
      </c>
      <c r="J239" s="14" t="n">
        <v>1</v>
      </c>
      <c r="K239" s="19">
        <f>IF(AND(ISNUMBER(F239),ISNUMBER(G239)),(G239-F239)*1440,"")</f>
        <v/>
      </c>
      <c r="L239" s="19">
        <f>IF(AND(ISNUMBER(H239),ISNUMBER(I239)),(I239-H239)*1440,"")</f>
        <v/>
      </c>
      <c r="M239" s="15">
        <f>IF(ISNUMBER(F239),HOUR(F239),"")</f>
        <v/>
      </c>
    </row>
    <row r="240" ht="15.75" customHeight="1" s="36">
      <c r="A240" s="2" t="n">
        <v>237</v>
      </c>
      <c r="B240" s="12" t="n">
        <v>46090</v>
      </c>
      <c r="C240" s="14" t="inlineStr">
        <is>
          <t>D-172</t>
        </is>
      </c>
      <c r="D240" s="14" t="inlineStr">
        <is>
          <t>Dispensación</t>
        </is>
      </c>
      <c r="E240" s="14" t="inlineStr">
        <is>
          <t>N</t>
        </is>
      </c>
      <c r="F240" s="18" t="n">
        <v>0.4862201484375</v>
      </c>
      <c r="G240" s="18" t="n">
        <v>0.4976806845023148</v>
      </c>
      <c r="H240" s="18" t="n">
        <v>0.4977269807986111</v>
      </c>
      <c r="I240" s="18" t="n">
        <v>0.5025765178356482</v>
      </c>
      <c r="J240" s="14" t="n">
        <v>4</v>
      </c>
      <c r="K240" s="19">
        <f>IF(AND(ISNUMBER(F240),ISNUMBER(G240)),(G240-F240)*1440,"")</f>
        <v/>
      </c>
      <c r="L240" s="19">
        <f>IF(AND(ISNUMBER(H240),ISNUMBER(I240)),(I240-H240)*1440,"")</f>
        <v/>
      </c>
      <c r="M240" s="15">
        <f>IF(ISNUMBER(F240),HOUR(F240),"")</f>
        <v/>
      </c>
    </row>
    <row r="241" ht="15.75" customHeight="1" s="36">
      <c r="A241" s="2" t="n">
        <v>238</v>
      </c>
      <c r="B241" s="12" t="n">
        <v>46090</v>
      </c>
      <c r="C241" s="14" t="inlineStr">
        <is>
          <t>D-192</t>
        </is>
      </c>
      <c r="D241" s="14" t="inlineStr">
        <is>
          <t>Dispensación</t>
        </is>
      </c>
      <c r="E241" s="14" t="inlineStr">
        <is>
          <t>N</t>
        </is>
      </c>
      <c r="F241" s="18" t="n">
        <v>0.5353978407060186</v>
      </c>
      <c r="G241" s="18" t="n">
        <v>0.5353978407060186</v>
      </c>
      <c r="H241" s="18" t="n">
        <v>0.5354325629282408</v>
      </c>
      <c r="I241" s="18" t="n">
        <v>0.5371223777430556</v>
      </c>
      <c r="J241" s="14" t="n">
        <v>2</v>
      </c>
      <c r="K241" s="19">
        <f>IF(AND(ISNUMBER(F241),ISNUMBER(G241)),(G241-F241)*1440,"")</f>
        <v/>
      </c>
      <c r="L241" s="19">
        <f>IF(AND(ISNUMBER(H241),ISNUMBER(I241)),(I241-H241)*1440,"")</f>
        <v/>
      </c>
      <c r="M241" s="15">
        <f>IF(ISNUMBER(F241),HOUR(F241),"")</f>
        <v/>
      </c>
    </row>
    <row r="242" ht="15.75" customHeight="1" s="36">
      <c r="A242" s="2" t="n">
        <v>239</v>
      </c>
      <c r="B242" s="12" t="n">
        <v>46090</v>
      </c>
      <c r="C242" s="14" t="inlineStr">
        <is>
          <t>V-126</t>
        </is>
      </c>
      <c r="D242" s="14" t="inlineStr">
        <is>
          <t>Turno virtual</t>
        </is>
      </c>
      <c r="E242" s="14" t="inlineStr">
        <is>
          <t>N</t>
        </is>
      </c>
      <c r="F242" s="18" t="n">
        <v>0.5410167708217593</v>
      </c>
      <c r="G242" s="18" t="n">
        <v>0.5410167708217593</v>
      </c>
      <c r="H242" s="18" t="n">
        <v>0.5410514930439815</v>
      </c>
      <c r="I242" s="18" t="n">
        <v>0.5438176967476852</v>
      </c>
      <c r="J242" s="14" t="n">
        <v>3</v>
      </c>
      <c r="K242" s="19">
        <f>IF(AND(ISNUMBER(F242),ISNUMBER(G242)),(G242-F242)*1440,"")</f>
        <v/>
      </c>
      <c r="L242" s="19">
        <f>IF(AND(ISNUMBER(H242),ISNUMBER(I242)),(I242-H242)*1440,"")</f>
        <v/>
      </c>
      <c r="M242" s="15">
        <f>IF(ISNUMBER(F242),HOUR(F242),"")</f>
        <v/>
      </c>
    </row>
    <row r="243" ht="15.75" customHeight="1" s="36">
      <c r="A243" s="2" t="n">
        <v>240</v>
      </c>
      <c r="B243" s="12" t="n">
        <v>46090</v>
      </c>
      <c r="C243" s="14" t="inlineStr">
        <is>
          <t>D-200</t>
        </is>
      </c>
      <c r="D243" s="14" t="inlineStr">
        <is>
          <t>Dispensación</t>
        </is>
      </c>
      <c r="E243" s="14" t="inlineStr">
        <is>
          <t>N</t>
        </is>
      </c>
      <c r="F243" s="18" t="n">
        <v>0.5509311143981481</v>
      </c>
      <c r="G243" s="18" t="n">
        <v>0.5565024363888889</v>
      </c>
      <c r="H243" s="18" t="n">
        <v>0.5565371586111111</v>
      </c>
      <c r="I243" s="18" t="n">
        <v>0.5591876215740741</v>
      </c>
      <c r="J243" s="14" t="n">
        <v>1</v>
      </c>
      <c r="K243" s="19">
        <f>IF(AND(ISNUMBER(F243),ISNUMBER(G243)),(G243-F243)*1440,"")</f>
        <v/>
      </c>
      <c r="L243" s="19">
        <f>IF(AND(ISNUMBER(H243),ISNUMBER(I243)),(I243-H243)*1440,"")</f>
        <v/>
      </c>
      <c r="M243" s="15">
        <f>IF(ISNUMBER(F243),HOUR(F243),"")</f>
        <v/>
      </c>
    </row>
    <row r="244" ht="15.75" customHeight="1" s="36">
      <c r="A244" s="2" t="n">
        <v>241</v>
      </c>
      <c r="B244" s="12" t="n">
        <v>46090</v>
      </c>
      <c r="C244" s="14" t="inlineStr">
        <is>
          <t>D-207</t>
        </is>
      </c>
      <c r="D244" s="14" t="inlineStr">
        <is>
          <t>Dispensación</t>
        </is>
      </c>
      <c r="E244" s="14" t="inlineStr">
        <is>
          <t>N</t>
        </is>
      </c>
      <c r="F244" s="18" t="n">
        <v>0.5619765687962962</v>
      </c>
      <c r="G244" s="18" t="n">
        <v>0.5651598437962964</v>
      </c>
      <c r="H244" s="18" t="n">
        <v>0.5651829919444444</v>
      </c>
      <c r="I244" s="18" t="n">
        <v>0.5701714178703704</v>
      </c>
      <c r="J244" s="14" t="n">
        <v>1</v>
      </c>
      <c r="K244" s="19">
        <f>IF(AND(ISNUMBER(F244),ISNUMBER(G244)),(G244-F244)*1440,"")</f>
        <v/>
      </c>
      <c r="L244" s="19">
        <f>IF(AND(ISNUMBER(H244),ISNUMBER(I244)),(I244-H244)*1440,"")</f>
        <v/>
      </c>
      <c r="M244" s="15">
        <f>IF(ISNUMBER(F244),HOUR(F244),"")</f>
        <v/>
      </c>
    </row>
    <row r="245" ht="15.75" customHeight="1" s="36">
      <c r="A245" s="2" t="n">
        <v>242</v>
      </c>
      <c r="B245" s="12" t="n">
        <v>46090</v>
      </c>
      <c r="C245" s="14" t="inlineStr">
        <is>
          <t>D-219</t>
        </is>
      </c>
      <c r="D245" s="14" t="inlineStr">
        <is>
          <t>Dispensación</t>
        </is>
      </c>
      <c r="E245" s="14" t="inlineStr">
        <is>
          <t>N</t>
        </is>
      </c>
      <c r="F245" s="18" t="n">
        <v>0.5820759321412037</v>
      </c>
      <c r="G245" s="18" t="n">
        <v>0.5820759321412037</v>
      </c>
      <c r="H245" s="18" t="n">
        <v>0.5820875062152778</v>
      </c>
      <c r="I245" s="18" t="n">
        <v>0.5855597284375</v>
      </c>
      <c r="J245" s="14" t="n">
        <v>1</v>
      </c>
      <c r="K245" s="19">
        <f>IF(AND(ISNUMBER(F245),ISNUMBER(G245)),(G245-F245)*1440,"")</f>
        <v/>
      </c>
      <c r="L245" s="19">
        <f>IF(AND(ISNUMBER(H245),ISNUMBER(I245)),(I245-H245)*1440,"")</f>
        <v/>
      </c>
      <c r="M245" s="15">
        <f>IF(ISNUMBER(F245),HOUR(F245),"")</f>
        <v/>
      </c>
    </row>
    <row r="246" ht="15.75" customHeight="1" s="36">
      <c r="A246" s="2" t="n">
        <v>243</v>
      </c>
      <c r="B246" s="12" t="n">
        <v>46090</v>
      </c>
      <c r="C246" s="14" t="inlineStr">
        <is>
          <t>V-140</t>
        </is>
      </c>
      <c r="D246" s="14" t="inlineStr">
        <is>
          <t>Turno virtual</t>
        </is>
      </c>
      <c r="E246" s="14" t="inlineStr">
        <is>
          <t>N</t>
        </is>
      </c>
      <c r="F246" s="18" t="n">
        <v>0.5855635751273148</v>
      </c>
      <c r="G246" s="18" t="n">
        <v>0.5855635751273148</v>
      </c>
      <c r="H246" s="18" t="n">
        <v>0.5856098714236111</v>
      </c>
      <c r="I246" s="18" t="n">
        <v>0.5875427417939815</v>
      </c>
      <c r="J246" s="14" t="n">
        <v>3</v>
      </c>
      <c r="K246" s="19">
        <f>IF(AND(ISNUMBER(F246),ISNUMBER(G246)),(G246-F246)*1440,"")</f>
        <v/>
      </c>
      <c r="L246" s="19">
        <f>IF(AND(ISNUMBER(H246),ISNUMBER(I246)),(I246-H246)*1440,"")</f>
        <v/>
      </c>
      <c r="M246" s="15">
        <f>IF(ISNUMBER(F246),HOUR(F246),"")</f>
        <v/>
      </c>
    </row>
    <row r="247" ht="15.75" customHeight="1" s="36">
      <c r="A247" s="2" t="n">
        <v>244</v>
      </c>
      <c r="B247" s="12" t="n">
        <v>46090</v>
      </c>
      <c r="C247" s="14" t="inlineStr">
        <is>
          <t>V-145</t>
        </is>
      </c>
      <c r="D247" s="14" t="inlineStr">
        <is>
          <t>Turno virtual</t>
        </is>
      </c>
      <c r="E247" s="14" t="inlineStr">
        <is>
          <t>S</t>
        </is>
      </c>
      <c r="F247" s="18" t="n">
        <v>0.597063969849537</v>
      </c>
      <c r="G247" s="18" t="n">
        <v>0.5977647305671296</v>
      </c>
      <c r="H247" s="18" t="n">
        <v>0.5977763046412037</v>
      </c>
      <c r="I247" s="18" t="n">
        <v>0.5995239898263889</v>
      </c>
      <c r="J247" s="14" t="n">
        <v>1</v>
      </c>
      <c r="K247" s="19">
        <f>IF(AND(ISNUMBER(F247),ISNUMBER(G247)),(G247-F247)*1440,"")</f>
        <v/>
      </c>
      <c r="L247" s="19">
        <f>IF(AND(ISNUMBER(H247),ISNUMBER(I247)),(I247-H247)*1440,"")</f>
        <v/>
      </c>
      <c r="M247" s="15">
        <f>IF(ISNUMBER(F247),HOUR(F247),"")</f>
        <v/>
      </c>
    </row>
    <row r="248" ht="15.75" customHeight="1" s="36">
      <c r="A248" s="2" t="n">
        <v>245</v>
      </c>
      <c r="B248" s="12" t="n">
        <v>46090</v>
      </c>
      <c r="C248" s="14" t="inlineStr">
        <is>
          <t>D-236</t>
        </is>
      </c>
      <c r="D248" s="14" t="inlineStr">
        <is>
          <t>Dispensación</t>
        </is>
      </c>
      <c r="E248" s="14" t="inlineStr">
        <is>
          <t>N</t>
        </is>
      </c>
      <c r="F248" s="18" t="n">
        <v>0.597987993263889</v>
      </c>
      <c r="G248" s="18" t="n">
        <v>0.6004941396643518</v>
      </c>
      <c r="H248" s="18" t="n">
        <v>0.6005404359606481</v>
      </c>
      <c r="I248" s="18" t="n">
        <v>0.6012696026273148</v>
      </c>
      <c r="J248" s="14" t="n">
        <v>2</v>
      </c>
      <c r="K248" s="19">
        <f>IF(AND(ISNUMBER(F248),ISNUMBER(G248)),(G248-F248)*1440,"")</f>
        <v/>
      </c>
      <c r="L248" s="19">
        <f>IF(AND(ISNUMBER(H248),ISNUMBER(I248)),(I248-H248)*1440,"")</f>
        <v/>
      </c>
      <c r="M248" s="15">
        <f>IF(ISNUMBER(F248),HOUR(F248),"")</f>
        <v/>
      </c>
    </row>
    <row r="249" ht="15.75" customHeight="1" s="36">
      <c r="A249" s="2" t="n">
        <v>246</v>
      </c>
      <c r="B249" s="12" t="n">
        <v>46090</v>
      </c>
      <c r="C249" s="14" t="inlineStr">
        <is>
          <t>P-151</t>
        </is>
      </c>
      <c r="D249" s="14" t="inlineStr">
        <is>
          <t>Pendientes</t>
        </is>
      </c>
      <c r="E249" s="14" t="inlineStr">
        <is>
          <t>N</t>
        </is>
      </c>
      <c r="F249" s="18" t="n">
        <v>0.6236634989699075</v>
      </c>
      <c r="G249" s="18" t="n">
        <v>0.6236634989699075</v>
      </c>
      <c r="H249" s="18" t="n">
        <v>0.6237097952662037</v>
      </c>
      <c r="I249" s="18" t="n">
        <v>0.6250755360069444</v>
      </c>
      <c r="J249" s="14" t="n">
        <v>4</v>
      </c>
      <c r="K249" s="19">
        <f>IF(AND(ISNUMBER(F249),ISNUMBER(G249)),(G249-F249)*1440,"")</f>
        <v/>
      </c>
      <c r="L249" s="19">
        <f>IF(AND(ISNUMBER(H249),ISNUMBER(I249)),(I249-H249)*1440,"")</f>
        <v/>
      </c>
      <c r="M249" s="15">
        <f>IF(ISNUMBER(F249),HOUR(F249),"")</f>
        <v/>
      </c>
    </row>
    <row r="250" ht="15.75" customHeight="1" s="36">
      <c r="A250" s="2" t="n">
        <v>247</v>
      </c>
      <c r="B250" s="12" t="n">
        <v>46090</v>
      </c>
      <c r="C250" s="14" t="inlineStr">
        <is>
          <t>P-153</t>
        </is>
      </c>
      <c r="D250" s="14" t="inlineStr">
        <is>
          <t>Pendientes</t>
        </is>
      </c>
      <c r="E250" s="14" t="inlineStr">
        <is>
          <t>N</t>
        </is>
      </c>
      <c r="F250" s="18" t="n">
        <v>0.6259309171643519</v>
      </c>
      <c r="G250" s="18" t="n">
        <v>0.6259309171643519</v>
      </c>
      <c r="H250" s="18" t="n">
        <v>0.6259540653125</v>
      </c>
      <c r="I250" s="18" t="n">
        <v>0.6284077690162037</v>
      </c>
      <c r="J250" s="14" t="n">
        <v>2</v>
      </c>
      <c r="K250" s="19">
        <f>IF(AND(ISNUMBER(F250),ISNUMBER(G250)),(G250-F250)*1440,"")</f>
        <v/>
      </c>
      <c r="L250" s="19">
        <f>IF(AND(ISNUMBER(H250),ISNUMBER(I250)),(I250-H250)*1440,"")</f>
        <v/>
      </c>
      <c r="M250" s="15">
        <f>IF(ISNUMBER(F250),HOUR(F250),"")</f>
        <v/>
      </c>
    </row>
    <row r="251" ht="15.75" customHeight="1" s="36">
      <c r="A251" s="2" t="n">
        <v>248</v>
      </c>
      <c r="B251" s="12" t="n">
        <v>46090</v>
      </c>
      <c r="C251" s="14" t="inlineStr">
        <is>
          <t>P-154</t>
        </is>
      </c>
      <c r="D251" s="14" t="inlineStr">
        <is>
          <t>Pendientes</t>
        </is>
      </c>
      <c r="E251" s="14" t="inlineStr">
        <is>
          <t>N</t>
        </is>
      </c>
      <c r="F251" s="18" t="n">
        <v>0.626469318287037</v>
      </c>
      <c r="G251" s="18" t="n">
        <v>0.626469318287037</v>
      </c>
      <c r="H251" s="18" t="n">
        <v>0.6265156145833333</v>
      </c>
      <c r="I251" s="18" t="n">
        <v>0.6299183923611111</v>
      </c>
      <c r="J251" s="14" t="n">
        <v>1</v>
      </c>
      <c r="K251" s="19">
        <f>IF(AND(ISNUMBER(F251),ISNUMBER(G251)),(G251-F251)*1440,"")</f>
        <v/>
      </c>
      <c r="L251" s="19">
        <f>IF(AND(ISNUMBER(H251),ISNUMBER(I251)),(I251-H251)*1440,"")</f>
        <v/>
      </c>
      <c r="M251" s="15">
        <f>IF(ISNUMBER(F251),HOUR(F251),"")</f>
        <v/>
      </c>
    </row>
    <row r="252" ht="15.75" customHeight="1" s="36">
      <c r="A252" s="2" t="n">
        <v>249</v>
      </c>
      <c r="B252" s="12" t="n">
        <v>46090</v>
      </c>
      <c r="C252" s="14" t="inlineStr">
        <is>
          <t>D-264</t>
        </is>
      </c>
      <c r="D252" s="14" t="inlineStr">
        <is>
          <t>Dispensación</t>
        </is>
      </c>
      <c r="E252" s="14" t="inlineStr">
        <is>
          <t>N</t>
        </is>
      </c>
      <c r="F252" s="18" t="n">
        <v>0.6508367980208334</v>
      </c>
      <c r="G252" s="18" t="n">
        <v>0.6508367980208334</v>
      </c>
      <c r="H252" s="18" t="n">
        <v>0.6508830943171297</v>
      </c>
      <c r="I252" s="18" t="n">
        <v>0.6524224461689815</v>
      </c>
      <c r="J252" s="14" t="n">
        <v>4</v>
      </c>
      <c r="K252" s="19">
        <f>IF(AND(ISNUMBER(F252),ISNUMBER(G252)),(G252-F252)*1440,"")</f>
        <v/>
      </c>
      <c r="L252" s="19">
        <f>IF(AND(ISNUMBER(H252),ISNUMBER(I252)),(I252-H252)*1440,"")</f>
        <v/>
      </c>
      <c r="M252" s="15">
        <f>IF(ISNUMBER(F252),HOUR(F252),"")</f>
        <v/>
      </c>
    </row>
    <row r="253" ht="15.75" customHeight="1" s="36">
      <c r="A253" s="2" t="n">
        <v>250</v>
      </c>
      <c r="B253" s="12" t="n">
        <v>46090</v>
      </c>
      <c r="C253" s="14" t="inlineStr">
        <is>
          <t>V-176</t>
        </is>
      </c>
      <c r="D253" s="14" t="inlineStr">
        <is>
          <t>Turno virtual</t>
        </is>
      </c>
      <c r="E253" s="14" t="inlineStr">
        <is>
          <t>S</t>
        </is>
      </c>
      <c r="F253" s="18" t="n">
        <v>0.6576381430439815</v>
      </c>
      <c r="G253" s="18" t="n">
        <v>0.6576381430439815</v>
      </c>
      <c r="H253" s="18" t="n">
        <v>0.6576728652662037</v>
      </c>
      <c r="I253" s="18" t="n">
        <v>0.6593279578587963</v>
      </c>
      <c r="J253" s="14" t="n">
        <v>4</v>
      </c>
      <c r="K253" s="19">
        <f>IF(AND(ISNUMBER(F253),ISNUMBER(G253)),(G253-F253)*1440,"")</f>
        <v/>
      </c>
      <c r="L253" s="19">
        <f>IF(AND(ISNUMBER(H253),ISNUMBER(I253)),(I253-H253)*1440,"")</f>
        <v/>
      </c>
      <c r="M253" s="15">
        <f>IF(ISNUMBER(F253),HOUR(F253),"")</f>
        <v/>
      </c>
    </row>
    <row r="254" ht="15.75" customHeight="1" s="36">
      <c r="A254" s="2" t="n">
        <v>251</v>
      </c>
      <c r="B254" s="12" t="n">
        <v>46090</v>
      </c>
      <c r="C254" s="14" t="inlineStr">
        <is>
          <t>P-172</t>
        </is>
      </c>
      <c r="D254" s="14" t="inlineStr">
        <is>
          <t>Pendientes</t>
        </is>
      </c>
      <c r="E254" s="14" t="inlineStr">
        <is>
          <t>N</t>
        </is>
      </c>
      <c r="F254" s="18" t="n">
        <v>0.6947184449652778</v>
      </c>
      <c r="G254" s="18" t="n">
        <v>0.6947184449652778</v>
      </c>
      <c r="H254" s="18" t="n">
        <v>0.6947647412615741</v>
      </c>
      <c r="I254" s="18" t="n">
        <v>0.6995795560763889</v>
      </c>
      <c r="J254" s="14" t="n">
        <v>1</v>
      </c>
      <c r="K254" s="19">
        <f>IF(AND(ISNUMBER(F254),ISNUMBER(G254)),(G254-F254)*1440,"")</f>
        <v/>
      </c>
      <c r="L254" s="19">
        <f>IF(AND(ISNUMBER(H254),ISNUMBER(I254)),(I254-H254)*1440,"")</f>
        <v/>
      </c>
      <c r="M254" s="15">
        <f>IF(ISNUMBER(F254),HOUR(F254),"")</f>
        <v/>
      </c>
    </row>
    <row r="255" ht="15.75" customHeight="1" s="36">
      <c r="A255" s="2" t="n">
        <v>252</v>
      </c>
      <c r="B255" s="12" t="n">
        <v>46090</v>
      </c>
      <c r="C255" s="14" t="inlineStr">
        <is>
          <t>D-282</t>
        </is>
      </c>
      <c r="D255" s="14" t="inlineStr">
        <is>
          <t>Dispensación</t>
        </is>
      </c>
      <c r="E255" s="14" t="inlineStr">
        <is>
          <t>N</t>
        </is>
      </c>
      <c r="F255" s="18" t="n">
        <v>0.7014332980324074</v>
      </c>
      <c r="G255" s="18" t="n">
        <v>0.7014332980324074</v>
      </c>
      <c r="H255" s="18" t="n">
        <v>0.7014448721064814</v>
      </c>
      <c r="I255" s="18" t="n">
        <v>0.7027643165509259</v>
      </c>
      <c r="J255" s="14" t="n">
        <v>2</v>
      </c>
      <c r="K255" s="19">
        <f>IF(AND(ISNUMBER(F255),ISNUMBER(G255)),(G255-F255)*1440,"")</f>
        <v/>
      </c>
      <c r="L255" s="19">
        <f>IF(AND(ISNUMBER(H255),ISNUMBER(I255)),(I255-H255)*1440,"")</f>
        <v/>
      </c>
      <c r="M255" s="15">
        <f>IF(ISNUMBER(F255),HOUR(F255),"")</f>
        <v/>
      </c>
    </row>
    <row r="256" ht="15.75" customHeight="1" s="36">
      <c r="A256" s="2" t="n">
        <v>253</v>
      </c>
      <c r="B256" s="12" t="n">
        <v>46091</v>
      </c>
      <c r="C256" s="14" t="inlineStr">
        <is>
          <t>V-005</t>
        </is>
      </c>
      <c r="D256" s="14" t="inlineStr">
        <is>
          <t>Turno virtual</t>
        </is>
      </c>
      <c r="E256" s="14" t="inlineStr">
        <is>
          <t>N</t>
        </is>
      </c>
      <c r="F256" s="18" t="n">
        <v>0.2954824889814815</v>
      </c>
      <c r="G256" s="18" t="n">
        <v>0.2979705500115741</v>
      </c>
      <c r="H256" s="18" t="n">
        <v>0.2979821240856482</v>
      </c>
      <c r="I256" s="18" t="n">
        <v>0.3015585129745371</v>
      </c>
      <c r="J256" s="14" t="n">
        <v>2</v>
      </c>
      <c r="K256" s="19">
        <f>IF(AND(ISNUMBER(F256),ISNUMBER(G256)),(G256-F256)*1440,"")</f>
        <v/>
      </c>
      <c r="L256" s="19">
        <f>IF(AND(ISNUMBER(H256),ISNUMBER(I256)),(I256-H256)*1440,"")</f>
        <v/>
      </c>
      <c r="M256" s="15">
        <f>IF(ISNUMBER(F256),HOUR(F256),"")</f>
        <v/>
      </c>
    </row>
    <row r="257" ht="15.75" customHeight="1" s="36">
      <c r="A257" s="2" t="n">
        <v>254</v>
      </c>
      <c r="B257" s="12" t="n">
        <v>46091</v>
      </c>
      <c r="C257" s="14" t="inlineStr">
        <is>
          <t>P-006</t>
        </is>
      </c>
      <c r="D257" s="14" t="inlineStr">
        <is>
          <t>Pendientes</t>
        </is>
      </c>
      <c r="E257" s="14" t="inlineStr">
        <is>
          <t>N</t>
        </is>
      </c>
      <c r="F257" s="18" t="n">
        <v>0.2964811682291667</v>
      </c>
      <c r="G257" s="18" t="n">
        <v>0.2987410905902778</v>
      </c>
      <c r="H257" s="18" t="n">
        <v>0.2987758128125</v>
      </c>
      <c r="I257" s="18" t="n">
        <v>0.3000258128125</v>
      </c>
      <c r="J257" s="14" t="n">
        <v>3</v>
      </c>
      <c r="K257" s="19">
        <f>IF(AND(ISNUMBER(F257),ISNUMBER(G257)),(G257-F257)*1440,"")</f>
        <v/>
      </c>
      <c r="L257" s="19">
        <f>IF(AND(ISNUMBER(H257),ISNUMBER(I257)),(I257-H257)*1440,"")</f>
        <v/>
      </c>
      <c r="M257" s="15">
        <f>IF(ISNUMBER(F257),HOUR(F257),"")</f>
        <v/>
      </c>
    </row>
    <row r="258" ht="15.75" customHeight="1" s="36">
      <c r="A258" s="2" t="n">
        <v>255</v>
      </c>
      <c r="B258" s="12" t="n">
        <v>46091</v>
      </c>
      <c r="C258" s="14" t="inlineStr">
        <is>
          <t>P-014</t>
        </is>
      </c>
      <c r="D258" s="14" t="inlineStr">
        <is>
          <t>Pendientes</t>
        </is>
      </c>
      <c r="E258" s="14" t="inlineStr">
        <is>
          <t>N</t>
        </is>
      </c>
      <c r="F258" s="18" t="n">
        <v>0.3059567405787037</v>
      </c>
      <c r="G258" s="18" t="n">
        <v>0.3078427630439815</v>
      </c>
      <c r="H258" s="18" t="n">
        <v>0.3078890593402778</v>
      </c>
      <c r="I258" s="18" t="n">
        <v>0.3098103556365741</v>
      </c>
      <c r="J258" s="14" t="n">
        <v>1</v>
      </c>
      <c r="K258" s="19">
        <f>IF(AND(ISNUMBER(F258),ISNUMBER(G258)),(G258-F258)*1440,"")</f>
        <v/>
      </c>
      <c r="L258" s="19">
        <f>IF(AND(ISNUMBER(H258),ISNUMBER(I258)),(I258-H258)*1440,"")</f>
        <v/>
      </c>
      <c r="M258" s="15">
        <f>IF(ISNUMBER(F258),HOUR(F258),"")</f>
        <v/>
      </c>
    </row>
    <row r="259" ht="15.75" customHeight="1" s="36">
      <c r="A259" s="2" t="n">
        <v>256</v>
      </c>
      <c r="B259" s="12" t="n">
        <v>46091</v>
      </c>
      <c r="C259" s="14" t="inlineStr">
        <is>
          <t>P-023</t>
        </is>
      </c>
      <c r="D259" s="14" t="inlineStr">
        <is>
          <t>Pendientes</t>
        </is>
      </c>
      <c r="E259" s="14" t="inlineStr">
        <is>
          <t>N</t>
        </is>
      </c>
      <c r="F259" s="18" t="n">
        <v>0.3187453015625</v>
      </c>
      <c r="G259" s="18" t="n">
        <v>0.3241163833449074</v>
      </c>
      <c r="H259" s="18" t="n">
        <v>0.3241279574189815</v>
      </c>
      <c r="I259" s="18" t="n">
        <v>0.3264311981597222</v>
      </c>
      <c r="J259" s="14" t="n">
        <v>2</v>
      </c>
      <c r="K259" s="19">
        <f>IF(AND(ISNUMBER(F259),ISNUMBER(G259)),(G259-F259)*1440,"")</f>
        <v/>
      </c>
      <c r="L259" s="19">
        <f>IF(AND(ISNUMBER(H259),ISNUMBER(I259)),(I259-H259)*1440,"")</f>
        <v/>
      </c>
      <c r="M259" s="15">
        <f>IF(ISNUMBER(F259),HOUR(F259),"")</f>
        <v/>
      </c>
    </row>
    <row r="260" ht="15.75" customHeight="1" s="36">
      <c r="A260" s="2" t="n">
        <v>257</v>
      </c>
      <c r="B260" s="12" t="n">
        <v>46091</v>
      </c>
      <c r="C260" s="14" t="inlineStr">
        <is>
          <t>D-027</t>
        </is>
      </c>
      <c r="D260" s="14" t="inlineStr">
        <is>
          <t>Dispensación</t>
        </is>
      </c>
      <c r="E260" s="14" t="inlineStr">
        <is>
          <t>N</t>
        </is>
      </c>
      <c r="F260" s="18" t="n">
        <v>0.3193072001504629</v>
      </c>
      <c r="G260" s="18" t="n">
        <v>0.3264031276273148</v>
      </c>
      <c r="H260" s="18" t="n">
        <v>0.3264494239236111</v>
      </c>
      <c r="I260" s="18" t="n">
        <v>0.3299679424421296</v>
      </c>
      <c r="J260" s="14" t="n">
        <v>3</v>
      </c>
      <c r="K260" s="19">
        <f>IF(AND(ISNUMBER(F260),ISNUMBER(G260)),(G260-F260)*1440,"")</f>
        <v/>
      </c>
      <c r="L260" s="19">
        <f>IF(AND(ISNUMBER(H260),ISNUMBER(I260)),(I260-H260)*1440,"")</f>
        <v/>
      </c>
      <c r="M260" s="15">
        <f>IF(ISNUMBER(F260),HOUR(F260),"")</f>
        <v/>
      </c>
    </row>
    <row r="261" ht="15.75" customHeight="1" s="36">
      <c r="A261" s="2" t="n">
        <v>258</v>
      </c>
      <c r="B261" s="12" t="n">
        <v>46091</v>
      </c>
      <c r="C261" s="14" t="inlineStr">
        <is>
          <t>P-030</t>
        </is>
      </c>
      <c r="D261" s="14" t="inlineStr">
        <is>
          <t>Pendientes</t>
        </is>
      </c>
      <c r="E261" s="14" t="inlineStr">
        <is>
          <t>N</t>
        </is>
      </c>
      <c r="F261" s="18" t="n">
        <v>0.330590715787037</v>
      </c>
      <c r="G261" s="18" t="n">
        <v>0.3398406276273148</v>
      </c>
      <c r="H261" s="18" t="n">
        <v>0.3398522017013889</v>
      </c>
      <c r="I261" s="18" t="n">
        <v>0.3414609979976852</v>
      </c>
      <c r="J261" s="14" t="n">
        <v>3</v>
      </c>
      <c r="K261" s="19">
        <f>IF(AND(ISNUMBER(F261),ISNUMBER(G261)),(G261-F261)*1440,"")</f>
        <v/>
      </c>
      <c r="L261" s="19">
        <f>IF(AND(ISNUMBER(H261),ISNUMBER(I261)),(I261-H261)*1440,"")</f>
        <v/>
      </c>
      <c r="M261" s="15">
        <f>IF(ISNUMBER(F261),HOUR(F261),"")</f>
        <v/>
      </c>
    </row>
    <row r="262" ht="15.75" customHeight="1" s="36">
      <c r="A262" s="2" t="n">
        <v>259</v>
      </c>
      <c r="B262" s="12" t="n">
        <v>46091</v>
      </c>
      <c r="C262" s="14" t="inlineStr">
        <is>
          <t>P-037</t>
        </is>
      </c>
      <c r="D262" s="14" t="inlineStr">
        <is>
          <t>Pendientes</t>
        </is>
      </c>
      <c r="E262" s="14" t="inlineStr">
        <is>
          <t>N</t>
        </is>
      </c>
      <c r="F262" s="18" t="n">
        <v>0.3374043429166667</v>
      </c>
      <c r="G262" s="18" t="n">
        <v>0.3490188683680556</v>
      </c>
      <c r="H262" s="18" t="n">
        <v>0.3490651646643518</v>
      </c>
      <c r="I262" s="18" t="n">
        <v>0.3503383128125</v>
      </c>
      <c r="J262" s="14" t="n">
        <v>3</v>
      </c>
      <c r="K262" s="19">
        <f>IF(AND(ISNUMBER(F262),ISNUMBER(G262)),(G262-F262)*1440,"")</f>
        <v/>
      </c>
      <c r="L262" s="19">
        <f>IF(AND(ISNUMBER(H262),ISNUMBER(I262)),(I262-H262)*1440,"")</f>
        <v/>
      </c>
      <c r="M262" s="15">
        <f>IF(ISNUMBER(F262),HOUR(F262),"")</f>
        <v/>
      </c>
    </row>
    <row r="263" ht="15.75" customHeight="1" s="36">
      <c r="A263" s="2" t="n">
        <v>260</v>
      </c>
      <c r="B263" s="12" t="n">
        <v>46091</v>
      </c>
      <c r="C263" s="14" t="inlineStr">
        <is>
          <t>D-054</t>
        </is>
      </c>
      <c r="D263" s="14" t="inlineStr">
        <is>
          <t>Dispensación</t>
        </is>
      </c>
      <c r="E263" s="14" t="inlineStr">
        <is>
          <t>N</t>
        </is>
      </c>
      <c r="F263" s="18" t="n">
        <v>0.3469469932175926</v>
      </c>
      <c r="G263" s="18" t="n">
        <v>0.3621603648263889</v>
      </c>
      <c r="H263" s="18" t="n">
        <v>0.362171938900463</v>
      </c>
      <c r="I263" s="18" t="n">
        <v>0.3629358277893519</v>
      </c>
      <c r="J263" s="14" t="n">
        <v>2</v>
      </c>
      <c r="K263" s="19">
        <f>IF(AND(ISNUMBER(F263),ISNUMBER(G263)),(G263-F263)*1440,"")</f>
        <v/>
      </c>
      <c r="L263" s="19">
        <f>IF(AND(ISNUMBER(H263),ISNUMBER(I263)),(I263-H263)*1440,"")</f>
        <v/>
      </c>
      <c r="M263" s="15">
        <f>IF(ISNUMBER(F263),HOUR(F263),"")</f>
        <v/>
      </c>
    </row>
    <row r="264" ht="15.75" customHeight="1" s="36">
      <c r="A264" s="2" t="n">
        <v>261</v>
      </c>
      <c r="B264" s="12" t="n">
        <v>46091</v>
      </c>
      <c r="C264" s="14" t="inlineStr">
        <is>
          <t>P-053</t>
        </is>
      </c>
      <c r="D264" s="14" t="inlineStr">
        <is>
          <t>Pendientes</t>
        </is>
      </c>
      <c r="E264" s="14" t="inlineStr">
        <is>
          <t>N</t>
        </is>
      </c>
      <c r="F264" s="18" t="n">
        <v>0.3638141354050926</v>
      </c>
      <c r="G264" s="18" t="n">
        <v>0.3813434117824074</v>
      </c>
      <c r="H264" s="18" t="n">
        <v>0.3813897080787037</v>
      </c>
      <c r="I264" s="18" t="n">
        <v>0.3833688747453704</v>
      </c>
      <c r="J264" s="14" t="n">
        <v>4</v>
      </c>
      <c r="K264" s="19">
        <f>IF(AND(ISNUMBER(F264),ISNUMBER(G264)),(G264-F264)*1440,"")</f>
        <v/>
      </c>
      <c r="L264" s="19">
        <f>IF(AND(ISNUMBER(H264),ISNUMBER(I264)),(I264-H264)*1440,"")</f>
        <v/>
      </c>
      <c r="M264" s="15">
        <f>IF(ISNUMBER(F264),HOUR(F264),"")</f>
        <v/>
      </c>
    </row>
    <row r="265" ht="15.75" customHeight="1" s="36">
      <c r="A265" s="2" t="n">
        <v>262</v>
      </c>
      <c r="B265" s="12" t="n">
        <v>46091</v>
      </c>
      <c r="C265" s="14" t="inlineStr">
        <is>
          <t>D-077</t>
        </is>
      </c>
      <c r="D265" s="14" t="inlineStr">
        <is>
          <t>Dispensación</t>
        </is>
      </c>
      <c r="E265" s="14" t="inlineStr">
        <is>
          <t>N</t>
        </is>
      </c>
      <c r="F265" s="18" t="n">
        <v>0.3639209947453704</v>
      </c>
      <c r="G265" s="18" t="n">
        <v>0.3816626796412037</v>
      </c>
      <c r="H265" s="18" t="n">
        <v>0.3816974018634259</v>
      </c>
      <c r="I265" s="18" t="n">
        <v>0.3821140685300926</v>
      </c>
      <c r="J265" s="14" t="n">
        <v>2</v>
      </c>
      <c r="K265" s="19">
        <f>IF(AND(ISNUMBER(F265),ISNUMBER(G265)),(G265-F265)*1440,"")</f>
        <v/>
      </c>
      <c r="L265" s="19">
        <f>IF(AND(ISNUMBER(H265),ISNUMBER(I265)),(I265-H265)*1440,"")</f>
        <v/>
      </c>
      <c r="M265" s="15">
        <f>IF(ISNUMBER(F265),HOUR(F265),"")</f>
        <v/>
      </c>
    </row>
    <row r="266" ht="15.75" customHeight="1" s="36">
      <c r="A266" s="2" t="n">
        <v>263</v>
      </c>
      <c r="B266" s="12" t="n">
        <v>46091</v>
      </c>
      <c r="C266" s="14" t="inlineStr">
        <is>
          <t>P-054</t>
        </is>
      </c>
      <c r="D266" s="14" t="inlineStr">
        <is>
          <t>Pendientes</t>
        </is>
      </c>
      <c r="E266" s="14" t="inlineStr">
        <is>
          <t>S</t>
        </is>
      </c>
      <c r="F266" s="18" t="n">
        <v>0.3663321867708333</v>
      </c>
      <c r="G266" s="18" t="n">
        <v>0.3664725720717593</v>
      </c>
      <c r="H266" s="18" t="n">
        <v>0.3665072942939815</v>
      </c>
      <c r="I266" s="18" t="n">
        <v>0.3682318313310185</v>
      </c>
      <c r="J266" s="14" t="n">
        <v>3</v>
      </c>
      <c r="K266" s="19">
        <f>IF(AND(ISNUMBER(F266),ISNUMBER(G266)),(G266-F266)*1440,"")</f>
        <v/>
      </c>
      <c r="L266" s="19">
        <f>IF(AND(ISNUMBER(H266),ISNUMBER(I266)),(I266-H266)*1440,"")</f>
        <v/>
      </c>
      <c r="M266" s="15">
        <f>IF(ISNUMBER(F266),HOUR(F266),"")</f>
        <v/>
      </c>
    </row>
    <row r="267" ht="15.75" customHeight="1" s="36">
      <c r="A267" s="2" t="n">
        <v>264</v>
      </c>
      <c r="B267" s="12" t="n">
        <v>46091</v>
      </c>
      <c r="C267" s="14" t="inlineStr">
        <is>
          <t>D-084</t>
        </is>
      </c>
      <c r="D267" s="14" t="inlineStr">
        <is>
          <t>Dispensación</t>
        </is>
      </c>
      <c r="E267" s="14" t="inlineStr">
        <is>
          <t>N</t>
        </is>
      </c>
      <c r="F267" s="18" t="n">
        <v>0.3718900365393519</v>
      </c>
      <c r="G267" s="18" t="n">
        <v>0.3903543371180556</v>
      </c>
      <c r="H267" s="18" t="n">
        <v>0.3903659111921297</v>
      </c>
      <c r="I267" s="18" t="n">
        <v>0.3917085037847222</v>
      </c>
      <c r="J267" s="14" t="n">
        <v>1</v>
      </c>
      <c r="K267" s="19">
        <f>IF(AND(ISNUMBER(F267),ISNUMBER(G267)),(G267-F267)*1440,"")</f>
        <v/>
      </c>
      <c r="L267" s="19">
        <f>IF(AND(ISNUMBER(H267),ISNUMBER(I267)),(I267-H267)*1440,"")</f>
        <v/>
      </c>
      <c r="M267" s="15">
        <f>IF(ISNUMBER(F267),HOUR(F267),"")</f>
        <v/>
      </c>
    </row>
    <row r="268" ht="15.75" customHeight="1" s="36">
      <c r="A268" s="2" t="n">
        <v>265</v>
      </c>
      <c r="B268" s="12" t="n">
        <v>46091</v>
      </c>
      <c r="C268" s="14" t="inlineStr">
        <is>
          <t>P-062</t>
        </is>
      </c>
      <c r="D268" s="14" t="inlineStr">
        <is>
          <t>Pendientes</t>
        </is>
      </c>
      <c r="E268" s="14" t="inlineStr">
        <is>
          <t>N</t>
        </is>
      </c>
      <c r="F268" s="18" t="n">
        <v>0.3783960385532408</v>
      </c>
      <c r="G268" s="18" t="n">
        <v>0.4011929488194445</v>
      </c>
      <c r="H268" s="18" t="n">
        <v>0.4012045228935185</v>
      </c>
      <c r="I268" s="18" t="n">
        <v>0.404398967337963</v>
      </c>
      <c r="J268" s="14" t="n">
        <v>4</v>
      </c>
      <c r="K268" s="19">
        <f>IF(AND(ISNUMBER(F268),ISNUMBER(G268)),(G268-F268)*1440,"")</f>
        <v/>
      </c>
      <c r="L268" s="19">
        <f>IF(AND(ISNUMBER(H268),ISNUMBER(I268)),(I268-H268)*1440,"")</f>
        <v/>
      </c>
      <c r="M268" s="15">
        <f>IF(ISNUMBER(F268),HOUR(F268),"")</f>
        <v/>
      </c>
    </row>
    <row r="269" ht="15.75" customHeight="1" s="36">
      <c r="A269" s="2" t="n">
        <v>266</v>
      </c>
      <c r="B269" s="12" t="n">
        <v>46091</v>
      </c>
      <c r="C269" s="14" t="inlineStr">
        <is>
          <t>D-097</t>
        </is>
      </c>
      <c r="D269" s="14" t="inlineStr">
        <is>
          <t>Dispensación</t>
        </is>
      </c>
      <c r="E269" s="14" t="inlineStr">
        <is>
          <t>N</t>
        </is>
      </c>
      <c r="F269" s="18" t="n">
        <v>0.3877093068518518</v>
      </c>
      <c r="G269" s="18" t="n">
        <v>0.4124265685300926</v>
      </c>
      <c r="H269" s="18" t="n">
        <v>0.4124381426041667</v>
      </c>
      <c r="I269" s="18" t="n">
        <v>0.4134798092708333</v>
      </c>
      <c r="J269" s="14" t="n">
        <v>2</v>
      </c>
      <c r="K269" s="19">
        <f>IF(AND(ISNUMBER(F269),ISNUMBER(G269)),(G269-F269)*1440,"")</f>
        <v/>
      </c>
      <c r="L269" s="19">
        <f>IF(AND(ISNUMBER(H269),ISNUMBER(I269)),(I269-H269)*1440,"")</f>
        <v/>
      </c>
      <c r="M269" s="15">
        <f>IF(ISNUMBER(F269),HOUR(F269),"")</f>
        <v/>
      </c>
    </row>
    <row r="270" ht="15.75" customHeight="1" s="36">
      <c r="A270" s="2" t="n">
        <v>267</v>
      </c>
      <c r="B270" s="12" t="n">
        <v>46091</v>
      </c>
      <c r="C270" s="14" t="inlineStr">
        <is>
          <t>D-109</t>
        </is>
      </c>
      <c r="D270" s="14" t="inlineStr">
        <is>
          <t>Dispensación</t>
        </is>
      </c>
      <c r="E270" s="14" t="inlineStr">
        <is>
          <t>N</t>
        </is>
      </c>
      <c r="F270" s="18" t="n">
        <v>0.397034971712963</v>
      </c>
      <c r="G270" s="18" t="n">
        <v>0.4264885963773148</v>
      </c>
      <c r="H270" s="18" t="n">
        <v>0.426511744525463</v>
      </c>
      <c r="I270" s="18" t="n">
        <v>0.427761744525463</v>
      </c>
      <c r="J270" s="14" t="n">
        <v>1</v>
      </c>
      <c r="K270" s="19">
        <f>IF(AND(ISNUMBER(F270),ISNUMBER(G270)),(G270-F270)*1440,"")</f>
        <v/>
      </c>
      <c r="L270" s="19">
        <f>IF(AND(ISNUMBER(H270),ISNUMBER(I270)),(I270-H270)*1440,"")</f>
        <v/>
      </c>
      <c r="M270" s="15">
        <f>IF(ISNUMBER(F270),HOUR(F270),"")</f>
        <v/>
      </c>
    </row>
    <row r="271" ht="15.75" customHeight="1" s="36">
      <c r="A271" s="2" t="n">
        <v>268</v>
      </c>
      <c r="B271" s="12" t="n">
        <v>46091</v>
      </c>
      <c r="C271" s="14" t="inlineStr">
        <is>
          <t>V-060</t>
        </is>
      </c>
      <c r="D271" s="14" t="inlineStr">
        <is>
          <t>Turno virtual</t>
        </is>
      </c>
      <c r="E271" s="14" t="inlineStr">
        <is>
          <t>N</t>
        </is>
      </c>
      <c r="F271" s="18" t="n">
        <v>0.4041407239467593</v>
      </c>
      <c r="G271" s="18" t="n">
        <v>0.4363154574189815</v>
      </c>
      <c r="H271" s="18" t="n">
        <v>0.4363270314930556</v>
      </c>
      <c r="I271" s="18" t="n">
        <v>0.4371256426041667</v>
      </c>
      <c r="J271" s="14" t="n">
        <v>2</v>
      </c>
      <c r="K271" s="19">
        <f>IF(AND(ISNUMBER(F271),ISNUMBER(G271)),(G271-F271)*1440,"")</f>
        <v/>
      </c>
      <c r="L271" s="19">
        <f>IF(AND(ISNUMBER(H271),ISNUMBER(I271)),(I271-H271)*1440,"")</f>
        <v/>
      </c>
      <c r="M271" s="15">
        <f>IF(ISNUMBER(F271),HOUR(F271),"")</f>
        <v/>
      </c>
    </row>
    <row r="272" ht="15.75" customHeight="1" s="36">
      <c r="A272" s="2" t="n">
        <v>269</v>
      </c>
      <c r="B272" s="12" t="n">
        <v>46091</v>
      </c>
      <c r="C272" s="14" t="inlineStr">
        <is>
          <t>D-132</t>
        </is>
      </c>
      <c r="D272" s="14" t="inlineStr">
        <is>
          <t>Dispensación</t>
        </is>
      </c>
      <c r="E272" s="14" t="inlineStr">
        <is>
          <t>N</t>
        </is>
      </c>
      <c r="F272" s="18" t="n">
        <v>0.4136513084490741</v>
      </c>
      <c r="G272" s="18" t="n">
        <v>0.4477207265972222</v>
      </c>
      <c r="H272" s="18" t="n">
        <v>0.4477554488194445</v>
      </c>
      <c r="I272" s="18" t="n">
        <v>0.4500008191898148</v>
      </c>
      <c r="J272" s="14" t="n">
        <v>4</v>
      </c>
      <c r="K272" s="19">
        <f>IF(AND(ISNUMBER(F272),ISNUMBER(G272)),(G272-F272)*1440,"")</f>
        <v/>
      </c>
      <c r="L272" s="19">
        <f>IF(AND(ISNUMBER(H272),ISNUMBER(I272)),(I272-H272)*1440,"")</f>
        <v/>
      </c>
      <c r="M272" s="15">
        <f>IF(ISNUMBER(F272),HOUR(F272),"")</f>
        <v/>
      </c>
    </row>
    <row r="273" ht="15.75" customHeight="1" s="36">
      <c r="A273" s="2" t="n">
        <v>270</v>
      </c>
      <c r="B273" s="12" t="n">
        <v>46091</v>
      </c>
      <c r="C273" s="14" t="inlineStr">
        <is>
          <t>V-066</t>
        </is>
      </c>
      <c r="D273" s="14" t="inlineStr">
        <is>
          <t>Turno virtual</t>
        </is>
      </c>
      <c r="E273" s="14" t="inlineStr">
        <is>
          <t>N</t>
        </is>
      </c>
      <c r="F273" s="18" t="n">
        <v>0.4142078000578704</v>
      </c>
      <c r="G273" s="18" t="n">
        <v>0.4500008191898148</v>
      </c>
      <c r="H273" s="18" t="n">
        <v>0.4500355414120371</v>
      </c>
      <c r="I273" s="18" t="n">
        <v>0.4508341525231482</v>
      </c>
      <c r="J273" s="14" t="n">
        <v>4</v>
      </c>
      <c r="K273" s="19">
        <f>IF(AND(ISNUMBER(F273),ISNUMBER(G273)),(G273-F273)*1440,"")</f>
        <v/>
      </c>
      <c r="L273" s="19">
        <f>IF(AND(ISNUMBER(H273),ISNUMBER(I273)),(I273-H273)*1440,"")</f>
        <v/>
      </c>
      <c r="M273" s="15">
        <f>IF(ISNUMBER(F273),HOUR(F273),"")</f>
        <v/>
      </c>
    </row>
    <row r="274" ht="15.75" customHeight="1" s="36">
      <c r="A274" s="2" t="n">
        <v>271</v>
      </c>
      <c r="B274" s="12" t="n">
        <v>46091</v>
      </c>
      <c r="C274" s="14" t="inlineStr">
        <is>
          <t>D-140</t>
        </is>
      </c>
      <c r="D274" s="14" t="inlineStr">
        <is>
          <t>Dispensación</t>
        </is>
      </c>
      <c r="E274" s="14" t="inlineStr">
        <is>
          <t>N</t>
        </is>
      </c>
      <c r="F274" s="18" t="n">
        <v>0.4207728732523148</v>
      </c>
      <c r="G274" s="18" t="n">
        <v>0.4559446148958333</v>
      </c>
      <c r="H274" s="18" t="n">
        <v>0.4559793371180555</v>
      </c>
      <c r="I274" s="18" t="n">
        <v>0.4574723926736111</v>
      </c>
      <c r="J274" s="14" t="n">
        <v>1</v>
      </c>
      <c r="K274" s="19">
        <f>IF(AND(ISNUMBER(F274),ISNUMBER(G274)),(G274-F274)*1440,"")</f>
        <v/>
      </c>
      <c r="L274" s="19">
        <f>IF(AND(ISNUMBER(H274),ISNUMBER(I274)),(I274-H274)*1440,"")</f>
        <v/>
      </c>
      <c r="M274" s="15">
        <f>IF(ISNUMBER(F274),HOUR(F274),"")</f>
        <v/>
      </c>
    </row>
    <row r="275" ht="15.75" customHeight="1" s="36">
      <c r="A275" s="2" t="n">
        <v>272</v>
      </c>
      <c r="B275" s="12" t="n">
        <v>46091</v>
      </c>
      <c r="C275" s="14" t="inlineStr">
        <is>
          <t>P-089</t>
        </is>
      </c>
      <c r="D275" s="14" t="inlineStr">
        <is>
          <t>Pendientes</t>
        </is>
      </c>
      <c r="E275" s="14" t="inlineStr">
        <is>
          <t>S</t>
        </is>
      </c>
      <c r="F275" s="18" t="n">
        <v>0.4370316457175926</v>
      </c>
      <c r="G275" s="18" t="n">
        <v>0.4371256426041667</v>
      </c>
      <c r="H275" s="18" t="n">
        <v>0.4371487907523148</v>
      </c>
      <c r="I275" s="18" t="n">
        <v>0.4398455500115741</v>
      </c>
      <c r="J275" s="14" t="n">
        <v>2</v>
      </c>
      <c r="K275" s="19">
        <f>IF(AND(ISNUMBER(F275),ISNUMBER(G275)),(G275-F275)*1440,"")</f>
        <v/>
      </c>
      <c r="L275" s="19">
        <f>IF(AND(ISNUMBER(H275),ISNUMBER(I275)),(I275-H275)*1440,"")</f>
        <v/>
      </c>
      <c r="M275" s="15">
        <f>IF(ISNUMBER(F275),HOUR(F275),"")</f>
        <v/>
      </c>
    </row>
    <row r="276" ht="15.75" customHeight="1" s="36">
      <c r="A276" s="2" t="n">
        <v>273</v>
      </c>
      <c r="B276" s="12" t="n">
        <v>46091</v>
      </c>
      <c r="C276" s="14" t="inlineStr">
        <is>
          <t>D-158</t>
        </is>
      </c>
      <c r="D276" s="14" t="inlineStr">
        <is>
          <t>Dispensación</t>
        </is>
      </c>
      <c r="E276" s="14" t="inlineStr">
        <is>
          <t>N</t>
        </is>
      </c>
      <c r="F276" s="18" t="n">
        <v>0.438963884375</v>
      </c>
      <c r="G276" s="18" t="n">
        <v>0.4754585037847222</v>
      </c>
      <c r="H276" s="18" t="n">
        <v>0.4755048000810185</v>
      </c>
      <c r="I276" s="18" t="n">
        <v>0.477599707488426</v>
      </c>
      <c r="J276" s="14" t="n">
        <v>1</v>
      </c>
      <c r="K276" s="19">
        <f>IF(AND(ISNUMBER(F276),ISNUMBER(G276)),(G276-F276)*1440,"")</f>
        <v/>
      </c>
      <c r="L276" s="19">
        <f>IF(AND(ISNUMBER(H276),ISNUMBER(I276)),(I276-H276)*1440,"")</f>
        <v/>
      </c>
      <c r="M276" s="15">
        <f>IF(ISNUMBER(F276),HOUR(F276),"")</f>
        <v/>
      </c>
    </row>
    <row r="277" ht="15.75" customHeight="1" s="36">
      <c r="A277" s="2" t="n">
        <v>274</v>
      </c>
      <c r="B277" s="12" t="n">
        <v>46091</v>
      </c>
      <c r="C277" s="14" t="inlineStr">
        <is>
          <t>P-097</t>
        </is>
      </c>
      <c r="D277" s="14" t="inlineStr">
        <is>
          <t>Pendientes</t>
        </is>
      </c>
      <c r="E277" s="14" t="inlineStr">
        <is>
          <t>N</t>
        </is>
      </c>
      <c r="F277" s="18" t="n">
        <v>0.4546227019328704</v>
      </c>
      <c r="G277" s="18" t="n">
        <v>0.4850186889699074</v>
      </c>
      <c r="H277" s="18" t="n">
        <v>0.4850534111921296</v>
      </c>
      <c r="I277" s="18" t="n">
        <v>0.4869862815625</v>
      </c>
      <c r="J277" s="14" t="n">
        <v>1</v>
      </c>
      <c r="K277" s="19">
        <f>IF(AND(ISNUMBER(F277),ISNUMBER(G277)),(G277-F277)*1440,"")</f>
        <v/>
      </c>
      <c r="L277" s="19">
        <f>IF(AND(ISNUMBER(H277),ISNUMBER(I277)),(I277-H277)*1440,"")</f>
        <v/>
      </c>
      <c r="M277" s="15">
        <f>IF(ISNUMBER(F277),HOUR(F277),"")</f>
        <v/>
      </c>
    </row>
    <row r="278" ht="15.75" customHeight="1" s="36">
      <c r="A278" s="2" t="n">
        <v>275</v>
      </c>
      <c r="B278" s="12" t="n">
        <v>46091</v>
      </c>
      <c r="C278" s="14" t="inlineStr">
        <is>
          <t>D-168</t>
        </is>
      </c>
      <c r="D278" s="14" t="inlineStr">
        <is>
          <t>Dispensación</t>
        </is>
      </c>
      <c r="E278" s="14" t="inlineStr">
        <is>
          <t>N</t>
        </is>
      </c>
      <c r="F278" s="18" t="n">
        <v>0.4583875081828704</v>
      </c>
      <c r="G278" s="18" t="n">
        <v>0.4891559117824074</v>
      </c>
      <c r="H278" s="18" t="n">
        <v>0.4892022080787037</v>
      </c>
      <c r="I278" s="18" t="n">
        <v>0.4914128562268519</v>
      </c>
      <c r="J278" s="14" t="n">
        <v>4</v>
      </c>
      <c r="K278" s="19">
        <f>IF(AND(ISNUMBER(F278),ISNUMBER(G278)),(G278-F278)*1440,"")</f>
        <v/>
      </c>
      <c r="L278" s="19">
        <f>IF(AND(ISNUMBER(H278),ISNUMBER(I278)),(I278-H278)*1440,"")</f>
        <v/>
      </c>
      <c r="M278" s="15">
        <f>IF(ISNUMBER(F278),HOUR(F278),"")</f>
        <v/>
      </c>
    </row>
    <row r="279" ht="15.75" customHeight="1" s="36">
      <c r="A279" s="2" t="n">
        <v>276</v>
      </c>
      <c r="B279" s="12" t="n">
        <v>46091</v>
      </c>
      <c r="C279" s="14" t="inlineStr">
        <is>
          <t>D-178</t>
        </is>
      </c>
      <c r="D279" s="14" t="inlineStr">
        <is>
          <t>Dispensación</t>
        </is>
      </c>
      <c r="E279" s="14" t="inlineStr">
        <is>
          <t>N</t>
        </is>
      </c>
      <c r="F279" s="18" t="n">
        <v>0.4726381809722222</v>
      </c>
      <c r="G279" s="18" t="n">
        <v>0.4967552722337963</v>
      </c>
      <c r="H279" s="18" t="n">
        <v>0.4967668463078704</v>
      </c>
      <c r="I279" s="18" t="n">
        <v>0.5005515685300926</v>
      </c>
      <c r="J279" s="14" t="n">
        <v>2</v>
      </c>
      <c r="K279" s="19">
        <f>IF(AND(ISNUMBER(F279),ISNUMBER(G279)),(G279-F279)*1440,"")</f>
        <v/>
      </c>
      <c r="L279" s="19">
        <f>IF(AND(ISNUMBER(H279),ISNUMBER(I279)),(I279-H279)*1440,"")</f>
        <v/>
      </c>
      <c r="M279" s="15">
        <f>IF(ISNUMBER(F279),HOUR(F279),"")</f>
        <v/>
      </c>
    </row>
    <row r="280" ht="15.75" customHeight="1" s="36">
      <c r="A280" s="2" t="n">
        <v>277</v>
      </c>
      <c r="B280" s="12" t="n">
        <v>46091</v>
      </c>
      <c r="C280" s="14" t="inlineStr">
        <is>
          <t>D-185</t>
        </is>
      </c>
      <c r="D280" s="14" t="inlineStr">
        <is>
          <t>Dispensación</t>
        </is>
      </c>
      <c r="E280" s="14" t="inlineStr">
        <is>
          <t>N</t>
        </is>
      </c>
      <c r="F280" s="18" t="n">
        <v>0.4858320501504629</v>
      </c>
      <c r="G280" s="18" t="n">
        <v>0.5040932351967593</v>
      </c>
      <c r="H280" s="18" t="n">
        <v>0.5041163833449074</v>
      </c>
      <c r="I280" s="18" t="n">
        <v>0.5050307351967592</v>
      </c>
      <c r="J280" s="14" t="n">
        <v>2</v>
      </c>
      <c r="K280" s="19">
        <f>IF(AND(ISNUMBER(F280),ISNUMBER(G280)),(G280-F280)*1440,"")</f>
        <v/>
      </c>
      <c r="L280" s="19">
        <f>IF(AND(ISNUMBER(H280),ISNUMBER(I280)),(I280-H280)*1440,"")</f>
        <v/>
      </c>
      <c r="M280" s="15">
        <f>IF(ISNUMBER(F280),HOUR(F280),"")</f>
        <v/>
      </c>
    </row>
    <row r="281" ht="15.75" customHeight="1" s="36">
      <c r="A281" s="2" t="n">
        <v>278</v>
      </c>
      <c r="B281" s="12" t="n">
        <v>46091</v>
      </c>
      <c r="C281" s="14" t="inlineStr">
        <is>
          <t>V-103</t>
        </is>
      </c>
      <c r="D281" s="14" t="inlineStr">
        <is>
          <t>Turno virtual</t>
        </is>
      </c>
      <c r="E281" s="14" t="inlineStr">
        <is>
          <t>N</t>
        </is>
      </c>
      <c r="F281" s="18" t="n">
        <v>0.5052776055555556</v>
      </c>
      <c r="G281" s="18" t="n">
        <v>0.5290304424421296</v>
      </c>
      <c r="H281" s="18" t="n">
        <v>0.5290420165162038</v>
      </c>
      <c r="I281" s="18" t="n">
        <v>0.5309633128125</v>
      </c>
      <c r="J281" s="14" t="n">
        <v>3</v>
      </c>
      <c r="K281" s="19">
        <f>IF(AND(ISNUMBER(F281),ISNUMBER(G281)),(G281-F281)*1440,"")</f>
        <v/>
      </c>
      <c r="L281" s="19">
        <f>IF(AND(ISNUMBER(H281),ISNUMBER(I281)),(I281-H281)*1440,"")</f>
        <v/>
      </c>
      <c r="M281" s="15">
        <f>IF(ISNUMBER(F281),HOUR(F281),"")</f>
        <v/>
      </c>
    </row>
    <row r="282" ht="15.75" customHeight="1" s="36">
      <c r="A282" s="2" t="n">
        <v>279</v>
      </c>
      <c r="B282" s="12" t="n">
        <v>46091</v>
      </c>
      <c r="C282" s="14" t="inlineStr">
        <is>
          <t>D-212</t>
        </is>
      </c>
      <c r="D282" s="14" t="inlineStr">
        <is>
          <t>Dispensación</t>
        </is>
      </c>
      <c r="E282" s="14" t="inlineStr">
        <is>
          <t>N</t>
        </is>
      </c>
      <c r="F282" s="18" t="n">
        <v>0.5204134613194444</v>
      </c>
      <c r="G282" s="18" t="n">
        <v>0.5388034111921296</v>
      </c>
      <c r="H282" s="18" t="n">
        <v>0.5388149852662037</v>
      </c>
      <c r="I282" s="18" t="n">
        <v>0.5402848926736111</v>
      </c>
      <c r="J282" s="14" t="n">
        <v>1</v>
      </c>
      <c r="K282" s="19">
        <f>IF(AND(ISNUMBER(F282),ISNUMBER(G282)),(G282-F282)*1440,"")</f>
        <v/>
      </c>
      <c r="L282" s="19">
        <f>IF(AND(ISNUMBER(H282),ISNUMBER(I282)),(I282-H282)*1440,"")</f>
        <v/>
      </c>
      <c r="M282" s="15">
        <f>IF(ISNUMBER(F282),HOUR(F282),"")</f>
        <v/>
      </c>
    </row>
    <row r="283" ht="15.75" customHeight="1" s="36">
      <c r="A283" s="2" t="n">
        <v>280</v>
      </c>
      <c r="B283" s="12" t="n">
        <v>46091</v>
      </c>
      <c r="C283" s="14" t="inlineStr">
        <is>
          <t>P-114</t>
        </is>
      </c>
      <c r="D283" s="14" t="inlineStr">
        <is>
          <t>Pendientes</t>
        </is>
      </c>
      <c r="E283" s="14" t="inlineStr">
        <is>
          <t>N</t>
        </is>
      </c>
      <c r="F283" s="18" t="n">
        <v>0.5258865708217593</v>
      </c>
      <c r="G283" s="18" t="n">
        <v>0.5409864609606482</v>
      </c>
      <c r="H283" s="18" t="n">
        <v>0.5409980350347222</v>
      </c>
      <c r="I283" s="18" t="n">
        <v>0.544250349849537</v>
      </c>
      <c r="J283" s="14" t="n">
        <v>3</v>
      </c>
      <c r="K283" s="19">
        <f>IF(AND(ISNUMBER(F283),ISNUMBER(G283)),(G283-F283)*1440,"")</f>
        <v/>
      </c>
      <c r="L283" s="19">
        <f>IF(AND(ISNUMBER(H283),ISNUMBER(I283)),(I283-H283)*1440,"")</f>
        <v/>
      </c>
      <c r="M283" s="15">
        <f>IF(ISNUMBER(F283),HOUR(F283),"")</f>
        <v/>
      </c>
    </row>
    <row r="284" ht="15.75" customHeight="1" s="36">
      <c r="A284" s="2" t="n">
        <v>281</v>
      </c>
      <c r="B284" s="12" t="n">
        <v>46091</v>
      </c>
      <c r="C284" s="14" t="inlineStr">
        <is>
          <t>V-115</t>
        </is>
      </c>
      <c r="D284" s="14" t="inlineStr">
        <is>
          <t>Turno virtual</t>
        </is>
      </c>
      <c r="E284" s="14" t="inlineStr">
        <is>
          <t>N</t>
        </is>
      </c>
      <c r="F284" s="18" t="n">
        <v>0.5483960823263889</v>
      </c>
      <c r="G284" s="18" t="n">
        <v>0.5562873868865741</v>
      </c>
      <c r="H284" s="18" t="n">
        <v>0.5563105350347223</v>
      </c>
      <c r="I284" s="18" t="n">
        <v>0.5579772017013889</v>
      </c>
      <c r="J284" s="14" t="n">
        <v>3</v>
      </c>
      <c r="K284" s="19">
        <f>IF(AND(ISNUMBER(F284),ISNUMBER(G284)),(G284-F284)*1440,"")</f>
        <v/>
      </c>
      <c r="L284" s="19">
        <f>IF(AND(ISNUMBER(H284),ISNUMBER(I284)),(I284-H284)*1440,"")</f>
        <v/>
      </c>
      <c r="M284" s="15">
        <f>IF(ISNUMBER(F284),HOUR(F284),"")</f>
        <v/>
      </c>
    </row>
    <row r="285" ht="15.75" customHeight="1" s="36">
      <c r="A285" s="2" t="n">
        <v>282</v>
      </c>
      <c r="B285" s="12" t="n">
        <v>46091</v>
      </c>
      <c r="C285" s="14" t="inlineStr">
        <is>
          <t>P-123</t>
        </is>
      </c>
      <c r="D285" s="14" t="inlineStr">
        <is>
          <t>Pendientes</t>
        </is>
      </c>
      <c r="E285" s="14" t="inlineStr">
        <is>
          <t>N</t>
        </is>
      </c>
      <c r="F285" s="18" t="n">
        <v>0.5584406967939815</v>
      </c>
      <c r="G285" s="18" t="n">
        <v>0.5627804424421297</v>
      </c>
      <c r="H285" s="18" t="n">
        <v>0.5628151646643519</v>
      </c>
      <c r="I285" s="18" t="n">
        <v>0.5631971091087963</v>
      </c>
      <c r="J285" s="14" t="n">
        <v>3</v>
      </c>
      <c r="K285" s="19">
        <f>IF(AND(ISNUMBER(F285),ISNUMBER(G285)),(G285-F285)*1440,"")</f>
        <v/>
      </c>
      <c r="L285" s="19">
        <f>IF(AND(ISNUMBER(H285),ISNUMBER(I285)),(I285-H285)*1440,"")</f>
        <v/>
      </c>
      <c r="M285" s="15">
        <f>IF(ISNUMBER(F285),HOUR(F285),"")</f>
        <v/>
      </c>
    </row>
    <row r="286" ht="15.75" customHeight="1" s="36">
      <c r="A286" s="2" t="n">
        <v>283</v>
      </c>
      <c r="B286" s="12" t="n">
        <v>46091</v>
      </c>
      <c r="C286" s="14" t="inlineStr">
        <is>
          <t>V-127</t>
        </is>
      </c>
      <c r="D286" s="14" t="inlineStr">
        <is>
          <t>Turno virtual</t>
        </is>
      </c>
      <c r="E286" s="14" t="inlineStr">
        <is>
          <t>N</t>
        </is>
      </c>
      <c r="F286" s="18" t="n">
        <v>0.5739436981481482</v>
      </c>
      <c r="G286" s="18" t="n">
        <v>0.5758288741550925</v>
      </c>
      <c r="H286" s="18" t="n">
        <v>0.5758635963773148</v>
      </c>
      <c r="I286" s="18" t="n">
        <v>0.5780510963773148</v>
      </c>
      <c r="J286" s="14" t="n">
        <v>1</v>
      </c>
      <c r="K286" s="19">
        <f>IF(AND(ISNUMBER(F286),ISNUMBER(G286)),(G286-F286)*1440,"")</f>
        <v/>
      </c>
      <c r="L286" s="19">
        <f>IF(AND(ISNUMBER(H286),ISNUMBER(I286)),(I286-H286)*1440,"")</f>
        <v/>
      </c>
      <c r="M286" s="15">
        <f>IF(ISNUMBER(F286),HOUR(F286),"")</f>
        <v/>
      </c>
    </row>
    <row r="287" ht="15.75" customHeight="1" s="36">
      <c r="A287" s="2" t="n">
        <v>284</v>
      </c>
      <c r="B287" s="12" t="n">
        <v>46091</v>
      </c>
      <c r="C287" s="14" t="inlineStr">
        <is>
          <t>V-132</t>
        </is>
      </c>
      <c r="D287" s="14" t="inlineStr">
        <is>
          <t>Turno virtual</t>
        </is>
      </c>
      <c r="E287" s="14" t="inlineStr">
        <is>
          <t>S</t>
        </is>
      </c>
      <c r="F287" s="18" t="n">
        <v>0.5913932571759259</v>
      </c>
      <c r="G287" s="18" t="n">
        <v>0.5916218602662038</v>
      </c>
      <c r="H287" s="18" t="n">
        <v>0.5916681565625</v>
      </c>
      <c r="I287" s="18" t="n">
        <v>0.5933116750810186</v>
      </c>
      <c r="J287" s="14" t="n">
        <v>2</v>
      </c>
      <c r="K287" s="19">
        <f>IF(AND(ISNUMBER(F287),ISNUMBER(G287)),(G287-F287)*1440,"")</f>
        <v/>
      </c>
      <c r="L287" s="19">
        <f>IF(AND(ISNUMBER(H287),ISNUMBER(I287)),(I287-H287)*1440,"")</f>
        <v/>
      </c>
      <c r="M287" s="15">
        <f>IF(ISNUMBER(F287),HOUR(F287),"")</f>
        <v/>
      </c>
    </row>
    <row r="288" ht="15.75" customHeight="1" s="36">
      <c r="A288" s="2" t="n">
        <v>285</v>
      </c>
      <c r="B288" s="12" t="n">
        <v>46091</v>
      </c>
      <c r="C288" s="14" t="inlineStr">
        <is>
          <t>V-140</t>
        </is>
      </c>
      <c r="D288" s="14" t="inlineStr">
        <is>
          <t>Turno virtual</t>
        </is>
      </c>
      <c r="E288" s="14" t="inlineStr">
        <is>
          <t>N</t>
        </is>
      </c>
      <c r="F288" s="18" t="n">
        <v>0.6048878021296297</v>
      </c>
      <c r="G288" s="18" t="n">
        <v>0.6048878021296297</v>
      </c>
      <c r="H288" s="18" t="n">
        <v>0.6049340984259259</v>
      </c>
      <c r="I288" s="18" t="n">
        <v>0.6059526169444445</v>
      </c>
      <c r="J288" s="14" t="n">
        <v>4</v>
      </c>
      <c r="K288" s="19">
        <f>IF(AND(ISNUMBER(F288),ISNUMBER(G288)),(G288-F288)*1440,"")</f>
        <v/>
      </c>
      <c r="L288" s="19">
        <f>IF(AND(ISNUMBER(H288),ISNUMBER(I288)),(I288-H288)*1440,"")</f>
        <v/>
      </c>
      <c r="M288" s="15">
        <f>IF(ISNUMBER(F288),HOUR(F288),"")</f>
        <v/>
      </c>
    </row>
    <row r="289" ht="15.75" customHeight="1" s="36">
      <c r="A289" s="2" t="n">
        <v>286</v>
      </c>
      <c r="B289" s="12" t="n">
        <v>46091</v>
      </c>
      <c r="C289" s="14" t="inlineStr">
        <is>
          <t>V-142</t>
        </is>
      </c>
      <c r="D289" s="14" t="inlineStr">
        <is>
          <t>Turno virtual</t>
        </is>
      </c>
      <c r="E289" s="14" t="inlineStr">
        <is>
          <t>S</t>
        </is>
      </c>
      <c r="F289" s="18" t="n">
        <v>0.6086526799189815</v>
      </c>
      <c r="G289" s="18" t="n">
        <v>0.6086526799189815</v>
      </c>
      <c r="H289" s="18" t="n">
        <v>0.6086642539930556</v>
      </c>
      <c r="I289" s="18" t="n">
        <v>0.609972124363426</v>
      </c>
      <c r="J289" s="14" t="n">
        <v>1</v>
      </c>
      <c r="K289" s="19">
        <f>IF(AND(ISNUMBER(F289),ISNUMBER(G289)),(G289-F289)*1440,"")</f>
        <v/>
      </c>
      <c r="L289" s="19">
        <f>IF(AND(ISNUMBER(H289),ISNUMBER(I289)),(I289-H289)*1440,"")</f>
        <v/>
      </c>
      <c r="M289" s="15">
        <f>IF(ISNUMBER(F289),HOUR(F289),"")</f>
        <v/>
      </c>
    </row>
    <row r="290" ht="15.75" customHeight="1" s="36">
      <c r="A290" s="2" t="n">
        <v>287</v>
      </c>
      <c r="B290" s="12" t="n">
        <v>46091</v>
      </c>
      <c r="C290" s="14" t="inlineStr">
        <is>
          <t>V-152</t>
        </is>
      </c>
      <c r="D290" s="14" t="inlineStr">
        <is>
          <t>Turno virtual</t>
        </is>
      </c>
      <c r="E290" s="14" t="inlineStr">
        <is>
          <t>N</t>
        </is>
      </c>
      <c r="F290" s="18" t="n">
        <v>0.6216666332407407</v>
      </c>
      <c r="G290" s="18" t="n">
        <v>0.6216677370601852</v>
      </c>
      <c r="H290" s="18" t="n">
        <v>0.6216908852083334</v>
      </c>
      <c r="I290" s="18" t="n">
        <v>0.6228482926157407</v>
      </c>
      <c r="J290" s="14" t="n">
        <v>2</v>
      </c>
      <c r="K290" s="19">
        <f>IF(AND(ISNUMBER(F290),ISNUMBER(G290)),(G290-F290)*1440,"")</f>
        <v/>
      </c>
      <c r="L290" s="19">
        <f>IF(AND(ISNUMBER(H290),ISNUMBER(I290)),(I290-H290)*1440,"")</f>
        <v/>
      </c>
      <c r="M290" s="15">
        <f>IF(ISNUMBER(F290),HOUR(F290),"")</f>
        <v/>
      </c>
    </row>
    <row r="291" ht="15.75" customHeight="1" s="36">
      <c r="A291" s="2" t="n">
        <v>288</v>
      </c>
      <c r="B291" s="12" t="n">
        <v>46091</v>
      </c>
      <c r="C291" s="14" t="inlineStr">
        <is>
          <t>D-268</t>
        </is>
      </c>
      <c r="D291" s="14" t="inlineStr">
        <is>
          <t>Dispensación</t>
        </is>
      </c>
      <c r="E291" s="14" t="inlineStr">
        <is>
          <t>N</t>
        </is>
      </c>
      <c r="F291" s="18" t="n">
        <v>0.6228476869560186</v>
      </c>
      <c r="G291" s="18" t="n">
        <v>0.6251695410532407</v>
      </c>
      <c r="H291" s="18" t="n">
        <v>0.625215837349537</v>
      </c>
      <c r="I291" s="18" t="n">
        <v>0.6261996336458333</v>
      </c>
      <c r="J291" s="14" t="n">
        <v>1</v>
      </c>
      <c r="K291" s="19">
        <f>IF(AND(ISNUMBER(F291),ISNUMBER(G291)),(G291-F291)*1440,"")</f>
        <v/>
      </c>
      <c r="L291" s="19">
        <f>IF(AND(ISNUMBER(H291),ISNUMBER(I291)),(I291-H291)*1440,"")</f>
        <v/>
      </c>
      <c r="M291" s="15">
        <f>IF(ISNUMBER(F291),HOUR(F291),"")</f>
        <v/>
      </c>
    </row>
    <row r="292" ht="15.75" customHeight="1" s="36">
      <c r="A292" s="2" t="n">
        <v>289</v>
      </c>
      <c r="B292" s="12" t="n">
        <v>46091</v>
      </c>
      <c r="C292" s="14" t="inlineStr">
        <is>
          <t>D-271</t>
        </is>
      </c>
      <c r="D292" s="14" t="inlineStr">
        <is>
          <t>Dispensación</t>
        </is>
      </c>
      <c r="E292" s="14" t="inlineStr">
        <is>
          <t>N</t>
        </is>
      </c>
      <c r="F292" s="18" t="n">
        <v>0.6307273467129629</v>
      </c>
      <c r="G292" s="18" t="n">
        <v>0.6334564327083333</v>
      </c>
      <c r="H292" s="18" t="n">
        <v>0.6335027290046297</v>
      </c>
      <c r="I292" s="18" t="n">
        <v>0.6363615253009259</v>
      </c>
      <c r="J292" s="14" t="n">
        <v>4</v>
      </c>
      <c r="K292" s="19">
        <f>IF(AND(ISNUMBER(F292),ISNUMBER(G292)),(G292-F292)*1440,"")</f>
        <v/>
      </c>
      <c r="L292" s="19">
        <f>IF(AND(ISNUMBER(H292),ISNUMBER(I292)),(I292-H292)*1440,"")</f>
        <v/>
      </c>
      <c r="M292" s="15">
        <f>IF(ISNUMBER(F292),HOUR(F292),"")</f>
        <v/>
      </c>
    </row>
    <row r="293" ht="15.75" customHeight="1" s="36">
      <c r="A293" s="2" t="n">
        <v>290</v>
      </c>
      <c r="B293" s="12" t="n">
        <v>46091</v>
      </c>
      <c r="C293" s="14" t="inlineStr">
        <is>
          <t>P-150</t>
        </is>
      </c>
      <c r="D293" s="14" t="inlineStr">
        <is>
          <t>Pendientes</t>
        </is>
      </c>
      <c r="E293" s="14" t="inlineStr">
        <is>
          <t>S</t>
        </is>
      </c>
      <c r="F293" s="18" t="n">
        <v>0.6343646464236111</v>
      </c>
      <c r="G293" s="18" t="n">
        <v>0.6344802370601852</v>
      </c>
      <c r="H293" s="18" t="n">
        <v>0.6345033852083334</v>
      </c>
      <c r="I293" s="18" t="n">
        <v>0.6357996815046296</v>
      </c>
      <c r="J293" s="14" t="n">
        <v>2</v>
      </c>
      <c r="K293" s="19">
        <f>IF(AND(ISNUMBER(F293),ISNUMBER(G293)),(G293-F293)*1440,"")</f>
        <v/>
      </c>
      <c r="L293" s="19">
        <f>IF(AND(ISNUMBER(H293),ISNUMBER(I293)),(I293-H293)*1440,"")</f>
        <v/>
      </c>
      <c r="M293" s="15">
        <f>IF(ISNUMBER(F293),HOUR(F293),"")</f>
        <v/>
      </c>
    </row>
    <row r="294" ht="15.75" customHeight="1" s="36">
      <c r="A294" s="2" t="n">
        <v>291</v>
      </c>
      <c r="B294" s="12" t="n">
        <v>46091</v>
      </c>
      <c r="C294" s="14" t="inlineStr">
        <is>
          <t>P-152</t>
        </is>
      </c>
      <c r="D294" s="14" t="inlineStr">
        <is>
          <t>Pendientes</t>
        </is>
      </c>
      <c r="E294" s="14" t="inlineStr">
        <is>
          <t>N</t>
        </is>
      </c>
      <c r="F294" s="18" t="n">
        <v>0.6464532057407407</v>
      </c>
      <c r="G294" s="18" t="n">
        <v>0.6464532057407407</v>
      </c>
      <c r="H294" s="18" t="n">
        <v>0.6464763538888889</v>
      </c>
      <c r="I294" s="18" t="n">
        <v>0.6473444094444445</v>
      </c>
      <c r="J294" s="14" t="n">
        <v>1</v>
      </c>
      <c r="K294" s="19">
        <f>IF(AND(ISNUMBER(F294),ISNUMBER(G294)),(G294-F294)*1440,"")</f>
        <v/>
      </c>
      <c r="L294" s="19">
        <f>IF(AND(ISNUMBER(H294),ISNUMBER(I294)),(I294-H294)*1440,"")</f>
        <v/>
      </c>
      <c r="M294" s="15">
        <f>IF(ISNUMBER(F294),HOUR(F294),"")</f>
        <v/>
      </c>
    </row>
    <row r="295" ht="15.75" customHeight="1" s="36">
      <c r="A295" s="2" t="n">
        <v>292</v>
      </c>
      <c r="B295" s="12" t="n">
        <v>46091</v>
      </c>
      <c r="C295" s="14" t="inlineStr">
        <is>
          <t>P-162</t>
        </is>
      </c>
      <c r="D295" s="14" t="inlineStr">
        <is>
          <t>Pendientes</t>
        </is>
      </c>
      <c r="E295" s="14" t="inlineStr">
        <is>
          <t>N</t>
        </is>
      </c>
      <c r="F295" s="18" t="n">
        <v>0.6647599636458333</v>
      </c>
      <c r="G295" s="18" t="n">
        <v>0.6678549801967593</v>
      </c>
      <c r="H295" s="18" t="n">
        <v>0.6678897024189815</v>
      </c>
      <c r="I295" s="18" t="n">
        <v>0.6683063690856481</v>
      </c>
      <c r="J295" s="14" t="n">
        <v>3</v>
      </c>
      <c r="K295" s="19">
        <f>IF(AND(ISNUMBER(F295),ISNUMBER(G295)),(G295-F295)*1440,"")</f>
        <v/>
      </c>
      <c r="L295" s="19">
        <f>IF(AND(ISNUMBER(H295),ISNUMBER(I295)),(I295-H295)*1440,"")</f>
        <v/>
      </c>
      <c r="M295" s="15">
        <f>IF(ISNUMBER(F295),HOUR(F295),"")</f>
        <v/>
      </c>
    </row>
    <row r="296" ht="15.75" customHeight="1" s="36">
      <c r="A296" s="2" t="n">
        <v>293</v>
      </c>
      <c r="B296" s="12" t="n">
        <v>46091</v>
      </c>
      <c r="C296" s="14" t="inlineStr">
        <is>
          <t>P-164</t>
        </is>
      </c>
      <c r="D296" s="14" t="inlineStr">
        <is>
          <t>Pendientes</t>
        </is>
      </c>
      <c r="E296" s="14" t="inlineStr">
        <is>
          <t>S</t>
        </is>
      </c>
      <c r="F296" s="18" t="n">
        <v>0.6832045837615741</v>
      </c>
      <c r="G296" s="18" t="n">
        <v>0.6832045837615741</v>
      </c>
      <c r="H296" s="18" t="n">
        <v>0.6832277319097222</v>
      </c>
      <c r="I296" s="18" t="n">
        <v>0.6852068985763889</v>
      </c>
      <c r="J296" s="14" t="n">
        <v>2</v>
      </c>
      <c r="K296" s="19">
        <f>IF(AND(ISNUMBER(F296),ISNUMBER(G296)),(G296-F296)*1440,"")</f>
        <v/>
      </c>
      <c r="L296" s="19">
        <f>IF(AND(ISNUMBER(H296),ISNUMBER(I296)),(I296-H296)*1440,"")</f>
        <v/>
      </c>
      <c r="M296" s="15">
        <f>IF(ISNUMBER(F296),HOUR(F296),"")</f>
        <v/>
      </c>
    </row>
    <row r="297" ht="15.75" customHeight="1" s="36">
      <c r="A297" s="2" t="n">
        <v>294</v>
      </c>
      <c r="B297" s="12" t="n">
        <v>46091</v>
      </c>
      <c r="C297" s="14" t="inlineStr">
        <is>
          <t>D-305</t>
        </is>
      </c>
      <c r="D297" s="14" t="inlineStr">
        <is>
          <t>Dispensación</t>
        </is>
      </c>
      <c r="E297" s="14" t="inlineStr">
        <is>
          <t>N</t>
        </is>
      </c>
      <c r="F297" s="18" t="n">
        <v>0.7046769175925925</v>
      </c>
      <c r="G297" s="18" t="n">
        <v>0.7046769175925925</v>
      </c>
      <c r="H297" s="18" t="n">
        <v>0.7047116398148148</v>
      </c>
      <c r="I297" s="18" t="n">
        <v>0.7055796953703704</v>
      </c>
      <c r="J297" s="14" t="n">
        <v>3</v>
      </c>
      <c r="K297" s="19">
        <f>IF(AND(ISNUMBER(F297),ISNUMBER(G297)),(G297-F297)*1440,"")</f>
        <v/>
      </c>
      <c r="L297" s="19">
        <f>IF(AND(ISNUMBER(H297),ISNUMBER(I297)),(I297-H297)*1440,"")</f>
        <v/>
      </c>
      <c r="M297" s="15">
        <f>IF(ISNUMBER(F297),HOUR(F297),"")</f>
        <v/>
      </c>
    </row>
    <row r="298" ht="15.75" customHeight="1" s="36">
      <c r="A298" s="2" t="n">
        <v>295</v>
      </c>
      <c r="B298" s="12" t="n">
        <v>46092</v>
      </c>
      <c r="C298" s="14" t="inlineStr">
        <is>
          <t>D-009</t>
        </is>
      </c>
      <c r="D298" s="14" t="inlineStr">
        <is>
          <t>Dispensación</t>
        </is>
      </c>
      <c r="E298" s="14" t="inlineStr">
        <is>
          <t>N</t>
        </is>
      </c>
      <c r="F298" s="18" t="n">
        <v>0.3016849592592593</v>
      </c>
      <c r="G298" s="18" t="n">
        <v>0.3053422674189815</v>
      </c>
      <c r="H298" s="18" t="n">
        <v>0.3053885637152778</v>
      </c>
      <c r="I298" s="18" t="n">
        <v>0.3064533785300926</v>
      </c>
      <c r="J298" s="14" t="n">
        <v>1</v>
      </c>
      <c r="K298" s="19">
        <f>IF(AND(ISNUMBER(F298),ISNUMBER(G298)),(G298-F298)*1440,"")</f>
        <v/>
      </c>
      <c r="L298" s="19">
        <f>IF(AND(ISNUMBER(H298),ISNUMBER(I298)),(I298-H298)*1440,"")</f>
        <v/>
      </c>
      <c r="M298" s="15">
        <f>IF(ISNUMBER(F298),HOUR(F298),"")</f>
        <v/>
      </c>
    </row>
    <row r="299" ht="15.75" customHeight="1" s="36">
      <c r="A299" s="2" t="n">
        <v>296</v>
      </c>
      <c r="B299" s="12" t="n">
        <v>46092</v>
      </c>
      <c r="C299" s="14" t="inlineStr">
        <is>
          <t>V-012</t>
        </is>
      </c>
      <c r="D299" s="14" t="inlineStr">
        <is>
          <t>Turno virtual</t>
        </is>
      </c>
      <c r="E299" s="14" t="inlineStr">
        <is>
          <t>S</t>
        </is>
      </c>
      <c r="F299" s="18" t="n">
        <v>0.3149989632523148</v>
      </c>
      <c r="G299" s="18" t="n">
        <v>0.3151829384375</v>
      </c>
      <c r="H299" s="18" t="n">
        <v>0.3151945125115741</v>
      </c>
      <c r="I299" s="18" t="n">
        <v>0.3179722902893519</v>
      </c>
      <c r="J299" s="14" t="n">
        <v>2</v>
      </c>
      <c r="K299" s="19">
        <f>IF(AND(ISNUMBER(F299),ISNUMBER(G299)),(G299-F299)*1440,"")</f>
        <v/>
      </c>
      <c r="L299" s="19">
        <f>IF(AND(ISNUMBER(H299),ISNUMBER(I299)),(I299-H299)*1440,"")</f>
        <v/>
      </c>
      <c r="M299" s="15">
        <f>IF(ISNUMBER(F299),HOUR(F299),"")</f>
        <v/>
      </c>
    </row>
    <row r="300" ht="15.75" customHeight="1" s="36">
      <c r="A300" s="2" t="n">
        <v>297</v>
      </c>
      <c r="B300" s="12" t="n">
        <v>46092</v>
      </c>
      <c r="C300" s="14" t="inlineStr">
        <is>
          <t>D-029</t>
        </is>
      </c>
      <c r="D300" s="14" t="inlineStr">
        <is>
          <t>Dispensación</t>
        </is>
      </c>
      <c r="E300" s="14" t="inlineStr">
        <is>
          <t>N</t>
        </is>
      </c>
      <c r="F300" s="18" t="n">
        <v>0.3223247650347222</v>
      </c>
      <c r="G300" s="18" t="n">
        <v>0.3249256007523148</v>
      </c>
      <c r="H300" s="18" t="n">
        <v>0.324960322974537</v>
      </c>
      <c r="I300" s="18" t="n">
        <v>0.3270089340856481</v>
      </c>
      <c r="J300" s="14" t="n">
        <v>1</v>
      </c>
      <c r="K300" s="19">
        <f>IF(AND(ISNUMBER(F300),ISNUMBER(G300)),(G300-F300)*1440,"")</f>
        <v/>
      </c>
      <c r="L300" s="19">
        <f>IF(AND(ISNUMBER(H300),ISNUMBER(I300)),(I300-H300)*1440,"")</f>
        <v/>
      </c>
      <c r="M300" s="15">
        <f>IF(ISNUMBER(F300),HOUR(F300),"")</f>
        <v/>
      </c>
    </row>
    <row r="301" ht="15.75" customHeight="1" s="36">
      <c r="A301" s="2" t="n">
        <v>298</v>
      </c>
      <c r="B301" s="12" t="n">
        <v>46092</v>
      </c>
      <c r="C301" s="14" t="inlineStr">
        <is>
          <t>D-034</t>
        </is>
      </c>
      <c r="D301" s="14" t="inlineStr">
        <is>
          <t>Dispensación</t>
        </is>
      </c>
      <c r="E301" s="14" t="inlineStr">
        <is>
          <t>N</t>
        </is>
      </c>
      <c r="F301" s="18" t="n">
        <v>0.3247302802314815</v>
      </c>
      <c r="G301" s="18" t="n">
        <v>0.3292107162152778</v>
      </c>
      <c r="H301" s="18" t="n">
        <v>0.3292338643634259</v>
      </c>
      <c r="I301" s="18" t="n">
        <v>0.3320116421412037</v>
      </c>
      <c r="J301" s="14" t="n">
        <v>2</v>
      </c>
      <c r="K301" s="19">
        <f>IF(AND(ISNUMBER(F301),ISNUMBER(G301)),(G301-F301)*1440,"")</f>
        <v/>
      </c>
      <c r="L301" s="19">
        <f>IF(AND(ISNUMBER(H301),ISNUMBER(I301)),(I301-H301)*1440,"")</f>
        <v/>
      </c>
      <c r="M301" s="15">
        <f>IF(ISNUMBER(F301),HOUR(F301),"")</f>
        <v/>
      </c>
    </row>
    <row r="302" ht="15.75" customHeight="1" s="36">
      <c r="A302" s="2" t="n">
        <v>299</v>
      </c>
      <c r="B302" s="12" t="n">
        <v>46092</v>
      </c>
      <c r="C302" s="14" t="inlineStr">
        <is>
          <t>D-040</t>
        </is>
      </c>
      <c r="D302" s="14" t="inlineStr">
        <is>
          <t>Dispensación</t>
        </is>
      </c>
      <c r="E302" s="14" t="inlineStr">
        <is>
          <t>N</t>
        </is>
      </c>
      <c r="F302" s="18" t="n">
        <v>0.3315011194097222</v>
      </c>
      <c r="G302" s="18" t="n">
        <v>0.3347778458449074</v>
      </c>
      <c r="H302" s="18" t="n">
        <v>0.3347894199189815</v>
      </c>
      <c r="I302" s="18" t="n">
        <v>0.3366875680671296</v>
      </c>
      <c r="J302" s="14" t="n">
        <v>2</v>
      </c>
      <c r="K302" s="19">
        <f>IF(AND(ISNUMBER(F302),ISNUMBER(G302)),(G302-F302)*1440,"")</f>
        <v/>
      </c>
      <c r="L302" s="19">
        <f>IF(AND(ISNUMBER(H302),ISNUMBER(I302)),(I302-H302)*1440,"")</f>
        <v/>
      </c>
      <c r="M302" s="15">
        <f>IF(ISNUMBER(F302),HOUR(F302),"")</f>
        <v/>
      </c>
    </row>
    <row r="303" ht="15.75" customHeight="1" s="36">
      <c r="A303" s="2" t="n">
        <v>300</v>
      </c>
      <c r="B303" s="12" t="n">
        <v>46092</v>
      </c>
      <c r="C303" s="14" t="inlineStr">
        <is>
          <t>P-016</t>
        </is>
      </c>
      <c r="D303" s="14" t="inlineStr">
        <is>
          <t>Pendientes</t>
        </is>
      </c>
      <c r="E303" s="14" t="inlineStr">
        <is>
          <t>N</t>
        </is>
      </c>
      <c r="F303" s="18" t="n">
        <v>0.3328241065393518</v>
      </c>
      <c r="G303" s="18" t="n">
        <v>0.3363260637152778</v>
      </c>
      <c r="H303" s="18" t="n">
        <v>0.3363723600115741</v>
      </c>
      <c r="I303" s="18" t="n">
        <v>0.3386293044560185</v>
      </c>
      <c r="J303" s="14" t="n">
        <v>1</v>
      </c>
      <c r="K303" s="19">
        <f>IF(AND(ISNUMBER(F303),ISNUMBER(G303)),(G303-F303)*1440,"")</f>
        <v/>
      </c>
      <c r="L303" s="19">
        <f>IF(AND(ISNUMBER(H303),ISNUMBER(I303)),(I303-H303)*1440,"")</f>
        <v/>
      </c>
      <c r="M303" s="15">
        <f>IF(ISNUMBER(F303),HOUR(F303),"")</f>
        <v/>
      </c>
    </row>
    <row r="304" ht="15.75" customHeight="1" s="36">
      <c r="A304" s="2" t="n">
        <v>301</v>
      </c>
      <c r="B304" s="12" t="n">
        <v>46092</v>
      </c>
      <c r="C304" s="14" t="inlineStr">
        <is>
          <t>P-018</t>
        </is>
      </c>
      <c r="D304" s="14" t="inlineStr">
        <is>
          <t>Pendientes</t>
        </is>
      </c>
      <c r="E304" s="14" t="inlineStr">
        <is>
          <t>S</t>
        </is>
      </c>
      <c r="F304" s="18" t="n">
        <v>0.3373356873148148</v>
      </c>
      <c r="G304" s="18" t="n">
        <v>0.337835549375</v>
      </c>
      <c r="H304" s="18" t="n">
        <v>0.3378471234490741</v>
      </c>
      <c r="I304" s="18" t="n">
        <v>0.340648049375</v>
      </c>
      <c r="J304" s="14" t="n">
        <v>3</v>
      </c>
      <c r="K304" s="19">
        <f>IF(AND(ISNUMBER(F304),ISNUMBER(G304)),(G304-F304)*1440,"")</f>
        <v/>
      </c>
      <c r="L304" s="19">
        <f>IF(AND(ISNUMBER(H304),ISNUMBER(I304)),(I304-H304)*1440,"")</f>
        <v/>
      </c>
      <c r="M304" s="15">
        <f>IF(ISNUMBER(F304),HOUR(F304),"")</f>
        <v/>
      </c>
    </row>
    <row r="305" ht="15.75" customHeight="1" s="36">
      <c r="A305" s="2" t="n">
        <v>302</v>
      </c>
      <c r="B305" s="12" t="n">
        <v>46092</v>
      </c>
      <c r="C305" s="14" t="inlineStr">
        <is>
          <t>D-050</t>
        </is>
      </c>
      <c r="D305" s="14" t="inlineStr">
        <is>
          <t>Dispensación</t>
        </is>
      </c>
      <c r="E305" s="14" t="inlineStr">
        <is>
          <t>N</t>
        </is>
      </c>
      <c r="F305" s="18" t="n">
        <v>0.3414207499884259</v>
      </c>
      <c r="G305" s="18" t="n">
        <v>0.3462334711226852</v>
      </c>
      <c r="H305" s="18" t="n">
        <v>0.3462797674189815</v>
      </c>
      <c r="I305" s="18" t="n">
        <v>0.3479580081597222</v>
      </c>
      <c r="J305" s="14" t="n">
        <v>1</v>
      </c>
      <c r="K305" s="19">
        <f>IF(AND(ISNUMBER(F305),ISNUMBER(G305)),(G305-F305)*1440,"")</f>
        <v/>
      </c>
      <c r="L305" s="19">
        <f>IF(AND(ISNUMBER(H305),ISNUMBER(I305)),(I305-H305)*1440,"")</f>
        <v/>
      </c>
      <c r="M305" s="15">
        <f>IF(ISNUMBER(F305),HOUR(F305),"")</f>
        <v/>
      </c>
    </row>
    <row r="306" ht="15.75" customHeight="1" s="36">
      <c r="A306" s="2" t="n">
        <v>303</v>
      </c>
      <c r="B306" s="12" t="n">
        <v>46092</v>
      </c>
      <c r="C306" s="14" t="inlineStr">
        <is>
          <t>V-034</t>
        </is>
      </c>
      <c r="D306" s="14" t="inlineStr">
        <is>
          <t>Turno virtual</t>
        </is>
      </c>
      <c r="E306" s="14" t="inlineStr">
        <is>
          <t>N</t>
        </is>
      </c>
      <c r="F306" s="18" t="n">
        <v>0.3480939010185185</v>
      </c>
      <c r="G306" s="18" t="n">
        <v>0.3543749012268518</v>
      </c>
      <c r="H306" s="18" t="n">
        <v>0.3544096234490741</v>
      </c>
      <c r="I306" s="18" t="n">
        <v>0.3553239753009259</v>
      </c>
      <c r="J306" s="14" t="n">
        <v>3</v>
      </c>
      <c r="K306" s="19">
        <f>IF(AND(ISNUMBER(F306),ISNUMBER(G306)),(G306-F306)*1440,"")</f>
        <v/>
      </c>
      <c r="L306" s="19">
        <f>IF(AND(ISNUMBER(H306),ISNUMBER(I306)),(I306-H306)*1440,"")</f>
        <v/>
      </c>
      <c r="M306" s="15">
        <f>IF(ISNUMBER(F306),HOUR(F306),"")</f>
        <v/>
      </c>
    </row>
    <row r="307" ht="15.75" customHeight="1" s="36">
      <c r="A307" s="2" t="n">
        <v>304</v>
      </c>
      <c r="B307" s="12" t="n">
        <v>46092</v>
      </c>
      <c r="C307" s="14" t="inlineStr">
        <is>
          <t>D-060</t>
        </is>
      </c>
      <c r="D307" s="14" t="inlineStr">
        <is>
          <t>Dispensación</t>
        </is>
      </c>
      <c r="E307" s="14" t="inlineStr">
        <is>
          <t>N</t>
        </is>
      </c>
      <c r="F307" s="18" t="n">
        <v>0.3532700356597223</v>
      </c>
      <c r="G307" s="18" t="n">
        <v>0.3598262901157407</v>
      </c>
      <c r="H307" s="18" t="n">
        <v>0.3598494382638889</v>
      </c>
      <c r="I307" s="18" t="n">
        <v>0.3617938827083333</v>
      </c>
      <c r="J307" s="14" t="n">
        <v>3</v>
      </c>
      <c r="K307" s="19">
        <f>IF(AND(ISNUMBER(F307),ISNUMBER(G307)),(G307-F307)*1440,"")</f>
        <v/>
      </c>
      <c r="L307" s="19">
        <f>IF(AND(ISNUMBER(H307),ISNUMBER(I307)),(I307-H307)*1440,"")</f>
        <v/>
      </c>
      <c r="M307" s="15">
        <f>IF(ISNUMBER(F307),HOUR(F307),"")</f>
        <v/>
      </c>
    </row>
    <row r="308" ht="15.75" customHeight="1" s="36">
      <c r="A308" s="2" t="n">
        <v>305</v>
      </c>
      <c r="B308" s="12" t="n">
        <v>46092</v>
      </c>
      <c r="C308" s="14" t="inlineStr">
        <is>
          <t>D-062</t>
        </is>
      </c>
      <c r="D308" s="14" t="inlineStr">
        <is>
          <t>Dispensación</t>
        </is>
      </c>
      <c r="E308" s="14" t="inlineStr">
        <is>
          <t>N</t>
        </is>
      </c>
      <c r="F308" s="18" t="n">
        <v>0.3554882023263889</v>
      </c>
      <c r="G308" s="18" t="n">
        <v>0.3628239753009259</v>
      </c>
      <c r="H308" s="18" t="n">
        <v>0.3628702715972222</v>
      </c>
      <c r="I308" s="18" t="n">
        <v>0.3647915678935185</v>
      </c>
      <c r="J308" s="14" t="n">
        <v>3</v>
      </c>
      <c r="K308" s="19">
        <f>IF(AND(ISNUMBER(F308),ISNUMBER(G308)),(G308-F308)*1440,"")</f>
        <v/>
      </c>
      <c r="L308" s="19">
        <f>IF(AND(ISNUMBER(H308),ISNUMBER(I308)),(I308-H308)*1440,"")</f>
        <v/>
      </c>
      <c r="M308" s="15">
        <f>IF(ISNUMBER(F308),HOUR(F308),"")</f>
        <v/>
      </c>
    </row>
    <row r="309" ht="15.75" customHeight="1" s="36">
      <c r="A309" s="2" t="n">
        <v>306</v>
      </c>
      <c r="B309" s="12" t="n">
        <v>46092</v>
      </c>
      <c r="C309" s="14" t="inlineStr">
        <is>
          <t>D-068</t>
        </is>
      </c>
      <c r="D309" s="14" t="inlineStr">
        <is>
          <t>Dispensación</t>
        </is>
      </c>
      <c r="E309" s="14" t="inlineStr">
        <is>
          <t>S</t>
        </is>
      </c>
      <c r="F309" s="18" t="n">
        <v>0.3632418525925926</v>
      </c>
      <c r="G309" s="18" t="n">
        <v>0.3638857430439815</v>
      </c>
      <c r="H309" s="18" t="n">
        <v>0.3638973171180556</v>
      </c>
      <c r="I309" s="18" t="n">
        <v>0.3666866689699074</v>
      </c>
      <c r="J309" s="14" t="n">
        <v>4</v>
      </c>
      <c r="K309" s="19">
        <f>IF(AND(ISNUMBER(F309),ISNUMBER(G309)),(G309-F309)*1440,"")</f>
        <v/>
      </c>
      <c r="L309" s="19">
        <f>IF(AND(ISNUMBER(H309),ISNUMBER(I309)),(I309-H309)*1440,"")</f>
        <v/>
      </c>
      <c r="M309" s="15">
        <f>IF(ISNUMBER(F309),HOUR(F309),"")</f>
        <v/>
      </c>
    </row>
    <row r="310" ht="15.75" customHeight="1" s="36">
      <c r="A310" s="2" t="n">
        <v>307</v>
      </c>
      <c r="B310" s="12" t="n">
        <v>46092</v>
      </c>
      <c r="C310" s="14" t="inlineStr">
        <is>
          <t>D-083</t>
        </is>
      </c>
      <c r="D310" s="14" t="inlineStr">
        <is>
          <t>Dispensación</t>
        </is>
      </c>
      <c r="E310" s="14" t="inlineStr">
        <is>
          <t>N</t>
        </is>
      </c>
      <c r="F310" s="18" t="n">
        <v>0.3780887096180556</v>
      </c>
      <c r="G310" s="18" t="n">
        <v>0.3936871748263889</v>
      </c>
      <c r="H310" s="18" t="n">
        <v>0.3937334711226851</v>
      </c>
      <c r="I310" s="18" t="n">
        <v>0.3956431933449074</v>
      </c>
      <c r="J310" s="14" t="n">
        <v>1</v>
      </c>
      <c r="K310" s="19">
        <f>IF(AND(ISNUMBER(F310),ISNUMBER(G310)),(G310-F310)*1440,"")</f>
        <v/>
      </c>
      <c r="L310" s="19">
        <f>IF(AND(ISNUMBER(H310),ISNUMBER(I310)),(I310-H310)*1440,"")</f>
        <v/>
      </c>
      <c r="M310" s="15">
        <f>IF(ISNUMBER(F310),HOUR(F310),"")</f>
        <v/>
      </c>
    </row>
    <row r="311" ht="15.75" customHeight="1" s="36">
      <c r="A311" s="2" t="n">
        <v>308</v>
      </c>
      <c r="B311" s="12" t="n">
        <v>46092</v>
      </c>
      <c r="C311" s="14" t="inlineStr">
        <is>
          <t>V-075</t>
        </is>
      </c>
      <c r="D311" s="14" t="inlineStr">
        <is>
          <t>Turno virtual</t>
        </is>
      </c>
      <c r="E311" s="14" t="inlineStr">
        <is>
          <t>N</t>
        </is>
      </c>
      <c r="F311" s="18" t="n">
        <v>0.4093821126967593</v>
      </c>
      <c r="G311" s="18" t="n">
        <v>0.424861012337963</v>
      </c>
      <c r="H311" s="18" t="n">
        <v>0.4249073086342592</v>
      </c>
      <c r="I311" s="18" t="n">
        <v>0.4261920308564815</v>
      </c>
      <c r="J311" s="14" t="n">
        <v>3</v>
      </c>
      <c r="K311" s="19">
        <f>IF(AND(ISNUMBER(F311),ISNUMBER(G311)),(G311-F311)*1440,"")</f>
        <v/>
      </c>
      <c r="L311" s="19">
        <f>IF(AND(ISNUMBER(H311),ISNUMBER(I311)),(I311-H311)*1440,"")</f>
        <v/>
      </c>
      <c r="M311" s="15">
        <f>IF(ISNUMBER(F311),HOUR(F311),"")</f>
        <v/>
      </c>
    </row>
    <row r="312" ht="15.75" customHeight="1" s="36">
      <c r="A312" s="2" t="n">
        <v>309</v>
      </c>
      <c r="B312" s="12" t="n">
        <v>46092</v>
      </c>
      <c r="C312" s="14" t="inlineStr">
        <is>
          <t>D-109</t>
        </is>
      </c>
      <c r="D312" s="14" t="inlineStr">
        <is>
          <t>Dispensación</t>
        </is>
      </c>
      <c r="E312" s="14" t="inlineStr">
        <is>
          <t>S</t>
        </is>
      </c>
      <c r="F312" s="18" t="n">
        <v>0.414464558113426</v>
      </c>
      <c r="G312" s="18" t="n">
        <v>0.4146968273263889</v>
      </c>
      <c r="H312" s="18" t="n">
        <v>0.414719975474537</v>
      </c>
      <c r="I312" s="18" t="n">
        <v>0.4170579384375</v>
      </c>
      <c r="J312" s="14" t="n">
        <v>2</v>
      </c>
      <c r="K312" s="19">
        <f>IF(AND(ISNUMBER(F312),ISNUMBER(G312)),(G312-F312)*1440,"")</f>
        <v/>
      </c>
      <c r="L312" s="19">
        <f>IF(AND(ISNUMBER(H312),ISNUMBER(I312)),(I312-H312)*1440,"")</f>
        <v/>
      </c>
      <c r="M312" s="15">
        <f>IF(ISNUMBER(F312),HOUR(F312),"")</f>
        <v/>
      </c>
    </row>
    <row r="313" ht="15.75" customHeight="1" s="36">
      <c r="A313" s="2" t="n">
        <v>310</v>
      </c>
      <c r="B313" s="12" t="n">
        <v>46092</v>
      </c>
      <c r="C313" s="14" t="inlineStr">
        <is>
          <t>D-110</t>
        </is>
      </c>
      <c r="D313" s="14" t="inlineStr">
        <is>
          <t>Dispensación</t>
        </is>
      </c>
      <c r="E313" s="14" t="inlineStr">
        <is>
          <t>N</t>
        </is>
      </c>
      <c r="F313" s="18" t="n">
        <v>0.4145000669907407</v>
      </c>
      <c r="G313" s="18" t="n">
        <v>0.427986012337963</v>
      </c>
      <c r="H313" s="18" t="n">
        <v>0.4280207345601852</v>
      </c>
      <c r="I313" s="18" t="n">
        <v>0.4305323086342592</v>
      </c>
      <c r="J313" s="14" t="n">
        <v>3</v>
      </c>
      <c r="K313" s="19">
        <f>IF(AND(ISNUMBER(F313),ISNUMBER(G313)),(G313-F313)*1440,"")</f>
        <v/>
      </c>
      <c r="L313" s="19">
        <f>IF(AND(ISNUMBER(H313),ISNUMBER(I313)),(I313-H313)*1440,"")</f>
        <v/>
      </c>
      <c r="M313" s="15">
        <f>IF(ISNUMBER(F313),HOUR(F313),"")</f>
        <v/>
      </c>
    </row>
    <row r="314" ht="15.75" customHeight="1" s="36">
      <c r="A314" s="2" t="n">
        <v>311</v>
      </c>
      <c r="B314" s="12" t="n">
        <v>46092</v>
      </c>
      <c r="C314" s="14" t="inlineStr">
        <is>
          <t>V-076</t>
        </is>
      </c>
      <c r="D314" s="14" t="inlineStr">
        <is>
          <t>Turno virtual</t>
        </is>
      </c>
      <c r="E314" s="14" t="inlineStr">
        <is>
          <t>N</t>
        </is>
      </c>
      <c r="F314" s="18" t="n">
        <v>0.4147697555439815</v>
      </c>
      <c r="G314" s="18" t="n">
        <v>0.4284325451967592</v>
      </c>
      <c r="H314" s="18" t="n">
        <v>0.4284441192708333</v>
      </c>
      <c r="I314" s="18" t="n">
        <v>0.4304811563078703</v>
      </c>
      <c r="J314" s="14" t="n">
        <v>1</v>
      </c>
      <c r="K314" s="19">
        <f>IF(AND(ISNUMBER(F314),ISNUMBER(G314)),(G314-F314)*1440,"")</f>
        <v/>
      </c>
      <c r="L314" s="19">
        <f>IF(AND(ISNUMBER(H314),ISNUMBER(I314)),(I314-H314)*1440,"")</f>
        <v/>
      </c>
      <c r="M314" s="15">
        <f>IF(ISNUMBER(F314),HOUR(F314),"")</f>
        <v/>
      </c>
    </row>
    <row r="315" ht="15.75" customHeight="1" s="36">
      <c r="A315" s="2" t="n">
        <v>312</v>
      </c>
      <c r="B315" s="12" t="n">
        <v>46092</v>
      </c>
      <c r="C315" s="14" t="inlineStr">
        <is>
          <t>V-079</t>
        </is>
      </c>
      <c r="D315" s="14" t="inlineStr">
        <is>
          <t>Turno virtual</t>
        </is>
      </c>
      <c r="E315" s="14" t="inlineStr">
        <is>
          <t>N</t>
        </is>
      </c>
      <c r="F315" s="18" t="n">
        <v>0.4160098620138888</v>
      </c>
      <c r="G315" s="18" t="n">
        <v>0.4318286049305555</v>
      </c>
      <c r="H315" s="18" t="n">
        <v>0.4318401790046296</v>
      </c>
      <c r="I315" s="18" t="n">
        <v>0.4327082345601852</v>
      </c>
      <c r="J315" s="14" t="n">
        <v>3</v>
      </c>
      <c r="K315" s="19">
        <f>IF(AND(ISNUMBER(F315),ISNUMBER(G315)),(G315-F315)*1440,"")</f>
        <v/>
      </c>
      <c r="L315" s="19">
        <f>IF(AND(ISNUMBER(H315),ISNUMBER(I315)),(I315-H315)*1440,"")</f>
        <v/>
      </c>
      <c r="M315" s="15">
        <f>IF(ISNUMBER(F315),HOUR(F315),"")</f>
        <v/>
      </c>
    </row>
    <row r="316" ht="15.75" customHeight="1" s="36">
      <c r="A316" s="2" t="n">
        <v>313</v>
      </c>
      <c r="B316" s="12" t="n">
        <v>46092</v>
      </c>
      <c r="C316" s="14" t="inlineStr">
        <is>
          <t>D-119</t>
        </is>
      </c>
      <c r="D316" s="14" t="inlineStr">
        <is>
          <t>Dispensación</t>
        </is>
      </c>
      <c r="E316" s="14" t="inlineStr">
        <is>
          <t>N</t>
        </is>
      </c>
      <c r="F316" s="18" t="n">
        <v>0.4250431974189815</v>
      </c>
      <c r="G316" s="18" t="n">
        <v>0.4387361791782408</v>
      </c>
      <c r="H316" s="18" t="n">
        <v>0.4387593273263889</v>
      </c>
      <c r="I316" s="18" t="n">
        <v>0.4398009939930556</v>
      </c>
      <c r="J316" s="14" t="n">
        <v>2</v>
      </c>
      <c r="K316" s="19">
        <f>IF(AND(ISNUMBER(F316),ISNUMBER(G316)),(G316-F316)*1440,"")</f>
        <v/>
      </c>
      <c r="L316" s="19">
        <f>IF(AND(ISNUMBER(H316),ISNUMBER(I316)),(I316-H316)*1440,"")</f>
        <v/>
      </c>
      <c r="M316" s="15">
        <f>IF(ISNUMBER(F316),HOUR(F316),"")</f>
        <v/>
      </c>
    </row>
    <row r="317" ht="15.75" customHeight="1" s="36">
      <c r="A317" s="2" t="n">
        <v>314</v>
      </c>
      <c r="B317" s="12" t="n">
        <v>46092</v>
      </c>
      <c r="C317" s="14" t="inlineStr">
        <is>
          <t>V-087</t>
        </is>
      </c>
      <c r="D317" s="14" t="inlineStr">
        <is>
          <t>Turno virtual</t>
        </is>
      </c>
      <c r="E317" s="14" t="inlineStr">
        <is>
          <t>N</t>
        </is>
      </c>
      <c r="F317" s="18" t="n">
        <v>0.4310435086342592</v>
      </c>
      <c r="G317" s="18" t="n">
        <v>0.4455786049305556</v>
      </c>
      <c r="H317" s="18" t="n">
        <v>0.4456017530787037</v>
      </c>
      <c r="I317" s="18" t="n">
        <v>0.4505786049305556</v>
      </c>
      <c r="J317" s="14" t="n">
        <v>3</v>
      </c>
      <c r="K317" s="19">
        <f>IF(AND(ISNUMBER(F317),ISNUMBER(G317)),(G317-F317)*1440,"")</f>
        <v/>
      </c>
      <c r="L317" s="19">
        <f>IF(AND(ISNUMBER(H317),ISNUMBER(I317)),(I317-H317)*1440,"")</f>
        <v/>
      </c>
      <c r="M317" s="15">
        <f>IF(ISNUMBER(F317),HOUR(F317),"")</f>
        <v/>
      </c>
    </row>
    <row r="318" ht="15.75" customHeight="1" s="36">
      <c r="A318" s="2" t="n">
        <v>315</v>
      </c>
      <c r="B318" s="12" t="n">
        <v>46092</v>
      </c>
      <c r="C318" s="14" t="inlineStr">
        <is>
          <t>V-096</t>
        </is>
      </c>
      <c r="D318" s="14" t="inlineStr">
        <is>
          <t>Turno virtual</t>
        </is>
      </c>
      <c r="E318" s="14" t="inlineStr">
        <is>
          <t>N</t>
        </is>
      </c>
      <c r="F318" s="18" t="n">
        <v>0.4504614505092592</v>
      </c>
      <c r="G318" s="18" t="n">
        <v>0.4631334282291666</v>
      </c>
      <c r="H318" s="18" t="n">
        <v>0.4631450023032407</v>
      </c>
      <c r="I318" s="18" t="n">
        <v>0.4671380578587963</v>
      </c>
      <c r="J318" s="14" t="n">
        <v>4</v>
      </c>
      <c r="K318" s="19">
        <f>IF(AND(ISNUMBER(F318),ISNUMBER(G318)),(G318-F318)*1440,"")</f>
        <v/>
      </c>
      <c r="L318" s="19">
        <f>IF(AND(ISNUMBER(H318),ISNUMBER(I318)),(I318-H318)*1440,"")</f>
        <v/>
      </c>
      <c r="M318" s="15">
        <f>IF(ISNUMBER(F318),HOUR(F318),"")</f>
        <v/>
      </c>
    </row>
    <row r="319" ht="15.75" customHeight="1" s="36">
      <c r="A319" s="2" t="n">
        <v>316</v>
      </c>
      <c r="B319" s="12" t="n">
        <v>46092</v>
      </c>
      <c r="C319" s="14" t="inlineStr">
        <is>
          <t>P-077</t>
        </is>
      </c>
      <c r="D319" s="14" t="inlineStr">
        <is>
          <t>Pendientes</t>
        </is>
      </c>
      <c r="E319" s="14" t="inlineStr">
        <is>
          <t>N</t>
        </is>
      </c>
      <c r="F319" s="18" t="n">
        <v>0.4557634978819445</v>
      </c>
      <c r="G319" s="18" t="n">
        <v>0.4674398828819444</v>
      </c>
      <c r="H319" s="18" t="n">
        <v>0.4674514569560185</v>
      </c>
      <c r="I319" s="18" t="n">
        <v>0.4707732162152778</v>
      </c>
      <c r="J319" s="14" t="n">
        <v>2</v>
      </c>
      <c r="K319" s="19">
        <f>IF(AND(ISNUMBER(F319),ISNUMBER(G319)),(G319-F319)*1440,"")</f>
        <v/>
      </c>
      <c r="L319" s="19">
        <f>IF(AND(ISNUMBER(H319),ISNUMBER(I319)),(I319-H319)*1440,"")</f>
        <v/>
      </c>
      <c r="M319" s="15">
        <f>IF(ISNUMBER(F319),HOUR(F319),"")</f>
        <v/>
      </c>
    </row>
    <row r="320" ht="15.75" customHeight="1" s="36">
      <c r="A320" s="2" t="n">
        <v>317</v>
      </c>
      <c r="B320" s="12" t="n">
        <v>46092</v>
      </c>
      <c r="C320" s="14" t="inlineStr">
        <is>
          <t>V-102</t>
        </is>
      </c>
      <c r="D320" s="14" t="inlineStr">
        <is>
          <t>Turno virtual</t>
        </is>
      </c>
      <c r="E320" s="14" t="inlineStr">
        <is>
          <t>N</t>
        </is>
      </c>
      <c r="F320" s="18" t="n">
        <v>0.4612306111111111</v>
      </c>
      <c r="G320" s="18" t="n">
        <v>0.4729695822337963</v>
      </c>
      <c r="H320" s="18" t="n">
        <v>0.4729811563078704</v>
      </c>
      <c r="I320" s="18" t="n">
        <v>0.4753075451967592</v>
      </c>
      <c r="J320" s="14" t="n">
        <v>1</v>
      </c>
      <c r="K320" s="19">
        <f>IF(AND(ISNUMBER(F320),ISNUMBER(G320)),(G320-F320)*1440,"")</f>
        <v/>
      </c>
      <c r="L320" s="19">
        <f>IF(AND(ISNUMBER(H320),ISNUMBER(I320)),(I320-H320)*1440,"")</f>
        <v/>
      </c>
      <c r="M320" s="15">
        <f>IF(ISNUMBER(F320),HOUR(F320),"")</f>
        <v/>
      </c>
    </row>
    <row r="321" ht="15.75" customHeight="1" s="36">
      <c r="A321" s="2" t="n">
        <v>318</v>
      </c>
      <c r="B321" s="12" t="n">
        <v>46092</v>
      </c>
      <c r="C321" s="14" t="inlineStr">
        <is>
          <t>P-080</t>
        </is>
      </c>
      <c r="D321" s="14" t="inlineStr">
        <is>
          <t>Pendientes</t>
        </is>
      </c>
      <c r="E321" s="14" t="inlineStr">
        <is>
          <t>N</t>
        </is>
      </c>
      <c r="F321" s="18" t="n">
        <v>0.4797528358101852</v>
      </c>
      <c r="G321" s="18" t="n">
        <v>0.4815371051041667</v>
      </c>
      <c r="H321" s="18" t="n">
        <v>0.4815602532523148</v>
      </c>
      <c r="I321" s="18" t="n">
        <v>0.4836204384375</v>
      </c>
      <c r="J321" s="14" t="n">
        <v>2</v>
      </c>
      <c r="K321" s="19">
        <f>IF(AND(ISNUMBER(F321),ISNUMBER(G321)),(G321-F321)*1440,"")</f>
        <v/>
      </c>
      <c r="L321" s="19">
        <f>IF(AND(ISNUMBER(H321),ISNUMBER(I321)),(I321-H321)*1440,"")</f>
        <v/>
      </c>
      <c r="M321" s="15">
        <f>IF(ISNUMBER(F321),HOUR(F321),"")</f>
        <v/>
      </c>
    </row>
    <row r="322" ht="15.75" customHeight="1" s="36">
      <c r="A322" s="2" t="n">
        <v>319</v>
      </c>
      <c r="B322" s="12" t="n">
        <v>46092</v>
      </c>
      <c r="C322" s="14" t="inlineStr">
        <is>
          <t>D-155</t>
        </is>
      </c>
      <c r="D322" s="14" t="inlineStr">
        <is>
          <t>Dispensación</t>
        </is>
      </c>
      <c r="E322" s="14" t="inlineStr">
        <is>
          <t>N</t>
        </is>
      </c>
      <c r="F322" s="18" t="n">
        <v>0.4977957895949074</v>
      </c>
      <c r="G322" s="18" t="n">
        <v>0.4977957895949074</v>
      </c>
      <c r="H322" s="18" t="n">
        <v>0.4978073636689815</v>
      </c>
      <c r="I322" s="18" t="n">
        <v>0.4997981044097222</v>
      </c>
      <c r="J322" s="14" t="n">
        <v>2</v>
      </c>
      <c r="K322" s="19">
        <f>IF(AND(ISNUMBER(F322),ISNUMBER(G322)),(G322-F322)*1440,"")</f>
        <v/>
      </c>
      <c r="L322" s="19">
        <f>IF(AND(ISNUMBER(H322),ISNUMBER(I322)),(I322-H322)*1440,"")</f>
        <v/>
      </c>
      <c r="M322" s="15">
        <f>IF(ISNUMBER(F322),HOUR(F322),"")</f>
        <v/>
      </c>
    </row>
    <row r="323" ht="15.75" customHeight="1" s="36">
      <c r="A323" s="2" t="n">
        <v>320</v>
      </c>
      <c r="B323" s="12" t="n">
        <v>46092</v>
      </c>
      <c r="C323" s="14" t="inlineStr">
        <is>
          <t>D-161</t>
        </is>
      </c>
      <c r="D323" s="14" t="inlineStr">
        <is>
          <t>Dispensación</t>
        </is>
      </c>
      <c r="E323" s="14" t="inlineStr">
        <is>
          <t>N</t>
        </is>
      </c>
      <c r="F323" s="18" t="n">
        <v>0.5011426276967593</v>
      </c>
      <c r="G323" s="18" t="n">
        <v>0.5011426276967593</v>
      </c>
      <c r="H323" s="18" t="n">
        <v>0.5011542017708334</v>
      </c>
      <c r="I323" s="18" t="n">
        <v>0.5029829054745371</v>
      </c>
      <c r="J323" s="14" t="n">
        <v>1</v>
      </c>
      <c r="K323" s="19">
        <f>IF(AND(ISNUMBER(F323),ISNUMBER(G323)),(G323-F323)*1440,"")</f>
        <v/>
      </c>
      <c r="L323" s="19">
        <f>IF(AND(ISNUMBER(H323),ISNUMBER(I323)),(I323-H323)*1440,"")</f>
        <v/>
      </c>
      <c r="M323" s="15">
        <f>IF(ISNUMBER(F323),HOUR(F323),"")</f>
        <v/>
      </c>
    </row>
    <row r="324" ht="15.75" customHeight="1" s="36">
      <c r="A324" s="2" t="n">
        <v>321</v>
      </c>
      <c r="B324" s="12" t="n">
        <v>46092</v>
      </c>
      <c r="C324" s="14" t="inlineStr">
        <is>
          <t>P-097</t>
        </is>
      </c>
      <c r="D324" s="14" t="inlineStr">
        <is>
          <t>Pendientes</t>
        </is>
      </c>
      <c r="E324" s="14" t="inlineStr">
        <is>
          <t>N</t>
        </is>
      </c>
      <c r="F324" s="18" t="n">
        <v>0.5266516729166667</v>
      </c>
      <c r="G324" s="18" t="n">
        <v>0.5268594213194445</v>
      </c>
      <c r="H324" s="18" t="n">
        <v>0.5269057176157408</v>
      </c>
      <c r="I324" s="18" t="n">
        <v>0.5292436805787037</v>
      </c>
      <c r="J324" s="14" t="n">
        <v>3</v>
      </c>
      <c r="K324" s="19">
        <f>IF(AND(ISNUMBER(F324),ISNUMBER(G324)),(G324-F324)*1440,"")</f>
        <v/>
      </c>
      <c r="L324" s="19">
        <f>IF(AND(ISNUMBER(H324),ISNUMBER(I324)),(I324-H324)*1440,"")</f>
        <v/>
      </c>
      <c r="M324" s="15">
        <f>IF(ISNUMBER(F324),HOUR(F324),"")</f>
        <v/>
      </c>
    </row>
    <row r="325" ht="15.75" customHeight="1" s="36">
      <c r="A325" s="2" t="n">
        <v>322</v>
      </c>
      <c r="B325" s="12" t="n">
        <v>46092</v>
      </c>
      <c r="C325" s="14" t="inlineStr">
        <is>
          <t>V-122</t>
        </is>
      </c>
      <c r="D325" s="14" t="inlineStr">
        <is>
          <t>Turno virtual</t>
        </is>
      </c>
      <c r="E325" s="14" t="inlineStr">
        <is>
          <t>N</t>
        </is>
      </c>
      <c r="F325" s="18" t="n">
        <v>0.537237429375</v>
      </c>
      <c r="G325" s="18" t="n">
        <v>0.537237429375</v>
      </c>
      <c r="H325" s="18" t="n">
        <v>0.5372490034490741</v>
      </c>
      <c r="I325" s="18" t="n">
        <v>0.5406286330787037</v>
      </c>
      <c r="J325" s="14" t="n">
        <v>2</v>
      </c>
      <c r="K325" s="19">
        <f>IF(AND(ISNUMBER(F325),ISNUMBER(G325)),(G325-F325)*1440,"")</f>
        <v/>
      </c>
      <c r="L325" s="19">
        <f>IF(AND(ISNUMBER(H325),ISNUMBER(I325)),(I325-H325)*1440,"")</f>
        <v/>
      </c>
      <c r="M325" s="15">
        <f>IF(ISNUMBER(F325),HOUR(F325),"")</f>
        <v/>
      </c>
    </row>
    <row r="326" ht="15.75" customHeight="1" s="36">
      <c r="A326" s="2" t="n">
        <v>323</v>
      </c>
      <c r="B326" s="12" t="n">
        <v>46092</v>
      </c>
      <c r="C326" s="14" t="inlineStr">
        <is>
          <t>V-128</t>
        </is>
      </c>
      <c r="D326" s="14" t="inlineStr">
        <is>
          <t>Turno virtual</t>
        </is>
      </c>
      <c r="E326" s="14" t="inlineStr">
        <is>
          <t>N</t>
        </is>
      </c>
      <c r="F326" s="18" t="n">
        <v>0.5545919015393519</v>
      </c>
      <c r="G326" s="18" t="n">
        <v>0.5545919015393519</v>
      </c>
      <c r="H326" s="18" t="n">
        <v>0.5546266237615741</v>
      </c>
      <c r="I326" s="18" t="n">
        <v>0.5582608830208333</v>
      </c>
      <c r="J326" s="14" t="n">
        <v>1</v>
      </c>
      <c r="K326" s="19">
        <f>IF(AND(ISNUMBER(F326),ISNUMBER(G326)),(G326-F326)*1440,"")</f>
        <v/>
      </c>
      <c r="L326" s="19">
        <f>IF(AND(ISNUMBER(H326),ISNUMBER(I326)),(I326-H326)*1440,"")</f>
        <v/>
      </c>
      <c r="M326" s="15">
        <f>IF(ISNUMBER(F326),HOUR(F326),"")</f>
        <v/>
      </c>
    </row>
    <row r="327" ht="15.75" customHeight="1" s="36">
      <c r="A327" s="2" t="n">
        <v>324</v>
      </c>
      <c r="B327" s="12" t="n">
        <v>46092</v>
      </c>
      <c r="C327" s="14" t="inlineStr">
        <is>
          <t>D-187</t>
        </is>
      </c>
      <c r="D327" s="14" t="inlineStr">
        <is>
          <t>Dispensación</t>
        </is>
      </c>
      <c r="E327" s="14" t="inlineStr">
        <is>
          <t>N</t>
        </is>
      </c>
      <c r="F327" s="18" t="n">
        <v>0.5596997659143519</v>
      </c>
      <c r="G327" s="18" t="n">
        <v>0.5596997659143519</v>
      </c>
      <c r="H327" s="18" t="n">
        <v>0.5597460622106482</v>
      </c>
      <c r="I327" s="18" t="n">
        <v>0.5615284696180556</v>
      </c>
      <c r="J327" s="14" t="n">
        <v>1</v>
      </c>
      <c r="K327" s="19">
        <f>IF(AND(ISNUMBER(F327),ISNUMBER(G327)),(G327-F327)*1440,"")</f>
        <v/>
      </c>
      <c r="L327" s="19">
        <f>IF(AND(ISNUMBER(H327),ISNUMBER(I327)),(I327-H327)*1440,"")</f>
        <v/>
      </c>
      <c r="M327" s="15">
        <f>IF(ISNUMBER(F327),HOUR(F327),"")</f>
        <v/>
      </c>
    </row>
    <row r="328" ht="15.75" customHeight="1" s="36">
      <c r="A328" s="2" t="n">
        <v>325</v>
      </c>
      <c r="B328" s="12" t="n">
        <v>46092</v>
      </c>
      <c r="C328" s="14" t="inlineStr">
        <is>
          <t>V-132</t>
        </is>
      </c>
      <c r="D328" s="14" t="inlineStr">
        <is>
          <t>Turno virtual</t>
        </is>
      </c>
      <c r="E328" s="14" t="inlineStr">
        <is>
          <t>N</t>
        </is>
      </c>
      <c r="F328" s="18" t="n">
        <v>0.5624119936805555</v>
      </c>
      <c r="G328" s="18" t="n">
        <v>0.5624119936805555</v>
      </c>
      <c r="H328" s="18" t="n">
        <v>0.5624351418287037</v>
      </c>
      <c r="I328" s="18" t="n">
        <v>0.5646920862731482</v>
      </c>
      <c r="J328" s="14" t="n">
        <v>1</v>
      </c>
      <c r="K328" s="19">
        <f>IF(AND(ISNUMBER(F328),ISNUMBER(G328)),(G328-F328)*1440,"")</f>
        <v/>
      </c>
      <c r="L328" s="19">
        <f>IF(AND(ISNUMBER(H328),ISNUMBER(I328)),(I328-H328)*1440,"")</f>
        <v/>
      </c>
      <c r="M328" s="15">
        <f>IF(ISNUMBER(F328),HOUR(F328),"")</f>
        <v/>
      </c>
    </row>
    <row r="329" ht="15.75" customHeight="1" s="36">
      <c r="A329" s="2" t="n">
        <v>326</v>
      </c>
      <c r="B329" s="12" t="n">
        <v>46092</v>
      </c>
      <c r="C329" s="14" t="inlineStr">
        <is>
          <t>D-200</t>
        </is>
      </c>
      <c r="D329" s="14" t="inlineStr">
        <is>
          <t>Dispensación</t>
        </is>
      </c>
      <c r="E329" s="14" t="inlineStr">
        <is>
          <t>S</t>
        </is>
      </c>
      <c r="F329" s="18" t="n">
        <v>0.5912795641898148</v>
      </c>
      <c r="G329" s="18" t="n">
        <v>0.5912795641898148</v>
      </c>
      <c r="H329" s="18" t="n">
        <v>0.591314286412037</v>
      </c>
      <c r="I329" s="18" t="n">
        <v>0.5959902123379629</v>
      </c>
      <c r="J329" s="14" t="n">
        <v>2</v>
      </c>
      <c r="K329" s="19">
        <f>IF(AND(ISNUMBER(F329),ISNUMBER(G329)),(G329-F329)*1440,"")</f>
        <v/>
      </c>
      <c r="L329" s="19">
        <f>IF(AND(ISNUMBER(H329),ISNUMBER(I329)),(I329-H329)*1440,"")</f>
        <v/>
      </c>
      <c r="M329" s="15">
        <f>IF(ISNUMBER(F329),HOUR(F329),"")</f>
        <v/>
      </c>
    </row>
    <row r="330" ht="15.75" customHeight="1" s="36">
      <c r="A330" s="2" t="n">
        <v>327</v>
      </c>
      <c r="B330" s="12" t="n">
        <v>46092</v>
      </c>
      <c r="C330" s="14" t="inlineStr">
        <is>
          <t>D-203</t>
        </is>
      </c>
      <c r="D330" s="14" t="inlineStr">
        <is>
          <t>Dispensación</t>
        </is>
      </c>
      <c r="E330" s="14" t="inlineStr">
        <is>
          <t>N</t>
        </is>
      </c>
      <c r="F330" s="18" t="n">
        <v>0.5947498708796296</v>
      </c>
      <c r="G330" s="18" t="n">
        <v>0.5955451366666666</v>
      </c>
      <c r="H330" s="18" t="n">
        <v>0.5955682848148148</v>
      </c>
      <c r="I330" s="18" t="n">
        <v>0.5966678218518519</v>
      </c>
      <c r="J330" s="14" t="n">
        <v>1</v>
      </c>
      <c r="K330" s="19">
        <f>IF(AND(ISNUMBER(F330),ISNUMBER(G330)),(G330-F330)*1440,"")</f>
        <v/>
      </c>
      <c r="L330" s="19">
        <f>IF(AND(ISNUMBER(H330),ISNUMBER(I330)),(I330-H330)*1440,"")</f>
        <v/>
      </c>
      <c r="M330" s="15">
        <f>IF(ISNUMBER(F330),HOUR(F330),"")</f>
        <v/>
      </c>
    </row>
    <row r="331" ht="15.75" customHeight="1" s="36">
      <c r="A331" s="2" t="n">
        <v>328</v>
      </c>
      <c r="B331" s="12" t="n">
        <v>46092</v>
      </c>
      <c r="C331" s="14" t="inlineStr">
        <is>
          <t>V-157</t>
        </is>
      </c>
      <c r="D331" s="14" t="inlineStr">
        <is>
          <t>Turno virtual</t>
        </is>
      </c>
      <c r="E331" s="14" t="inlineStr">
        <is>
          <t>N</t>
        </is>
      </c>
      <c r="F331" s="18" t="n">
        <v>0.6150500778356481</v>
      </c>
      <c r="G331" s="18" t="n">
        <v>0.616723063125</v>
      </c>
      <c r="H331" s="18" t="n">
        <v>0.6167462112731481</v>
      </c>
      <c r="I331" s="18" t="n">
        <v>0.6194892668287036</v>
      </c>
      <c r="J331" s="14" t="n">
        <v>3</v>
      </c>
      <c r="K331" s="19">
        <f>IF(AND(ISNUMBER(F331),ISNUMBER(G331)),(G331-F331)*1440,"")</f>
        <v/>
      </c>
      <c r="L331" s="19">
        <f>IF(AND(ISNUMBER(H331),ISNUMBER(I331)),(I331-H331)*1440,"")</f>
        <v/>
      </c>
      <c r="M331" s="15">
        <f>IF(ISNUMBER(F331),HOUR(F331),"")</f>
        <v/>
      </c>
    </row>
    <row r="332" ht="15.75" customHeight="1" s="36">
      <c r="A332" s="2" t="n">
        <v>329</v>
      </c>
      <c r="B332" s="12" t="n">
        <v>46092</v>
      </c>
      <c r="C332" s="14" t="inlineStr">
        <is>
          <t>D-218</t>
        </is>
      </c>
      <c r="D332" s="14" t="inlineStr">
        <is>
          <t>Dispensación</t>
        </is>
      </c>
      <c r="E332" s="14" t="inlineStr">
        <is>
          <t>N</t>
        </is>
      </c>
      <c r="F332" s="18" t="n">
        <v>0.6183799546180556</v>
      </c>
      <c r="G332" s="18" t="n">
        <v>0.6183799546180556</v>
      </c>
      <c r="H332" s="18" t="n">
        <v>0.6184146768402778</v>
      </c>
      <c r="I332" s="18" t="n">
        <v>0.6190049546180556</v>
      </c>
      <c r="J332" s="14" t="n">
        <v>1</v>
      </c>
      <c r="K332" s="19">
        <f>IF(AND(ISNUMBER(F332),ISNUMBER(G332)),(G332-F332)*1440,"")</f>
        <v/>
      </c>
      <c r="L332" s="19">
        <f>IF(AND(ISNUMBER(H332),ISNUMBER(I332)),(I332-H332)*1440,"")</f>
        <v/>
      </c>
      <c r="M332" s="15">
        <f>IF(ISNUMBER(F332),HOUR(F332),"")</f>
        <v/>
      </c>
    </row>
    <row r="333" ht="15.75" customHeight="1" s="36">
      <c r="A333" s="2" t="n">
        <v>330</v>
      </c>
      <c r="B333" s="12" t="n">
        <v>46092</v>
      </c>
      <c r="C333" s="14" t="inlineStr">
        <is>
          <t>D-222</t>
        </is>
      </c>
      <c r="D333" s="14" t="inlineStr">
        <is>
          <t>Dispensación</t>
        </is>
      </c>
      <c r="E333" s="14" t="inlineStr">
        <is>
          <t>N</t>
        </is>
      </c>
      <c r="F333" s="18" t="n">
        <v>0.6213306052314814</v>
      </c>
      <c r="G333" s="18" t="n">
        <v>0.6227989084722222</v>
      </c>
      <c r="H333" s="18" t="n">
        <v>0.6228336306944444</v>
      </c>
      <c r="I333" s="18" t="n">
        <v>0.6251368714351851</v>
      </c>
      <c r="J333" s="14" t="n">
        <v>2</v>
      </c>
      <c r="K333" s="19">
        <f>IF(AND(ISNUMBER(F333),ISNUMBER(G333)),(G333-F333)*1440,"")</f>
        <v/>
      </c>
      <c r="L333" s="19">
        <f>IF(AND(ISNUMBER(H333),ISNUMBER(I333)),(I333-H333)*1440,"")</f>
        <v/>
      </c>
      <c r="M333" s="15">
        <f>IF(ISNUMBER(F333),HOUR(F333),"")</f>
        <v/>
      </c>
    </row>
    <row r="334" ht="15.75" customHeight="1" s="36">
      <c r="A334" s="2" t="n">
        <v>331</v>
      </c>
      <c r="B334" s="12" t="n">
        <v>46092</v>
      </c>
      <c r="C334" s="14" t="inlineStr">
        <is>
          <t>D-235</t>
        </is>
      </c>
      <c r="D334" s="14" t="inlineStr">
        <is>
          <t>Dispensación</t>
        </is>
      </c>
      <c r="E334" s="14" t="inlineStr">
        <is>
          <t>N</t>
        </is>
      </c>
      <c r="F334" s="18" t="n">
        <v>0.6410182990277777</v>
      </c>
      <c r="G334" s="18" t="n">
        <v>0.6410182990277777</v>
      </c>
      <c r="H334" s="18" t="n">
        <v>0.6410414471759259</v>
      </c>
      <c r="I334" s="18" t="n">
        <v>0.6425345027314815</v>
      </c>
      <c r="J334" s="14" t="n">
        <v>4</v>
      </c>
      <c r="K334" s="19">
        <f>IF(AND(ISNUMBER(F334),ISNUMBER(G334)),(G334-F334)*1440,"")</f>
        <v/>
      </c>
      <c r="L334" s="19">
        <f>IF(AND(ISNUMBER(H334),ISNUMBER(I334)),(I334-H334)*1440,"")</f>
        <v/>
      </c>
      <c r="M334" s="15">
        <f>IF(ISNUMBER(F334),HOUR(F334),"")</f>
        <v/>
      </c>
    </row>
    <row r="335" ht="15.75" customHeight="1" s="36">
      <c r="A335" s="2" t="n">
        <v>332</v>
      </c>
      <c r="B335" s="12" t="n">
        <v>46092</v>
      </c>
      <c r="C335" s="14" t="inlineStr">
        <is>
          <t>V-172</t>
        </is>
      </c>
      <c r="D335" s="14" t="inlineStr">
        <is>
          <t>Turno virtual</t>
        </is>
      </c>
      <c r="E335" s="14" t="inlineStr">
        <is>
          <t>N</t>
        </is>
      </c>
      <c r="F335" s="18" t="n">
        <v>0.641888846076389</v>
      </c>
      <c r="G335" s="18" t="n">
        <v>0.6423355067129629</v>
      </c>
      <c r="H335" s="18" t="n">
        <v>0.6423586548611111</v>
      </c>
      <c r="I335" s="18" t="n">
        <v>0.6439905993055556</v>
      </c>
      <c r="J335" s="14" t="n">
        <v>2</v>
      </c>
      <c r="K335" s="19">
        <f>IF(AND(ISNUMBER(F335),ISNUMBER(G335)),(G335-F335)*1440,"")</f>
        <v/>
      </c>
      <c r="L335" s="19">
        <f>IF(AND(ISNUMBER(H335),ISNUMBER(I335)),(I335-H335)*1440,"")</f>
        <v/>
      </c>
      <c r="M335" s="15">
        <f>IF(ISNUMBER(F335),HOUR(F335),"")</f>
        <v/>
      </c>
    </row>
    <row r="336" ht="15.75" customHeight="1" s="36">
      <c r="A336" s="2" t="n">
        <v>333</v>
      </c>
      <c r="B336" s="12" t="n">
        <v>46092</v>
      </c>
      <c r="C336" s="14" t="inlineStr">
        <is>
          <t>V-178</t>
        </is>
      </c>
      <c r="D336" s="14" t="inlineStr">
        <is>
          <t>Turno virtual</t>
        </is>
      </c>
      <c r="E336" s="14" t="inlineStr">
        <is>
          <t>N</t>
        </is>
      </c>
      <c r="F336" s="18" t="n">
        <v>0.6597831490277778</v>
      </c>
      <c r="G336" s="18" t="n">
        <v>0.6597831490277778</v>
      </c>
      <c r="H336" s="18" t="n">
        <v>0.6598294453240741</v>
      </c>
      <c r="I336" s="18" t="n">
        <v>0.6638456490277778</v>
      </c>
      <c r="J336" s="14" t="n">
        <v>1</v>
      </c>
      <c r="K336" s="19">
        <f>IF(AND(ISNUMBER(F336),ISNUMBER(G336)),(G336-F336)*1440,"")</f>
        <v/>
      </c>
      <c r="L336" s="19">
        <f>IF(AND(ISNUMBER(H336),ISNUMBER(I336)),(I336-H336)*1440,"")</f>
        <v/>
      </c>
      <c r="M336" s="15">
        <f>IF(ISNUMBER(F336),HOUR(F336),"")</f>
        <v/>
      </c>
    </row>
    <row r="337" ht="15.75" customHeight="1" s="36">
      <c r="A337" s="2" t="n">
        <v>334</v>
      </c>
      <c r="B337" s="12" t="n">
        <v>46092</v>
      </c>
      <c r="C337" s="14" t="inlineStr">
        <is>
          <t>D-247</t>
        </is>
      </c>
      <c r="D337" s="14" t="inlineStr">
        <is>
          <t>Dispensación</t>
        </is>
      </c>
      <c r="E337" s="14" t="inlineStr">
        <is>
          <t>N</t>
        </is>
      </c>
      <c r="F337" s="18" t="n">
        <v>0.6659040883680555</v>
      </c>
      <c r="G337" s="18" t="n">
        <v>0.6669796434837962</v>
      </c>
      <c r="H337" s="18" t="n">
        <v>0.6669912175578704</v>
      </c>
      <c r="I337" s="18" t="n">
        <v>0.6714819582986111</v>
      </c>
      <c r="J337" s="14" t="n">
        <v>3</v>
      </c>
      <c r="K337" s="19">
        <f>IF(AND(ISNUMBER(F337),ISNUMBER(G337)),(G337-F337)*1440,"")</f>
        <v/>
      </c>
      <c r="L337" s="19">
        <f>IF(AND(ISNUMBER(H337),ISNUMBER(I337)),(I337-H337)*1440,"")</f>
        <v/>
      </c>
      <c r="M337" s="15">
        <f>IF(ISNUMBER(F337),HOUR(F337),"")</f>
        <v/>
      </c>
    </row>
    <row r="338" ht="15.75" customHeight="1" s="36">
      <c r="A338" s="2" t="n">
        <v>335</v>
      </c>
      <c r="B338" s="12" t="n">
        <v>46092</v>
      </c>
      <c r="C338" s="14" t="inlineStr">
        <is>
          <t>V-186</t>
        </is>
      </c>
      <c r="D338" s="14" t="inlineStr">
        <is>
          <t>Turno virtual</t>
        </is>
      </c>
      <c r="E338" s="14" t="inlineStr">
        <is>
          <t>N</t>
        </is>
      </c>
      <c r="F338" s="18" t="n">
        <v>0.674075801886574</v>
      </c>
      <c r="G338" s="18" t="n">
        <v>0.674075801886574</v>
      </c>
      <c r="H338" s="18" t="n">
        <v>0.6740989500347222</v>
      </c>
      <c r="I338" s="18" t="n">
        <v>0.6755688574421296</v>
      </c>
      <c r="J338" s="14" t="n">
        <v>2</v>
      </c>
      <c r="K338" s="19">
        <f>IF(AND(ISNUMBER(F338),ISNUMBER(G338)),(G338-F338)*1440,"")</f>
        <v/>
      </c>
      <c r="L338" s="19">
        <f>IF(AND(ISNUMBER(H338),ISNUMBER(I338)),(I338-H338)*1440,"")</f>
        <v/>
      </c>
      <c r="M338" s="15">
        <f>IF(ISNUMBER(F338),HOUR(F338),"")</f>
        <v/>
      </c>
    </row>
    <row r="339" ht="15.75" customHeight="1" s="36">
      <c r="A339" s="2" t="n">
        <v>336</v>
      </c>
      <c r="B339" s="12" t="n">
        <v>46092</v>
      </c>
      <c r="C339" s="14" t="inlineStr">
        <is>
          <t>P-152</t>
        </is>
      </c>
      <c r="D339" s="14" t="inlineStr">
        <is>
          <t>Pendientes</t>
        </is>
      </c>
      <c r="E339" s="14" t="inlineStr">
        <is>
          <t>N</t>
        </is>
      </c>
      <c r="F339" s="18" t="n">
        <v>0.7010016344907407</v>
      </c>
      <c r="G339" s="18" t="n">
        <v>0.7010016344907407</v>
      </c>
      <c r="H339" s="18" t="n">
        <v>0.7010132085648149</v>
      </c>
      <c r="I339" s="18" t="n">
        <v>0.703547930787037</v>
      </c>
      <c r="J339" s="14" t="n">
        <v>1</v>
      </c>
      <c r="K339" s="19">
        <f>IF(AND(ISNUMBER(F339),ISNUMBER(G339)),(G339-F339)*1440,"")</f>
        <v/>
      </c>
      <c r="L339" s="19">
        <f>IF(AND(ISNUMBER(H339),ISNUMBER(I339)),(I339-H339)*1440,"")</f>
        <v/>
      </c>
      <c r="M339" s="15">
        <f>IF(ISNUMBER(F339),HOUR(F339),"")</f>
        <v/>
      </c>
    </row>
    <row r="340" ht="15.75" customHeight="1" s="36">
      <c r="A340" s="2" t="n">
        <v>337</v>
      </c>
      <c r="B340" s="12" t="n">
        <v>46093</v>
      </c>
      <c r="C340" s="14" t="inlineStr">
        <is>
          <t>P-006</t>
        </is>
      </c>
      <c r="D340" s="14" t="inlineStr">
        <is>
          <t>Pendientes</t>
        </is>
      </c>
      <c r="E340" s="14" t="inlineStr">
        <is>
          <t>N</t>
        </is>
      </c>
      <c r="F340" s="18" t="n">
        <v>0.3010602762847222</v>
      </c>
      <c r="G340" s="18" t="n">
        <v>0.3026850830555555</v>
      </c>
      <c r="H340" s="18" t="n">
        <v>0.3027082312037037</v>
      </c>
      <c r="I340" s="18" t="n">
        <v>0.3054744349074074</v>
      </c>
      <c r="J340" s="14" t="n">
        <v>3</v>
      </c>
      <c r="K340" s="19">
        <f>IF(AND(ISNUMBER(F340),ISNUMBER(G340)),(G340-F340)*1440,"")</f>
        <v/>
      </c>
      <c r="L340" s="19">
        <f>IF(AND(ISNUMBER(H340),ISNUMBER(I340)),(I340-H340)*1440,"")</f>
        <v/>
      </c>
      <c r="M340" s="15">
        <f>IF(ISNUMBER(F340),HOUR(F340),"")</f>
        <v/>
      </c>
    </row>
    <row r="341" ht="15.75" customHeight="1" s="36">
      <c r="A341" s="2" t="n">
        <v>338</v>
      </c>
      <c r="B341" s="12" t="n">
        <v>46093</v>
      </c>
      <c r="C341" s="14" t="inlineStr">
        <is>
          <t>P-012</t>
        </is>
      </c>
      <c r="D341" s="14" t="inlineStr">
        <is>
          <t>Pendientes</t>
        </is>
      </c>
      <c r="E341" s="14" t="inlineStr">
        <is>
          <t>N</t>
        </is>
      </c>
      <c r="F341" s="18" t="n">
        <v>0.3104651174652778</v>
      </c>
      <c r="G341" s="18" t="n">
        <v>0.3140971200925926</v>
      </c>
      <c r="H341" s="18" t="n">
        <v>0.3141434163888889</v>
      </c>
      <c r="I341" s="18" t="n">
        <v>0.3175577682407407</v>
      </c>
      <c r="J341" s="14" t="n">
        <v>3</v>
      </c>
      <c r="K341" s="19">
        <f>IF(AND(ISNUMBER(F341),ISNUMBER(G341)),(G341-F341)*1440,"")</f>
        <v/>
      </c>
      <c r="L341" s="19">
        <f>IF(AND(ISNUMBER(H341),ISNUMBER(I341)),(I341-H341)*1440,"")</f>
        <v/>
      </c>
      <c r="M341" s="15">
        <f>IF(ISNUMBER(F341),HOUR(F341),"")</f>
        <v/>
      </c>
    </row>
    <row r="342" ht="15.75" customHeight="1" s="36">
      <c r="A342" s="2" t="n">
        <v>339</v>
      </c>
      <c r="B342" s="12" t="n">
        <v>46093</v>
      </c>
      <c r="C342" s="14" t="inlineStr">
        <is>
          <t>D-024</t>
        </is>
      </c>
      <c r="D342" s="14" t="inlineStr">
        <is>
          <t>Dispensación</t>
        </is>
      </c>
      <c r="E342" s="14" t="inlineStr">
        <is>
          <t>S</t>
        </is>
      </c>
      <c r="F342" s="18" t="n">
        <v>0.3154713568518518</v>
      </c>
      <c r="G342" s="18" t="n">
        <v>0.3171182976736111</v>
      </c>
      <c r="H342" s="18" t="n">
        <v>0.3171298717476851</v>
      </c>
      <c r="I342" s="18" t="n">
        <v>0.3192247791550926</v>
      </c>
      <c r="J342" s="14" t="n">
        <v>4</v>
      </c>
      <c r="K342" s="19">
        <f>IF(AND(ISNUMBER(F342),ISNUMBER(G342)),(G342-F342)*1440,"")</f>
        <v/>
      </c>
      <c r="L342" s="19">
        <f>IF(AND(ISNUMBER(H342),ISNUMBER(I342)),(I342-H342)*1440,"")</f>
        <v/>
      </c>
      <c r="M342" s="15">
        <f>IF(ISNUMBER(F342),HOUR(F342),"")</f>
        <v/>
      </c>
    </row>
    <row r="343" ht="15.75" customHeight="1" s="36">
      <c r="A343" s="2" t="n">
        <v>340</v>
      </c>
      <c r="B343" s="12" t="n">
        <v>46093</v>
      </c>
      <c r="C343" s="14" t="inlineStr">
        <is>
          <t>D-028</t>
        </is>
      </c>
      <c r="D343" s="14" t="inlineStr">
        <is>
          <t>Dispensación</t>
        </is>
      </c>
      <c r="E343" s="14" t="inlineStr">
        <is>
          <t>N</t>
        </is>
      </c>
      <c r="F343" s="18" t="n">
        <v>0.3203279057638889</v>
      </c>
      <c r="G343" s="18" t="n">
        <v>0.3257757050810185</v>
      </c>
      <c r="H343" s="18" t="n">
        <v>0.3258104273032407</v>
      </c>
      <c r="I343" s="18" t="n">
        <v>0.3269909828587963</v>
      </c>
      <c r="J343" s="14" t="n">
        <v>4</v>
      </c>
      <c r="K343" s="19">
        <f>IF(AND(ISNUMBER(F343),ISNUMBER(G343)),(G343-F343)*1440,"")</f>
        <v/>
      </c>
      <c r="L343" s="19">
        <f>IF(AND(ISNUMBER(H343),ISNUMBER(I343)),(I343-H343)*1440,"")</f>
        <v/>
      </c>
      <c r="M343" s="15">
        <f>IF(ISNUMBER(F343),HOUR(F343),"")</f>
        <v/>
      </c>
    </row>
    <row r="344" ht="15.75" customHeight="1" s="36">
      <c r="A344" s="2" t="n">
        <v>341</v>
      </c>
      <c r="B344" s="12" t="n">
        <v>46093</v>
      </c>
      <c r="C344" s="14" t="inlineStr">
        <is>
          <t>D-035</t>
        </is>
      </c>
      <c r="D344" s="14" t="inlineStr">
        <is>
          <t>Dispensación</t>
        </is>
      </c>
      <c r="E344" s="14" t="inlineStr">
        <is>
          <t>N</t>
        </is>
      </c>
      <c r="F344" s="18" t="n">
        <v>0.3244021643402778</v>
      </c>
      <c r="G344" s="18" t="n">
        <v>0.3321877813773148</v>
      </c>
      <c r="H344" s="18" t="n">
        <v>0.3322340776736111</v>
      </c>
      <c r="I344" s="18" t="n">
        <v>0.3332178739699074</v>
      </c>
      <c r="J344" s="14" t="n">
        <v>1</v>
      </c>
      <c r="K344" s="19">
        <f>IF(AND(ISNUMBER(F344),ISNUMBER(G344)),(G344-F344)*1440,"")</f>
        <v/>
      </c>
      <c r="L344" s="19">
        <f>IF(AND(ISNUMBER(H344),ISNUMBER(I344)),(I344-H344)*1440,"")</f>
        <v/>
      </c>
      <c r="M344" s="15">
        <f>IF(ISNUMBER(F344),HOUR(F344),"")</f>
        <v/>
      </c>
    </row>
    <row r="345" ht="15.75" customHeight="1" s="36">
      <c r="A345" s="2" t="n">
        <v>342</v>
      </c>
      <c r="B345" s="12" t="n">
        <v>46093</v>
      </c>
      <c r="C345" s="14" t="inlineStr">
        <is>
          <t>V-024</t>
        </is>
      </c>
      <c r="D345" s="14" t="inlineStr">
        <is>
          <t>Turno virtual</t>
        </is>
      </c>
      <c r="E345" s="14" t="inlineStr">
        <is>
          <t>N</t>
        </is>
      </c>
      <c r="F345" s="18" t="n">
        <v>0.3278239436226852</v>
      </c>
      <c r="G345" s="18" t="n">
        <v>0.3364856515277778</v>
      </c>
      <c r="H345" s="18" t="n">
        <v>0.33652037375</v>
      </c>
      <c r="I345" s="18" t="n">
        <v>0.3386847256018519</v>
      </c>
      <c r="J345" s="14" t="n">
        <v>2</v>
      </c>
      <c r="K345" s="19">
        <f>IF(AND(ISNUMBER(F345),ISNUMBER(G345)),(G345-F345)*1440,"")</f>
        <v/>
      </c>
      <c r="L345" s="19">
        <f>IF(AND(ISNUMBER(H345),ISNUMBER(I345)),(I345-H345)*1440,"")</f>
        <v/>
      </c>
      <c r="M345" s="15">
        <f>IF(ISNUMBER(F345),HOUR(F345),"")</f>
        <v/>
      </c>
    </row>
    <row r="346" ht="15.75" customHeight="1" s="36">
      <c r="A346" s="2" t="n">
        <v>343</v>
      </c>
      <c r="B346" s="12" t="n">
        <v>46093</v>
      </c>
      <c r="C346" s="14" t="inlineStr">
        <is>
          <t>V-028</t>
        </is>
      </c>
      <c r="D346" s="14" t="inlineStr">
        <is>
          <t>Turno virtual</t>
        </is>
      </c>
      <c r="E346" s="14" t="inlineStr">
        <is>
          <t>N</t>
        </is>
      </c>
      <c r="F346" s="18" t="n">
        <v>0.3338682083333333</v>
      </c>
      <c r="G346" s="18" t="n">
        <v>0.3455365774537037</v>
      </c>
      <c r="H346" s="18" t="n">
        <v>0.3455481515277778</v>
      </c>
      <c r="I346" s="18" t="n">
        <v>0.34745787375</v>
      </c>
      <c r="J346" s="14" t="n">
        <v>2</v>
      </c>
      <c r="K346" s="19">
        <f>IF(AND(ISNUMBER(F346),ISNUMBER(G346)),(G346-F346)*1440,"")</f>
        <v/>
      </c>
      <c r="L346" s="19">
        <f>IF(AND(ISNUMBER(H346),ISNUMBER(I346)),(I346-H346)*1440,"")</f>
        <v/>
      </c>
      <c r="M346" s="15">
        <f>IF(ISNUMBER(F346),HOUR(F346),"")</f>
        <v/>
      </c>
    </row>
    <row r="347" ht="15.75" customHeight="1" s="36">
      <c r="A347" s="2" t="n">
        <v>344</v>
      </c>
      <c r="B347" s="12" t="n">
        <v>46093</v>
      </c>
      <c r="C347" s="14" t="inlineStr">
        <is>
          <t>P-024</t>
        </is>
      </c>
      <c r="D347" s="14" t="inlineStr">
        <is>
          <t>Pendientes</t>
        </is>
      </c>
      <c r="E347" s="14" t="inlineStr">
        <is>
          <t>S</t>
        </is>
      </c>
      <c r="F347" s="18" t="n">
        <v>0.3340121817013889</v>
      </c>
      <c r="G347" s="18" t="n">
        <v>0.3349188793518518</v>
      </c>
      <c r="H347" s="18" t="n">
        <v>0.3349420275</v>
      </c>
      <c r="I347" s="18" t="n">
        <v>0.3380323052777778</v>
      </c>
      <c r="J347" s="14" t="n">
        <v>3</v>
      </c>
      <c r="K347" s="19">
        <f>IF(AND(ISNUMBER(F347),ISNUMBER(G347)),(G347-F347)*1440,"")</f>
        <v/>
      </c>
      <c r="L347" s="19">
        <f>IF(AND(ISNUMBER(H347),ISNUMBER(I347)),(I347-H347)*1440,"")</f>
        <v/>
      </c>
      <c r="M347" s="15">
        <f>IF(ISNUMBER(F347),HOUR(F347),"")</f>
        <v/>
      </c>
    </row>
    <row r="348" ht="15.75" customHeight="1" s="36">
      <c r="A348" s="2" t="n">
        <v>345</v>
      </c>
      <c r="B348" s="12" t="n">
        <v>46093</v>
      </c>
      <c r="C348" s="14" t="inlineStr">
        <is>
          <t>D-055</t>
        </is>
      </c>
      <c r="D348" s="14" t="inlineStr">
        <is>
          <t>Dispensación</t>
        </is>
      </c>
      <c r="E348" s="14" t="inlineStr">
        <is>
          <t>N</t>
        </is>
      </c>
      <c r="F348" s="18" t="n">
        <v>0.3425640941203704</v>
      </c>
      <c r="G348" s="18" t="n">
        <v>0.3550851885648148</v>
      </c>
      <c r="H348" s="18" t="n">
        <v>0.355108336712963</v>
      </c>
      <c r="I348" s="18" t="n">
        <v>0.3586500033796297</v>
      </c>
      <c r="J348" s="14" t="n">
        <v>2</v>
      </c>
      <c r="K348" s="19">
        <f>IF(AND(ISNUMBER(F348),ISNUMBER(G348)),(G348-F348)*1440,"")</f>
        <v/>
      </c>
      <c r="L348" s="19">
        <f>IF(AND(ISNUMBER(H348),ISNUMBER(I348)),(I348-H348)*1440,"")</f>
        <v/>
      </c>
      <c r="M348" s="15">
        <f>IF(ISNUMBER(F348),HOUR(F348),"")</f>
        <v/>
      </c>
    </row>
    <row r="349" ht="15.75" customHeight="1" s="36">
      <c r="A349" s="2" t="n">
        <v>346</v>
      </c>
      <c r="B349" s="12" t="n">
        <v>46093</v>
      </c>
      <c r="C349" s="14" t="inlineStr">
        <is>
          <t>D-073</t>
        </is>
      </c>
      <c r="D349" s="14" t="inlineStr">
        <is>
          <t>Dispensación</t>
        </is>
      </c>
      <c r="E349" s="14" t="inlineStr">
        <is>
          <t>N</t>
        </is>
      </c>
      <c r="F349" s="18" t="n">
        <v>0.3580771861342593</v>
      </c>
      <c r="G349" s="18" t="n">
        <v>0.3772340384143518</v>
      </c>
      <c r="H349" s="18" t="n">
        <v>0.3772687606365741</v>
      </c>
      <c r="I349" s="18" t="n">
        <v>0.3793520939699074</v>
      </c>
      <c r="J349" s="14" t="n">
        <v>4</v>
      </c>
      <c r="K349" s="19">
        <f>IF(AND(ISNUMBER(F349),ISNUMBER(G349)),(G349-F349)*1440,"")</f>
        <v/>
      </c>
      <c r="L349" s="19">
        <f>IF(AND(ISNUMBER(H349),ISNUMBER(I349)),(I349-H349)*1440,"")</f>
        <v/>
      </c>
      <c r="M349" s="15">
        <f>IF(ISNUMBER(F349),HOUR(F349),"")</f>
        <v/>
      </c>
    </row>
    <row r="350" ht="15.75" customHeight="1" s="36">
      <c r="A350" s="2" t="n">
        <v>347</v>
      </c>
      <c r="B350" s="12" t="n">
        <v>46093</v>
      </c>
      <c r="C350" s="14" t="inlineStr">
        <is>
          <t>P-045</t>
        </is>
      </c>
      <c r="D350" s="14" t="inlineStr">
        <is>
          <t>Pendientes</t>
        </is>
      </c>
      <c r="E350" s="14" t="inlineStr">
        <is>
          <t>N</t>
        </is>
      </c>
      <c r="F350" s="18" t="n">
        <v>0.3623409911689815</v>
      </c>
      <c r="G350" s="18" t="n">
        <v>0.3839817235995371</v>
      </c>
      <c r="H350" s="18" t="n">
        <v>0.3839932976736111</v>
      </c>
      <c r="I350" s="18" t="n">
        <v>0.3868520939699074</v>
      </c>
      <c r="J350" s="14" t="n">
        <v>4</v>
      </c>
      <c r="K350" s="19">
        <f>IF(AND(ISNUMBER(F350),ISNUMBER(G350)),(G350-F350)*1440,"")</f>
        <v/>
      </c>
      <c r="L350" s="19">
        <f>IF(AND(ISNUMBER(H350),ISNUMBER(I350)),(I350-H350)*1440,"")</f>
        <v/>
      </c>
      <c r="M350" s="15">
        <f>IF(ISNUMBER(F350),HOUR(F350),"")</f>
        <v/>
      </c>
    </row>
    <row r="351" ht="15.75" customHeight="1" s="36">
      <c r="A351" s="2" t="n">
        <v>348</v>
      </c>
      <c r="B351" s="12" t="n">
        <v>46093</v>
      </c>
      <c r="C351" s="14" t="inlineStr">
        <is>
          <t>V-048</t>
        </is>
      </c>
      <c r="D351" s="14" t="inlineStr">
        <is>
          <t>Turno virtual</t>
        </is>
      </c>
      <c r="E351" s="14" t="inlineStr">
        <is>
          <t>N</t>
        </is>
      </c>
      <c r="F351" s="18" t="n">
        <v>0.3626386385532407</v>
      </c>
      <c r="G351" s="18" t="n">
        <v>0.3871989719444445</v>
      </c>
      <c r="H351" s="18" t="n">
        <v>0.3872336941666667</v>
      </c>
      <c r="I351" s="18" t="n">
        <v>0.3882522126851852</v>
      </c>
      <c r="J351" s="14" t="n">
        <v>3</v>
      </c>
      <c r="K351" s="19">
        <f>IF(AND(ISNUMBER(F351),ISNUMBER(G351)),(G351-F351)*1440,"")</f>
        <v/>
      </c>
      <c r="L351" s="19">
        <f>IF(AND(ISNUMBER(H351),ISNUMBER(I351)),(I351-H351)*1440,"")</f>
        <v/>
      </c>
      <c r="M351" s="15">
        <f>IF(ISNUMBER(F351),HOUR(F351),"")</f>
        <v/>
      </c>
    </row>
    <row r="352" ht="15.75" customHeight="1" s="36">
      <c r="A352" s="2" t="n">
        <v>349</v>
      </c>
      <c r="B352" s="12" t="n">
        <v>46093</v>
      </c>
      <c r="C352" s="14" t="inlineStr">
        <is>
          <t>P-056</t>
        </is>
      </c>
      <c r="D352" s="14" t="inlineStr">
        <is>
          <t>Pendientes</t>
        </is>
      </c>
      <c r="E352" s="14" t="inlineStr">
        <is>
          <t>N</t>
        </is>
      </c>
      <c r="F352" s="18" t="n">
        <v>0.3805269474884259</v>
      </c>
      <c r="G352" s="18" t="n">
        <v>0.4075388922685185</v>
      </c>
      <c r="H352" s="18" t="n">
        <v>0.4075851885648148</v>
      </c>
      <c r="I352" s="18" t="n">
        <v>0.4093675959722222</v>
      </c>
      <c r="J352" s="14" t="n">
        <v>2</v>
      </c>
      <c r="K352" s="19">
        <f>IF(AND(ISNUMBER(F352),ISNUMBER(G352)),(G352-F352)*1440,"")</f>
        <v/>
      </c>
      <c r="L352" s="19">
        <f>IF(AND(ISNUMBER(H352),ISNUMBER(I352)),(I352-H352)*1440,"")</f>
        <v/>
      </c>
      <c r="M352" s="15">
        <f>IF(ISNUMBER(F352),HOUR(F352),"")</f>
        <v/>
      </c>
    </row>
    <row r="353" ht="15.75" customHeight="1" s="36">
      <c r="A353" s="2" t="n">
        <v>350</v>
      </c>
      <c r="B353" s="12" t="n">
        <v>46093</v>
      </c>
      <c r="C353" s="14" t="inlineStr">
        <is>
          <t>V-072</t>
        </is>
      </c>
      <c r="D353" s="14" t="inlineStr">
        <is>
          <t>Turno virtual</t>
        </is>
      </c>
      <c r="E353" s="14" t="inlineStr">
        <is>
          <t>N</t>
        </is>
      </c>
      <c r="F353" s="18" t="n">
        <v>0.393750051863426</v>
      </c>
      <c r="G353" s="18" t="n">
        <v>0.4287961941666667</v>
      </c>
      <c r="H353" s="18" t="n">
        <v>0.4288309163888889</v>
      </c>
      <c r="I353" s="18" t="n">
        <v>0.4326387867592593</v>
      </c>
      <c r="J353" s="14" t="n">
        <v>3</v>
      </c>
      <c r="K353" s="19">
        <f>IF(AND(ISNUMBER(F353),ISNUMBER(G353)),(G353-F353)*1440,"")</f>
        <v/>
      </c>
      <c r="L353" s="19">
        <f>IF(AND(ISNUMBER(H353),ISNUMBER(I353)),(I353-H353)*1440,"")</f>
        <v/>
      </c>
      <c r="M353" s="15">
        <f>IF(ISNUMBER(F353),HOUR(F353),"")</f>
        <v/>
      </c>
    </row>
    <row r="354" ht="15.75" customHeight="1" s="36">
      <c r="A354" s="2" t="n">
        <v>351</v>
      </c>
      <c r="B354" s="12" t="n">
        <v>46093</v>
      </c>
      <c r="C354" s="14" t="inlineStr">
        <is>
          <t>V-074</t>
        </is>
      </c>
      <c r="D354" s="14" t="inlineStr">
        <is>
          <t>Turno virtual</t>
        </is>
      </c>
      <c r="E354" s="14" t="inlineStr">
        <is>
          <t>N</t>
        </is>
      </c>
      <c r="F354" s="18" t="n">
        <v>0.3962692251851851</v>
      </c>
      <c r="G354" s="18" t="n">
        <v>0.4331252421180556</v>
      </c>
      <c r="H354" s="18" t="n">
        <v>0.4331715384143519</v>
      </c>
      <c r="I354" s="18" t="n">
        <v>0.4348150569328704</v>
      </c>
      <c r="J354" s="14" t="n">
        <v>4</v>
      </c>
      <c r="K354" s="19">
        <f>IF(AND(ISNUMBER(F354),ISNUMBER(G354)),(G354-F354)*1440,"")</f>
        <v/>
      </c>
      <c r="L354" s="19">
        <f>IF(AND(ISNUMBER(H354),ISNUMBER(I354)),(I354-H354)*1440,"")</f>
        <v/>
      </c>
      <c r="M354" s="15">
        <f>IF(ISNUMBER(F354),HOUR(F354),"")</f>
        <v/>
      </c>
    </row>
    <row r="355" ht="15.75" customHeight="1" s="36">
      <c r="A355" s="2" t="n">
        <v>352</v>
      </c>
      <c r="B355" s="12" t="n">
        <v>46093</v>
      </c>
      <c r="C355" s="14" t="inlineStr">
        <is>
          <t>D-123</t>
        </is>
      </c>
      <c r="D355" s="14" t="inlineStr">
        <is>
          <t>Dispensación</t>
        </is>
      </c>
      <c r="E355" s="14" t="inlineStr">
        <is>
          <t>N</t>
        </is>
      </c>
      <c r="F355" s="18" t="n">
        <v>0.4031367514814815</v>
      </c>
      <c r="G355" s="18" t="n">
        <v>0.4385882050810185</v>
      </c>
      <c r="H355" s="18" t="n">
        <v>0.4386345013773149</v>
      </c>
      <c r="I355" s="18" t="n">
        <v>0.4410882050810185</v>
      </c>
      <c r="J355" s="14" t="n">
        <v>4</v>
      </c>
      <c r="K355" s="19">
        <f>IF(AND(ISNUMBER(F355),ISNUMBER(G355)),(G355-F355)*1440,"")</f>
        <v/>
      </c>
      <c r="L355" s="19">
        <f>IF(AND(ISNUMBER(H355),ISNUMBER(I355)),(I355-H355)*1440,"")</f>
        <v/>
      </c>
      <c r="M355" s="15">
        <f>IF(ISNUMBER(F355),HOUR(F355),"")</f>
        <v/>
      </c>
    </row>
    <row r="356" ht="15.75" customHeight="1" s="36">
      <c r="A356" s="2" t="n">
        <v>353</v>
      </c>
      <c r="B356" s="12" t="n">
        <v>46093</v>
      </c>
      <c r="C356" s="14" t="inlineStr">
        <is>
          <t>D-124</t>
        </is>
      </c>
      <c r="D356" s="14" t="inlineStr">
        <is>
          <t>Dispensación</t>
        </is>
      </c>
      <c r="E356" s="14" t="inlineStr">
        <is>
          <t>S</t>
        </is>
      </c>
      <c r="F356" s="18" t="n">
        <v>0.4053243824189814</v>
      </c>
      <c r="G356" s="18" t="n">
        <v>0.4053861144907407</v>
      </c>
      <c r="H356" s="18" t="n">
        <v>0.405432410787037</v>
      </c>
      <c r="I356" s="18" t="n">
        <v>0.4058837996759259</v>
      </c>
      <c r="J356" s="14" t="n">
        <v>2</v>
      </c>
      <c r="K356" s="19">
        <f>IF(AND(ISNUMBER(F356),ISNUMBER(G356)),(G356-F356)*1440,"")</f>
        <v/>
      </c>
      <c r="L356" s="19">
        <f>IF(AND(ISNUMBER(H356),ISNUMBER(I356)),(I356-H356)*1440,"")</f>
        <v/>
      </c>
      <c r="M356" s="15">
        <f>IF(ISNUMBER(F356),HOUR(F356),"")</f>
        <v/>
      </c>
    </row>
    <row r="357" ht="15.75" customHeight="1" s="36">
      <c r="A357" s="2" t="n">
        <v>354</v>
      </c>
      <c r="B357" s="12" t="n">
        <v>46093</v>
      </c>
      <c r="C357" s="14" t="inlineStr">
        <is>
          <t>P-072</t>
        </is>
      </c>
      <c r="D357" s="14" t="inlineStr">
        <is>
          <t>Pendientes</t>
        </is>
      </c>
      <c r="E357" s="14" t="inlineStr">
        <is>
          <t>N</t>
        </is>
      </c>
      <c r="F357" s="18" t="n">
        <v>0.4079966493865741</v>
      </c>
      <c r="G357" s="18" t="n">
        <v>0.4437310218981481</v>
      </c>
      <c r="H357" s="18" t="n">
        <v>0.4437425959722222</v>
      </c>
      <c r="I357" s="18" t="n">
        <v>0.4471569478240741</v>
      </c>
      <c r="J357" s="14" t="n">
        <v>2</v>
      </c>
      <c r="K357" s="19">
        <f>IF(AND(ISNUMBER(F357),ISNUMBER(G357)),(G357-F357)*1440,"")</f>
        <v/>
      </c>
      <c r="L357" s="19">
        <f>IF(AND(ISNUMBER(H357),ISNUMBER(I357)),(I357-H357)*1440,"")</f>
        <v/>
      </c>
      <c r="M357" s="15">
        <f>IF(ISNUMBER(F357),HOUR(F357),"")</f>
        <v/>
      </c>
    </row>
    <row r="358" ht="15.75" customHeight="1" s="36">
      <c r="A358" s="2" t="n">
        <v>355</v>
      </c>
      <c r="B358" s="12" t="n">
        <v>46093</v>
      </c>
      <c r="C358" s="14" t="inlineStr">
        <is>
          <t>D-145</t>
        </is>
      </c>
      <c r="D358" s="14" t="inlineStr">
        <is>
          <t>Dispensación</t>
        </is>
      </c>
      <c r="E358" s="14" t="inlineStr">
        <is>
          <t>S</t>
        </is>
      </c>
      <c r="F358" s="18" t="n">
        <v>0.4246089754282407</v>
      </c>
      <c r="G358" s="18" t="n">
        <v>0.4248305589351852</v>
      </c>
      <c r="H358" s="18" t="n">
        <v>0.4248537070833333</v>
      </c>
      <c r="I358" s="18" t="n">
        <v>0.4268907441203704</v>
      </c>
      <c r="J358" s="14" t="n">
        <v>2</v>
      </c>
      <c r="K358" s="19">
        <f>IF(AND(ISNUMBER(F358),ISNUMBER(G358)),(G358-F358)*1440,"")</f>
        <v/>
      </c>
      <c r="L358" s="19">
        <f>IF(AND(ISNUMBER(H358),ISNUMBER(I358)),(I358-H358)*1440,"")</f>
        <v/>
      </c>
      <c r="M358" s="15">
        <f>IF(ISNUMBER(F358),HOUR(F358),"")</f>
        <v/>
      </c>
    </row>
    <row r="359" ht="15.75" customHeight="1" s="36">
      <c r="A359" s="2" t="n">
        <v>356</v>
      </c>
      <c r="B359" s="12" t="n">
        <v>46093</v>
      </c>
      <c r="C359" s="14" t="inlineStr">
        <is>
          <t>V-092</t>
        </is>
      </c>
      <c r="D359" s="14" t="inlineStr">
        <is>
          <t>Turno virtual</t>
        </is>
      </c>
      <c r="E359" s="14" t="inlineStr">
        <is>
          <t>N</t>
        </is>
      </c>
      <c r="F359" s="18" t="n">
        <v>0.4248615042708333</v>
      </c>
      <c r="G359" s="18" t="n">
        <v>0.4631017497222222</v>
      </c>
      <c r="H359" s="18" t="n">
        <v>0.4631480460185186</v>
      </c>
      <c r="I359" s="18" t="n">
        <v>0.4664466571296297</v>
      </c>
      <c r="J359" s="14" t="n">
        <v>3</v>
      </c>
      <c r="K359" s="19">
        <f>IF(AND(ISNUMBER(F359),ISNUMBER(G359)),(G359-F359)*1440,"")</f>
        <v/>
      </c>
      <c r="L359" s="19">
        <f>IF(AND(ISNUMBER(H359),ISNUMBER(I359)),(I359-H359)*1440,"")</f>
        <v/>
      </c>
      <c r="M359" s="15">
        <f>IF(ISNUMBER(F359),HOUR(F359),"")</f>
        <v/>
      </c>
    </row>
    <row r="360" ht="15.75" customHeight="1" s="36">
      <c r="A360" s="2" t="n">
        <v>357</v>
      </c>
      <c r="B360" s="12" t="n">
        <v>46093</v>
      </c>
      <c r="C360" s="14" t="inlineStr">
        <is>
          <t>V-094</t>
        </is>
      </c>
      <c r="D360" s="14" t="inlineStr">
        <is>
          <t>Turno virtual</t>
        </is>
      </c>
      <c r="E360" s="14" t="inlineStr">
        <is>
          <t>N</t>
        </is>
      </c>
      <c r="F360" s="18" t="n">
        <v>0.4288007870949074</v>
      </c>
      <c r="G360" s="18" t="n">
        <v>0.4664466571296297</v>
      </c>
      <c r="H360" s="18" t="n">
        <v>0.4664698052777778</v>
      </c>
      <c r="I360" s="18" t="n">
        <v>0.4680438793518519</v>
      </c>
      <c r="J360" s="14" t="n">
        <v>3</v>
      </c>
      <c r="K360" s="19">
        <f>IF(AND(ISNUMBER(F360),ISNUMBER(G360)),(G360-F360)*1440,"")</f>
        <v/>
      </c>
      <c r="L360" s="19">
        <f>IF(AND(ISNUMBER(H360),ISNUMBER(I360)),(I360-H360)*1440,"")</f>
        <v/>
      </c>
      <c r="M360" s="15">
        <f>IF(ISNUMBER(F360),HOUR(F360),"")</f>
        <v/>
      </c>
    </row>
    <row r="361" ht="15.75" customHeight="1" s="36">
      <c r="A361" s="2" t="n">
        <v>358</v>
      </c>
      <c r="B361" s="12" t="n">
        <v>46093</v>
      </c>
      <c r="C361" s="14" t="inlineStr">
        <is>
          <t>V-102</t>
        </is>
      </c>
      <c r="D361" s="14" t="inlineStr">
        <is>
          <t>Turno virtual</t>
        </is>
      </c>
      <c r="E361" s="14" t="inlineStr">
        <is>
          <t>N</t>
        </is>
      </c>
      <c r="F361" s="18" t="n">
        <v>0.4581540036111111</v>
      </c>
      <c r="G361" s="18" t="n">
        <v>0.4867710754513889</v>
      </c>
      <c r="H361" s="18" t="n">
        <v>0.4867942235995371</v>
      </c>
      <c r="I361" s="18" t="n">
        <v>0.4883798717476852</v>
      </c>
      <c r="J361" s="14" t="n">
        <v>4</v>
      </c>
      <c r="K361" s="19">
        <f>IF(AND(ISNUMBER(F361),ISNUMBER(G361)),(G361-F361)*1440,"")</f>
        <v/>
      </c>
      <c r="L361" s="19">
        <f>IF(AND(ISNUMBER(H361),ISNUMBER(I361)),(I361-H361)*1440,"")</f>
        <v/>
      </c>
      <c r="M361" s="15">
        <f>IF(ISNUMBER(F361),HOUR(F361),"")</f>
        <v/>
      </c>
    </row>
    <row r="362" ht="15.75" customHeight="1" s="36">
      <c r="A362" s="2" t="n">
        <v>359</v>
      </c>
      <c r="B362" s="12" t="n">
        <v>46093</v>
      </c>
      <c r="C362" s="14" t="inlineStr">
        <is>
          <t>V-111</t>
        </is>
      </c>
      <c r="D362" s="14" t="inlineStr">
        <is>
          <t>Turno virtual</t>
        </is>
      </c>
      <c r="E362" s="14" t="inlineStr">
        <is>
          <t>N</t>
        </is>
      </c>
      <c r="F362" s="18" t="n">
        <v>0.4762975663657407</v>
      </c>
      <c r="G362" s="18" t="n">
        <v>0.5090435218981482</v>
      </c>
      <c r="H362" s="18" t="n">
        <v>0.5090898181944444</v>
      </c>
      <c r="I362" s="18" t="n">
        <v>0.5141708367129629</v>
      </c>
      <c r="J362" s="14" t="n">
        <v>2</v>
      </c>
      <c r="K362" s="19">
        <f>IF(AND(ISNUMBER(F362),ISNUMBER(G362)),(G362-F362)*1440,"")</f>
        <v/>
      </c>
      <c r="L362" s="19">
        <f>IF(AND(ISNUMBER(H362),ISNUMBER(I362)),(I362-H362)*1440,"")</f>
        <v/>
      </c>
      <c r="M362" s="15">
        <f>IF(ISNUMBER(F362),HOUR(F362),"")</f>
        <v/>
      </c>
    </row>
    <row r="363" ht="15.75" customHeight="1" s="36">
      <c r="A363" s="2" t="n">
        <v>360</v>
      </c>
      <c r="B363" s="12" t="n">
        <v>46093</v>
      </c>
      <c r="C363" s="14" t="inlineStr">
        <is>
          <t>V-119</t>
        </is>
      </c>
      <c r="D363" s="14" t="inlineStr">
        <is>
          <t>Turno virtual</t>
        </is>
      </c>
      <c r="E363" s="14" t="inlineStr">
        <is>
          <t>N</t>
        </is>
      </c>
      <c r="F363" s="18" t="n">
        <v>0.4917222020949075</v>
      </c>
      <c r="G363" s="18" t="n">
        <v>0.5235111144907407</v>
      </c>
      <c r="H363" s="18" t="n">
        <v>0.523557410787037</v>
      </c>
      <c r="I363" s="18" t="n">
        <v>0.5245990774537037</v>
      </c>
      <c r="J363" s="14" t="n">
        <v>2</v>
      </c>
      <c r="K363" s="19">
        <f>IF(AND(ISNUMBER(F363),ISNUMBER(G363)),(G363-F363)*1440,"")</f>
        <v/>
      </c>
      <c r="L363" s="19">
        <f>IF(AND(ISNUMBER(H363),ISNUMBER(I363)),(I363-H363)*1440,"")</f>
        <v/>
      </c>
      <c r="M363" s="15">
        <f>IF(ISNUMBER(F363),HOUR(F363),"")</f>
        <v/>
      </c>
    </row>
    <row r="364" ht="15.75" customHeight="1" s="36">
      <c r="A364" s="2" t="n">
        <v>361</v>
      </c>
      <c r="B364" s="12" t="n">
        <v>46093</v>
      </c>
      <c r="C364" s="14" t="inlineStr">
        <is>
          <t>P-110</t>
        </is>
      </c>
      <c r="D364" s="14" t="inlineStr">
        <is>
          <t>Pendientes</t>
        </is>
      </c>
      <c r="E364" s="14" t="inlineStr">
        <is>
          <t>N</t>
        </is>
      </c>
      <c r="F364" s="18" t="n">
        <v>0.4988123540277778</v>
      </c>
      <c r="G364" s="18" t="n">
        <v>0.5314350830555556</v>
      </c>
      <c r="H364" s="18" t="n">
        <v>0.5314466571296297</v>
      </c>
      <c r="I364" s="18" t="n">
        <v>0.5337267497222222</v>
      </c>
      <c r="J364" s="14" t="n">
        <v>3</v>
      </c>
      <c r="K364" s="19">
        <f>IF(AND(ISNUMBER(F364),ISNUMBER(G364)),(G364-F364)*1440,"")</f>
        <v/>
      </c>
      <c r="L364" s="19">
        <f>IF(AND(ISNUMBER(H364),ISNUMBER(I364)),(I364-H364)*1440,"")</f>
        <v/>
      </c>
      <c r="M364" s="15">
        <f>IF(ISNUMBER(F364),HOUR(F364),"")</f>
        <v/>
      </c>
    </row>
    <row r="365" ht="15.75" customHeight="1" s="36">
      <c r="A365" s="2" t="n">
        <v>362</v>
      </c>
      <c r="B365" s="12" t="n">
        <v>46093</v>
      </c>
      <c r="C365" s="14" t="inlineStr">
        <is>
          <t>D-205</t>
        </is>
      </c>
      <c r="D365" s="14" t="inlineStr">
        <is>
          <t>Dispensación</t>
        </is>
      </c>
      <c r="E365" s="14" t="inlineStr">
        <is>
          <t>N</t>
        </is>
      </c>
      <c r="F365" s="18" t="n">
        <v>0.4988712123379629</v>
      </c>
      <c r="G365" s="18" t="n">
        <v>0.5337267497222222</v>
      </c>
      <c r="H365" s="18" t="n">
        <v>0.5337498978703704</v>
      </c>
      <c r="I365" s="18" t="n">
        <v>0.5371179534259259</v>
      </c>
      <c r="J365" s="14" t="n">
        <v>3</v>
      </c>
      <c r="K365" s="19">
        <f>IF(AND(ISNUMBER(F365),ISNUMBER(G365)),(G365-F365)*1440,"")</f>
        <v/>
      </c>
      <c r="L365" s="19">
        <f>IF(AND(ISNUMBER(H365),ISNUMBER(I365)),(I365-H365)*1440,"")</f>
        <v/>
      </c>
      <c r="M365" s="15">
        <f>IF(ISNUMBER(F365),HOUR(F365),"")</f>
        <v/>
      </c>
    </row>
    <row r="366" ht="15.75" customHeight="1" s="36">
      <c r="A366" s="2" t="n">
        <v>363</v>
      </c>
      <c r="B366" s="12" t="n">
        <v>46093</v>
      </c>
      <c r="C366" s="14" t="inlineStr">
        <is>
          <t>P-116</t>
        </is>
      </c>
      <c r="D366" s="14" t="inlineStr">
        <is>
          <t>Pendientes</t>
        </is>
      </c>
      <c r="E366" s="14" t="inlineStr">
        <is>
          <t>N</t>
        </is>
      </c>
      <c r="F366" s="18" t="n">
        <v>0.5081312662152778</v>
      </c>
      <c r="G366" s="18" t="n">
        <v>0.5454748184143519</v>
      </c>
      <c r="H366" s="18" t="n">
        <v>0.5454979665625</v>
      </c>
      <c r="I366" s="18" t="n">
        <v>0.5478127813773148</v>
      </c>
      <c r="J366" s="14" t="n">
        <v>1</v>
      </c>
      <c r="K366" s="19">
        <f>IF(AND(ISNUMBER(F366),ISNUMBER(G366)),(G366-F366)*1440,"")</f>
        <v/>
      </c>
      <c r="L366" s="19">
        <f>IF(AND(ISNUMBER(H366),ISNUMBER(I366)),(I366-H366)*1440,"")</f>
        <v/>
      </c>
      <c r="M366" s="15">
        <f>IF(ISNUMBER(F366),HOUR(F366),"")</f>
        <v/>
      </c>
    </row>
    <row r="367" ht="15.75" customHeight="1" s="36">
      <c r="A367" s="2" t="n">
        <v>364</v>
      </c>
      <c r="B367" s="12" t="n">
        <v>46093</v>
      </c>
      <c r="C367" s="14" t="inlineStr">
        <is>
          <t>V-125</t>
        </is>
      </c>
      <c r="D367" s="14" t="inlineStr">
        <is>
          <t>Turno virtual</t>
        </is>
      </c>
      <c r="E367" s="14" t="inlineStr">
        <is>
          <t>N</t>
        </is>
      </c>
      <c r="F367" s="18" t="n">
        <v>0.5169246060069445</v>
      </c>
      <c r="G367" s="18" t="n">
        <v>0.5479397126851853</v>
      </c>
      <c r="H367" s="18" t="n">
        <v>0.5479628608333333</v>
      </c>
      <c r="I367" s="18" t="n">
        <v>0.5486688793518519</v>
      </c>
      <c r="J367" s="14" t="n">
        <v>3</v>
      </c>
      <c r="K367" s="19">
        <f>IF(AND(ISNUMBER(F367),ISNUMBER(G367)),(G367-F367)*1440,"")</f>
        <v/>
      </c>
      <c r="L367" s="19">
        <f>IF(AND(ISNUMBER(H367),ISNUMBER(I367)),(I367-H367)*1440,"")</f>
        <v/>
      </c>
      <c r="M367" s="15">
        <f>IF(ISNUMBER(F367),HOUR(F367),"")</f>
        <v/>
      </c>
    </row>
    <row r="368" ht="15.75" customHeight="1" s="36">
      <c r="A368" s="2" t="n">
        <v>365</v>
      </c>
      <c r="B368" s="12" t="n">
        <v>46093</v>
      </c>
      <c r="C368" s="14" t="inlineStr">
        <is>
          <t>P-119</t>
        </is>
      </c>
      <c r="D368" s="14" t="inlineStr">
        <is>
          <t>Pendientes</t>
        </is>
      </c>
      <c r="E368" s="14" t="inlineStr">
        <is>
          <t>N</t>
        </is>
      </c>
      <c r="F368" s="18" t="n">
        <v>0.5205555836689815</v>
      </c>
      <c r="G368" s="18" t="n">
        <v>0.5534373978703704</v>
      </c>
      <c r="H368" s="18" t="n">
        <v>0.5534489719444445</v>
      </c>
      <c r="I368" s="18" t="n">
        <v>0.5550577682407408</v>
      </c>
      <c r="J368" s="14" t="n">
        <v>3</v>
      </c>
      <c r="K368" s="19">
        <f>IF(AND(ISNUMBER(F368),ISNUMBER(G368)),(G368-F368)*1440,"")</f>
        <v/>
      </c>
      <c r="L368" s="19">
        <f>IF(AND(ISNUMBER(H368),ISNUMBER(I368)),(I368-H368)*1440,"")</f>
        <v/>
      </c>
      <c r="M368" s="15">
        <f>IF(ISNUMBER(F368),HOUR(F368),"")</f>
        <v/>
      </c>
    </row>
    <row r="369" ht="15.75" customHeight="1" s="36">
      <c r="A369" s="2" t="n">
        <v>366</v>
      </c>
      <c r="B369" s="12" t="n">
        <v>46093</v>
      </c>
      <c r="C369" s="14" t="inlineStr">
        <is>
          <t>D-231</t>
        </is>
      </c>
      <c r="D369" s="14" t="inlineStr">
        <is>
          <t>Dispensación</t>
        </is>
      </c>
      <c r="E369" s="14" t="inlineStr">
        <is>
          <t>N</t>
        </is>
      </c>
      <c r="F369" s="18" t="n">
        <v>0.5515604712962963</v>
      </c>
      <c r="G369" s="18" t="n">
        <v>0.5820527811574073</v>
      </c>
      <c r="H369" s="18" t="n">
        <v>0.5820759293055555</v>
      </c>
      <c r="I369" s="18" t="n">
        <v>0.5828745404166666</v>
      </c>
      <c r="J369" s="14" t="n">
        <v>2</v>
      </c>
      <c r="K369" s="19">
        <f>IF(AND(ISNUMBER(F369),ISNUMBER(G369)),(G369-F369)*1440,"")</f>
        <v/>
      </c>
      <c r="L369" s="19">
        <f>IF(AND(ISNUMBER(H369),ISNUMBER(I369)),(I369-H369)*1440,"")</f>
        <v/>
      </c>
      <c r="M369" s="15">
        <f>IF(ISNUMBER(F369),HOUR(F369),"")</f>
        <v/>
      </c>
    </row>
    <row r="370" ht="15.75" customHeight="1" s="36">
      <c r="A370" s="2" t="n">
        <v>367</v>
      </c>
      <c r="B370" s="12" t="n">
        <v>46093</v>
      </c>
      <c r="C370" s="14" t="inlineStr">
        <is>
          <t>V-147</t>
        </is>
      </c>
      <c r="D370" s="14" t="inlineStr">
        <is>
          <t>Turno virtual</t>
        </is>
      </c>
      <c r="E370" s="14" t="inlineStr">
        <is>
          <t>N</t>
        </is>
      </c>
      <c r="F370" s="18" t="n">
        <v>0.5581855373958333</v>
      </c>
      <c r="G370" s="18" t="n">
        <v>0.5846337996759259</v>
      </c>
      <c r="H370" s="18" t="n">
        <v>0.5846685218981481</v>
      </c>
      <c r="I370" s="18" t="n">
        <v>0.5881291700462963</v>
      </c>
      <c r="J370" s="14" t="n">
        <v>2</v>
      </c>
      <c r="K370" s="19">
        <f>IF(AND(ISNUMBER(F370),ISNUMBER(G370)),(G370-F370)*1440,"")</f>
        <v/>
      </c>
      <c r="L370" s="19">
        <f>IF(AND(ISNUMBER(H370),ISNUMBER(I370)),(I370-H370)*1440,"")</f>
        <v/>
      </c>
      <c r="M370" s="15">
        <f>IF(ISNUMBER(F370),HOUR(F370),"")</f>
        <v/>
      </c>
    </row>
    <row r="371" ht="15.75" customHeight="1" s="36">
      <c r="A371" s="2" t="n">
        <v>368</v>
      </c>
      <c r="B371" s="12" t="n">
        <v>46093</v>
      </c>
      <c r="C371" s="14" t="inlineStr">
        <is>
          <t>D-241</t>
        </is>
      </c>
      <c r="D371" s="14" t="inlineStr">
        <is>
          <t>Dispensación</t>
        </is>
      </c>
      <c r="E371" s="14" t="inlineStr">
        <is>
          <t>N</t>
        </is>
      </c>
      <c r="F371" s="18" t="n">
        <v>0.5737164786342593</v>
      </c>
      <c r="G371" s="18" t="n">
        <v>0.5955091571296297</v>
      </c>
      <c r="H371" s="18" t="n">
        <v>0.5955323052777778</v>
      </c>
      <c r="I371" s="18" t="n">
        <v>0.596666564537037</v>
      </c>
      <c r="J371" s="14" t="n">
        <v>3</v>
      </c>
      <c r="K371" s="19">
        <f>IF(AND(ISNUMBER(F371),ISNUMBER(G371)),(G371-F371)*1440,"")</f>
        <v/>
      </c>
      <c r="L371" s="19">
        <f>IF(AND(ISNUMBER(H371),ISNUMBER(I371)),(I371-H371)*1440,"")</f>
        <v/>
      </c>
      <c r="M371" s="15">
        <f>IF(ISNUMBER(F371),HOUR(F371),"")</f>
        <v/>
      </c>
    </row>
    <row r="372" ht="15.75" customHeight="1" s="36">
      <c r="A372" s="2" t="n">
        <v>369</v>
      </c>
      <c r="B372" s="12" t="n">
        <v>46093</v>
      </c>
      <c r="C372" s="14" t="inlineStr">
        <is>
          <t>D-248</t>
        </is>
      </c>
      <c r="D372" s="14" t="inlineStr">
        <is>
          <t>Dispensación</t>
        </is>
      </c>
      <c r="E372" s="14" t="inlineStr">
        <is>
          <t>N</t>
        </is>
      </c>
      <c r="F372" s="18" t="n">
        <v>0.5938189708333333</v>
      </c>
      <c r="G372" s="18" t="n">
        <v>0.6061847256018518</v>
      </c>
      <c r="H372" s="18" t="n">
        <v>0.6061962996759259</v>
      </c>
      <c r="I372" s="18" t="n">
        <v>0.6067750033796296</v>
      </c>
      <c r="J372" s="14" t="n">
        <v>2</v>
      </c>
      <c r="K372" s="19">
        <f>IF(AND(ISNUMBER(F372),ISNUMBER(G372)),(G372-F372)*1440,"")</f>
        <v/>
      </c>
      <c r="L372" s="19">
        <f>IF(AND(ISNUMBER(H372),ISNUMBER(I372)),(I372-H372)*1440,"")</f>
        <v/>
      </c>
      <c r="M372" s="15">
        <f>IF(ISNUMBER(F372),HOUR(F372),"")</f>
        <v/>
      </c>
    </row>
    <row r="373" ht="15.75" customHeight="1" s="36">
      <c r="A373" s="2" t="n">
        <v>370</v>
      </c>
      <c r="B373" s="12" t="n">
        <v>46093</v>
      </c>
      <c r="C373" s="14" t="inlineStr">
        <is>
          <t>D-254</t>
        </is>
      </c>
      <c r="D373" s="14" t="inlineStr">
        <is>
          <t>Dispensación</t>
        </is>
      </c>
      <c r="E373" s="14" t="inlineStr">
        <is>
          <t>N</t>
        </is>
      </c>
      <c r="F373" s="18" t="n">
        <v>0.6019205017939815</v>
      </c>
      <c r="G373" s="18" t="n">
        <v>0.6126388888888888</v>
      </c>
      <c r="H373" s="18" t="n">
        <v>0.612662037037037</v>
      </c>
      <c r="I373" s="18" t="n">
        <v>0.6138194444444445</v>
      </c>
      <c r="J373" s="14" t="n">
        <v>4</v>
      </c>
      <c r="K373" s="19">
        <f>IF(AND(ISNUMBER(F373),ISNUMBER(G373)),(G373-F373)*1440,"")</f>
        <v/>
      </c>
      <c r="L373" s="19">
        <f>IF(AND(ISNUMBER(H373),ISNUMBER(I373)),(I373-H373)*1440,"")</f>
        <v/>
      </c>
      <c r="M373" s="15">
        <f>IF(ISNUMBER(F373),HOUR(F373),"")</f>
        <v/>
      </c>
    </row>
    <row r="374" ht="15.75" customHeight="1" s="36">
      <c r="A374" s="2" t="n">
        <v>371</v>
      </c>
      <c r="B374" s="12" t="n">
        <v>46093</v>
      </c>
      <c r="C374" s="14" t="inlineStr">
        <is>
          <t>D-255</t>
        </is>
      </c>
      <c r="D374" s="14" t="inlineStr">
        <is>
          <t>Dispensación</t>
        </is>
      </c>
      <c r="E374" s="14" t="inlineStr">
        <is>
          <t>N</t>
        </is>
      </c>
      <c r="F374" s="18" t="n">
        <v>0.6026124012268519</v>
      </c>
      <c r="G374" s="18" t="n">
        <v>0.6148845406365741</v>
      </c>
      <c r="H374" s="18" t="n">
        <v>0.6149076887847222</v>
      </c>
      <c r="I374" s="18" t="n">
        <v>0.6205905591550926</v>
      </c>
      <c r="J374" s="14" t="n">
        <v>1</v>
      </c>
      <c r="K374" s="19">
        <f>IF(AND(ISNUMBER(F374),ISNUMBER(G374)),(G374-F374)*1440,"")</f>
        <v/>
      </c>
      <c r="L374" s="19">
        <f>IF(AND(ISNUMBER(H374),ISNUMBER(I374)),(I374-H374)*1440,"")</f>
        <v/>
      </c>
      <c r="M374" s="15">
        <f>IF(ISNUMBER(F374),HOUR(F374),"")</f>
        <v/>
      </c>
    </row>
    <row r="375" ht="15.75" customHeight="1" s="36">
      <c r="A375" s="2" t="n">
        <v>372</v>
      </c>
      <c r="B375" s="12" t="n">
        <v>46093</v>
      </c>
      <c r="C375" s="14" t="inlineStr">
        <is>
          <t>D-263</t>
        </is>
      </c>
      <c r="D375" s="14" t="inlineStr">
        <is>
          <t>Dispensación</t>
        </is>
      </c>
      <c r="E375" s="14" t="inlineStr">
        <is>
          <t>N</t>
        </is>
      </c>
      <c r="F375" s="18" t="n">
        <v>0.6129882179629629</v>
      </c>
      <c r="G375" s="18" t="n">
        <v>0.6239046330092592</v>
      </c>
      <c r="H375" s="18" t="n">
        <v>0.6239162070833333</v>
      </c>
      <c r="I375" s="18" t="n">
        <v>0.6265666700462963</v>
      </c>
      <c r="J375" s="14" t="n">
        <v>2</v>
      </c>
      <c r="K375" s="19">
        <f>IF(AND(ISNUMBER(F375),ISNUMBER(G375)),(G375-F375)*1440,"")</f>
        <v/>
      </c>
      <c r="L375" s="19">
        <f>IF(AND(ISNUMBER(H375),ISNUMBER(I375)),(I375-H375)*1440,"")</f>
        <v/>
      </c>
      <c r="M375" s="15">
        <f>IF(ISNUMBER(F375),HOUR(F375),"")</f>
        <v/>
      </c>
    </row>
    <row r="376" ht="15.75" customHeight="1" s="36">
      <c r="A376" s="2" t="n">
        <v>373</v>
      </c>
      <c r="B376" s="12" t="n">
        <v>46093</v>
      </c>
      <c r="C376" s="14" t="inlineStr">
        <is>
          <t>V-186</t>
        </is>
      </c>
      <c r="D376" s="14" t="inlineStr">
        <is>
          <t>Turno virtual</t>
        </is>
      </c>
      <c r="E376" s="14" t="inlineStr">
        <is>
          <t>N</t>
        </is>
      </c>
      <c r="F376" s="18" t="n">
        <v>0.635145794224537</v>
      </c>
      <c r="G376" s="18" t="n">
        <v>0.6397453703703704</v>
      </c>
      <c r="H376" s="18" t="n">
        <v>0.6397916666666666</v>
      </c>
      <c r="I376" s="18" t="n">
        <v>0.644537037037037</v>
      </c>
      <c r="J376" s="14" t="n">
        <v>4</v>
      </c>
      <c r="K376" s="19">
        <f>IF(AND(ISNUMBER(F376),ISNUMBER(G376)),(G376-F376)*1440,"")</f>
        <v/>
      </c>
      <c r="L376" s="19">
        <f>IF(AND(ISNUMBER(H376),ISNUMBER(I376)),(I376-H376)*1440,"")</f>
        <v/>
      </c>
      <c r="M376" s="15">
        <f>IF(ISNUMBER(F376),HOUR(F376),"")</f>
        <v/>
      </c>
    </row>
    <row r="377" ht="15.75" customHeight="1" s="36">
      <c r="A377" s="2" t="n">
        <v>374</v>
      </c>
      <c r="B377" s="12" t="n">
        <v>46093</v>
      </c>
      <c r="C377" s="14" t="inlineStr">
        <is>
          <t>V-196</t>
        </is>
      </c>
      <c r="D377" s="14" t="inlineStr">
        <is>
          <t>Turno virtual</t>
        </is>
      </c>
      <c r="E377" s="14" t="inlineStr">
        <is>
          <t>N</t>
        </is>
      </c>
      <c r="F377" s="18" t="n">
        <v>0.6520817527893519</v>
      </c>
      <c r="G377" s="18" t="n">
        <v>0.6547222222222222</v>
      </c>
      <c r="H377" s="18" t="n">
        <v>0.6547337962962962</v>
      </c>
      <c r="I377" s="18" t="n">
        <v>0.6584722222222222</v>
      </c>
      <c r="J377" s="14" t="n">
        <v>4</v>
      </c>
      <c r="K377" s="19">
        <f>IF(AND(ISNUMBER(F377),ISNUMBER(G377)),(G377-F377)*1440,"")</f>
        <v/>
      </c>
      <c r="L377" s="19">
        <f>IF(AND(ISNUMBER(H377),ISNUMBER(I377)),(I377-H377)*1440,"")</f>
        <v/>
      </c>
      <c r="M377" s="15">
        <f>IF(ISNUMBER(F377),HOUR(F377),"")</f>
        <v/>
      </c>
    </row>
    <row r="378" ht="15.75" customHeight="1" s="36">
      <c r="A378" s="2" t="n">
        <v>375</v>
      </c>
      <c r="B378" s="12" t="n">
        <v>46093</v>
      </c>
      <c r="C378" s="14" t="inlineStr">
        <is>
          <t>P-164</t>
        </is>
      </c>
      <c r="D378" s="14" t="inlineStr">
        <is>
          <t>Pendientes</t>
        </is>
      </c>
      <c r="E378" s="14" t="inlineStr">
        <is>
          <t>N</t>
        </is>
      </c>
      <c r="F378" s="18" t="n">
        <v>0.6589626414583333</v>
      </c>
      <c r="G378" s="18" t="n">
        <v>0.6594444444444445</v>
      </c>
      <c r="H378" s="18" t="n">
        <v>0.6594560185185185</v>
      </c>
      <c r="I378" s="18" t="n">
        <v>0.6610532407407408</v>
      </c>
      <c r="J378" s="14" t="n">
        <v>4</v>
      </c>
      <c r="K378" s="19">
        <f>IF(AND(ISNUMBER(F378),ISNUMBER(G378)),(G378-F378)*1440,"")</f>
        <v/>
      </c>
      <c r="L378" s="19">
        <f>IF(AND(ISNUMBER(H378),ISNUMBER(I378)),(I378-H378)*1440,"")</f>
        <v/>
      </c>
      <c r="M378" s="15">
        <f>IF(ISNUMBER(F378),HOUR(F378),"")</f>
        <v/>
      </c>
    </row>
    <row r="379" ht="15.75" customHeight="1" s="36">
      <c r="A379" s="2" t="n">
        <v>376</v>
      </c>
      <c r="B379" s="12" t="n">
        <v>46093</v>
      </c>
      <c r="C379" s="14" t="inlineStr">
        <is>
          <t>P-168</t>
        </is>
      </c>
      <c r="D379" s="14" t="inlineStr">
        <is>
          <t>Pendientes</t>
        </is>
      </c>
      <c r="E379" s="14" t="inlineStr">
        <is>
          <t>N</t>
        </is>
      </c>
      <c r="F379" s="18" t="n">
        <v>0.6635688714699074</v>
      </c>
      <c r="G379" s="18" t="n">
        <v>0.6660325008564815</v>
      </c>
      <c r="H379" s="18" t="n">
        <v>0.6660787971527778</v>
      </c>
      <c r="I379" s="18" t="n">
        <v>0.6686482415972222</v>
      </c>
      <c r="J379" s="14" t="n">
        <v>1</v>
      </c>
      <c r="K379" s="19">
        <f>IF(AND(ISNUMBER(F379),ISNUMBER(G379)),(G379-F379)*1440,"")</f>
        <v/>
      </c>
      <c r="L379" s="19">
        <f>IF(AND(ISNUMBER(H379),ISNUMBER(I379)),(I379-H379)*1440,"")</f>
        <v/>
      </c>
      <c r="M379" s="15">
        <f>IF(ISNUMBER(F379),HOUR(F379),"")</f>
        <v/>
      </c>
    </row>
    <row r="380" ht="15.75" customHeight="1" s="36">
      <c r="A380" s="2" t="n">
        <v>377</v>
      </c>
      <c r="B380" s="12" t="n">
        <v>46093</v>
      </c>
      <c r="C380" s="14" t="inlineStr">
        <is>
          <t>D-296</t>
        </is>
      </c>
      <c r="D380" s="14" t="inlineStr">
        <is>
          <t>Dispensación</t>
        </is>
      </c>
      <c r="E380" s="14" t="inlineStr">
        <is>
          <t>N</t>
        </is>
      </c>
      <c r="F380" s="18" t="n">
        <v>0.6667062999305556</v>
      </c>
      <c r="G380" s="18" t="n">
        <v>0.6676546286921297</v>
      </c>
      <c r="H380" s="18" t="n">
        <v>0.6676662027662037</v>
      </c>
      <c r="I380" s="18" t="n">
        <v>0.6691939805439815</v>
      </c>
      <c r="J380" s="14" t="n">
        <v>3</v>
      </c>
      <c r="K380" s="19">
        <f>IF(AND(ISNUMBER(F380),ISNUMBER(G380)),(G380-F380)*1440,"")</f>
        <v/>
      </c>
      <c r="L380" s="19">
        <f>IF(AND(ISNUMBER(H380),ISNUMBER(I380)),(I380-H380)*1440,"")</f>
        <v/>
      </c>
      <c r="M380" s="15">
        <f>IF(ISNUMBER(F380),HOUR(F380),"")</f>
        <v/>
      </c>
    </row>
    <row r="381" ht="15.75" customHeight="1" s="36">
      <c r="A381" s="2" t="n">
        <v>378</v>
      </c>
      <c r="B381" s="12" t="n">
        <v>46093</v>
      </c>
      <c r="C381" s="14" t="inlineStr">
        <is>
          <t>P-175</t>
        </is>
      </c>
      <c r="D381" s="14" t="inlineStr">
        <is>
          <t>Pendientes</t>
        </is>
      </c>
      <c r="E381" s="14" t="inlineStr">
        <is>
          <t>N</t>
        </is>
      </c>
      <c r="F381" s="18" t="n">
        <v>0.6890849781018519</v>
      </c>
      <c r="G381" s="18" t="n">
        <v>0.6890849781018519</v>
      </c>
      <c r="H381" s="18" t="n">
        <v>0.6891081262500001</v>
      </c>
      <c r="I381" s="18" t="n">
        <v>0.6922099781018519</v>
      </c>
      <c r="J381" s="14" t="n">
        <v>2</v>
      </c>
      <c r="K381" s="19">
        <f>IF(AND(ISNUMBER(F381),ISNUMBER(G381)),(G381-F381)*1440,"")</f>
        <v/>
      </c>
      <c r="L381" s="19">
        <f>IF(AND(ISNUMBER(H381),ISNUMBER(I381)),(I381-H381)*1440,"")</f>
        <v/>
      </c>
      <c r="M381" s="15">
        <f>IF(ISNUMBER(F381),HOUR(F381),"")</f>
        <v/>
      </c>
    </row>
    <row r="382" ht="15.75" customHeight="1" s="36">
      <c r="A382" s="2" t="n">
        <v>379</v>
      </c>
      <c r="B382" s="12" t="n">
        <v>46094</v>
      </c>
      <c r="C382" s="14" t="inlineStr">
        <is>
          <t>D-003</t>
        </is>
      </c>
      <c r="D382" s="14" t="inlineStr">
        <is>
          <t>Dispensación</t>
        </is>
      </c>
      <c r="E382" s="14" t="inlineStr">
        <is>
          <t>N</t>
        </is>
      </c>
      <c r="F382" s="18" t="n">
        <v>0.2964455530555555</v>
      </c>
      <c r="G382" s="18" t="n">
        <v>0.2980671443981481</v>
      </c>
      <c r="H382" s="18" t="n">
        <v>0.2980902925462963</v>
      </c>
      <c r="I382" s="18" t="n">
        <v>0.2994791814351851</v>
      </c>
      <c r="J382" s="14" t="n">
        <v>3</v>
      </c>
      <c r="K382" s="19">
        <f>IF(AND(ISNUMBER(F382),ISNUMBER(G382)),(G382-F382)*1440,"")</f>
        <v/>
      </c>
      <c r="L382" s="19">
        <f>IF(AND(ISNUMBER(H382),ISNUMBER(I382)),(I382-H382)*1440,"")</f>
        <v/>
      </c>
      <c r="M382" s="15">
        <f>IF(ISNUMBER(F382),HOUR(F382),"")</f>
        <v/>
      </c>
    </row>
    <row r="383" ht="15.75" customHeight="1" s="36">
      <c r="A383" s="2" t="n">
        <v>380</v>
      </c>
      <c r="B383" s="12" t="n">
        <v>46094</v>
      </c>
      <c r="C383" s="14" t="inlineStr">
        <is>
          <t>D-011</t>
        </is>
      </c>
      <c r="D383" s="14" t="inlineStr">
        <is>
          <t>Dispensación</t>
        </is>
      </c>
      <c r="E383" s="14" t="inlineStr">
        <is>
          <t>N</t>
        </is>
      </c>
      <c r="F383" s="18" t="n">
        <v>0.3067149231134259</v>
      </c>
      <c r="G383" s="18" t="n">
        <v>0.3084501557407408</v>
      </c>
      <c r="H383" s="18" t="n">
        <v>0.3084733038888889</v>
      </c>
      <c r="I383" s="18" t="n">
        <v>0.312234877962963</v>
      </c>
      <c r="J383" s="14" t="n">
        <v>2</v>
      </c>
      <c r="K383" s="19">
        <f>IF(AND(ISNUMBER(F383),ISNUMBER(G383)),(G383-F383)*1440,"")</f>
        <v/>
      </c>
      <c r="L383" s="19">
        <f>IF(AND(ISNUMBER(H383),ISNUMBER(I383)),(I383-H383)*1440,"")</f>
        <v/>
      </c>
      <c r="M383" s="15">
        <f>IF(ISNUMBER(F383),HOUR(F383),"")</f>
        <v/>
      </c>
    </row>
    <row r="384" ht="15.75" customHeight="1" s="36">
      <c r="A384" s="2" t="n">
        <v>381</v>
      </c>
      <c r="B384" s="12" t="n">
        <v>46094</v>
      </c>
      <c r="C384" s="14" t="inlineStr">
        <is>
          <t>D-014</t>
        </is>
      </c>
      <c r="D384" s="14" t="inlineStr">
        <is>
          <t>Dispensación</t>
        </is>
      </c>
      <c r="E384" s="14" t="inlineStr">
        <is>
          <t>N</t>
        </is>
      </c>
      <c r="F384" s="18" t="n">
        <v>0.3120873754861111</v>
      </c>
      <c r="G384" s="18" t="n">
        <v>0.312234877962963</v>
      </c>
      <c r="H384" s="18" t="n">
        <v>0.3122580261111111</v>
      </c>
      <c r="I384" s="18" t="n">
        <v>0.3144918224074074</v>
      </c>
      <c r="J384" s="14" t="n">
        <v>2</v>
      </c>
      <c r="K384" s="19">
        <f>IF(AND(ISNUMBER(F384),ISNUMBER(G384)),(G384-F384)*1440,"")</f>
        <v/>
      </c>
      <c r="L384" s="19">
        <f>IF(AND(ISNUMBER(H384),ISNUMBER(I384)),(I384-H384)*1440,"")</f>
        <v/>
      </c>
      <c r="M384" s="15">
        <f>IF(ISNUMBER(F384),HOUR(F384),"")</f>
        <v/>
      </c>
    </row>
    <row r="385" ht="15.75" customHeight="1" s="36">
      <c r="A385" s="2" t="n">
        <v>382</v>
      </c>
      <c r="B385" s="12" t="n">
        <v>46094</v>
      </c>
      <c r="C385" s="14" t="inlineStr">
        <is>
          <t>V-026</t>
        </is>
      </c>
      <c r="D385" s="14" t="inlineStr">
        <is>
          <t>Turno virtual</t>
        </is>
      </c>
      <c r="E385" s="14" t="inlineStr">
        <is>
          <t>N</t>
        </is>
      </c>
      <c r="F385" s="18" t="n">
        <v>0.3288745603472222</v>
      </c>
      <c r="G385" s="18" t="n">
        <v>0.3333082357291667</v>
      </c>
      <c r="H385" s="18" t="n">
        <v>0.3333198098032408</v>
      </c>
      <c r="I385" s="18" t="n">
        <v>0.3340026801736111</v>
      </c>
      <c r="J385" s="14" t="n">
        <v>4</v>
      </c>
      <c r="K385" s="19">
        <f>IF(AND(ISNUMBER(F385),ISNUMBER(G385)),(G385-F385)*1440,"")</f>
        <v/>
      </c>
      <c r="L385" s="19">
        <f>IF(AND(ISNUMBER(H385),ISNUMBER(I385)),(I385-H385)*1440,"")</f>
        <v/>
      </c>
      <c r="M385" s="15">
        <f>IF(ISNUMBER(F385),HOUR(F385),"")</f>
        <v/>
      </c>
    </row>
    <row r="386" ht="15.75" customHeight="1" s="36">
      <c r="A386" s="2" t="n">
        <v>383</v>
      </c>
      <c r="B386" s="12" t="n">
        <v>46094</v>
      </c>
      <c r="C386" s="14" t="inlineStr">
        <is>
          <t>V-028</t>
        </is>
      </c>
      <c r="D386" s="14" t="inlineStr">
        <is>
          <t>Turno virtual</t>
        </is>
      </c>
      <c r="E386" s="14" t="inlineStr">
        <is>
          <t>N</t>
        </is>
      </c>
      <c r="F386" s="18" t="n">
        <v>0.3324707520486112</v>
      </c>
      <c r="G386" s="18" t="n">
        <v>0.3368312699305555</v>
      </c>
      <c r="H386" s="18" t="n">
        <v>0.3368659921527777</v>
      </c>
      <c r="I386" s="18" t="n">
        <v>0.3382317328935185</v>
      </c>
      <c r="J386" s="14" t="n">
        <v>1</v>
      </c>
      <c r="K386" s="19">
        <f>IF(AND(ISNUMBER(F386),ISNUMBER(G386)),(G386-F386)*1440,"")</f>
        <v/>
      </c>
      <c r="L386" s="19">
        <f>IF(AND(ISNUMBER(H386),ISNUMBER(I386)),(I386-H386)*1440,"")</f>
        <v/>
      </c>
      <c r="M386" s="15">
        <f>IF(ISNUMBER(F386),HOUR(F386),"")</f>
        <v/>
      </c>
    </row>
    <row r="387" ht="15.75" customHeight="1" s="36">
      <c r="A387" s="2" t="n">
        <v>384</v>
      </c>
      <c r="B387" s="12" t="n">
        <v>46094</v>
      </c>
      <c r="C387" s="14" t="inlineStr">
        <is>
          <t>D-048</t>
        </is>
      </c>
      <c r="D387" s="14" t="inlineStr">
        <is>
          <t>Dispensación</t>
        </is>
      </c>
      <c r="E387" s="14" t="inlineStr">
        <is>
          <t>N</t>
        </is>
      </c>
      <c r="F387" s="18" t="n">
        <v>0.3422810791203704</v>
      </c>
      <c r="G387" s="18" t="n">
        <v>0.3463668224074074</v>
      </c>
      <c r="H387" s="18" t="n">
        <v>0.3464015446296296</v>
      </c>
      <c r="I387" s="18" t="n">
        <v>0.3482418224074074</v>
      </c>
      <c r="J387" s="14" t="n">
        <v>2</v>
      </c>
      <c r="K387" s="19">
        <f>IF(AND(ISNUMBER(F387),ISNUMBER(G387)),(G387-F387)*1440,"")</f>
        <v/>
      </c>
      <c r="L387" s="19">
        <f>IF(AND(ISNUMBER(H387),ISNUMBER(I387)),(I387-H387)*1440,"")</f>
        <v/>
      </c>
      <c r="M387" s="15">
        <f>IF(ISNUMBER(F387),HOUR(F387),"")</f>
        <v/>
      </c>
    </row>
    <row r="388" ht="15.75" customHeight="1" s="36">
      <c r="A388" s="2" t="n">
        <v>385</v>
      </c>
      <c r="B388" s="12" t="n">
        <v>46094</v>
      </c>
      <c r="C388" s="14" t="inlineStr">
        <is>
          <t>P-024</t>
        </is>
      </c>
      <c r="D388" s="14" t="inlineStr">
        <is>
          <t>Pendientes</t>
        </is>
      </c>
      <c r="E388" s="14" t="inlineStr">
        <is>
          <t>N</t>
        </is>
      </c>
      <c r="F388" s="18" t="n">
        <v>0.3495445976388888</v>
      </c>
      <c r="G388" s="18" t="n">
        <v>0.3527759565162037</v>
      </c>
      <c r="H388" s="18" t="n">
        <v>0.3528222528125</v>
      </c>
      <c r="I388" s="18" t="n">
        <v>0.3541301231828703</v>
      </c>
      <c r="J388" s="14" t="n">
        <v>3</v>
      </c>
      <c r="K388" s="19">
        <f>IF(AND(ISNUMBER(F388),ISNUMBER(G388)),(G388-F388)*1440,"")</f>
        <v/>
      </c>
      <c r="L388" s="19">
        <f>IF(AND(ISNUMBER(H388),ISNUMBER(I388)),(I388-H388)*1440,"")</f>
        <v/>
      </c>
      <c r="M388" s="15">
        <f>IF(ISNUMBER(F388),HOUR(F388),"")</f>
        <v/>
      </c>
    </row>
    <row r="389" ht="15.75" customHeight="1" s="36">
      <c r="A389" s="2" t="n">
        <v>386</v>
      </c>
      <c r="B389" s="12" t="n">
        <v>46094</v>
      </c>
      <c r="C389" s="14" t="inlineStr">
        <is>
          <t>V-036</t>
        </is>
      </c>
      <c r="D389" s="14" t="inlineStr">
        <is>
          <t>Turno virtual</t>
        </is>
      </c>
      <c r="E389" s="14" t="inlineStr">
        <is>
          <t>N</t>
        </is>
      </c>
      <c r="F389" s="18" t="n">
        <v>0.351843017337963</v>
      </c>
      <c r="G389" s="18" t="n">
        <v>0.3571784921527777</v>
      </c>
      <c r="H389" s="18" t="n">
        <v>0.3571900662268518</v>
      </c>
      <c r="I389" s="18" t="n">
        <v>0.3612062699305555</v>
      </c>
      <c r="J389" s="14" t="n">
        <v>1</v>
      </c>
      <c r="K389" s="19">
        <f>IF(AND(ISNUMBER(F389),ISNUMBER(G389)),(G389-F389)*1440,"")</f>
        <v/>
      </c>
      <c r="L389" s="19">
        <f>IF(AND(ISNUMBER(H389),ISNUMBER(I389)),(I389-H389)*1440,"")</f>
        <v/>
      </c>
      <c r="M389" s="15">
        <f>IF(ISNUMBER(F389),HOUR(F389),"")</f>
        <v/>
      </c>
    </row>
    <row r="390" ht="15.75" customHeight="1" s="36">
      <c r="A390" s="2" t="n">
        <v>387</v>
      </c>
      <c r="B390" s="12" t="n">
        <v>46094</v>
      </c>
      <c r="C390" s="14" t="inlineStr">
        <is>
          <t>P-029</t>
        </is>
      </c>
      <c r="D390" s="14" t="inlineStr">
        <is>
          <t>Pendientes</t>
        </is>
      </c>
      <c r="E390" s="14" t="inlineStr">
        <is>
          <t>N</t>
        </is>
      </c>
      <c r="F390" s="18" t="n">
        <v>0.3547123065509259</v>
      </c>
      <c r="G390" s="18" t="n">
        <v>0.3615836986921296</v>
      </c>
      <c r="H390" s="18" t="n">
        <v>0.361629994988426</v>
      </c>
      <c r="I390" s="18" t="n">
        <v>0.3630188838773148</v>
      </c>
      <c r="J390" s="14" t="n">
        <v>4</v>
      </c>
      <c r="K390" s="19">
        <f>IF(AND(ISNUMBER(F390),ISNUMBER(G390)),(G390-F390)*1440,"")</f>
        <v/>
      </c>
      <c r="L390" s="19">
        <f>IF(AND(ISNUMBER(H390),ISNUMBER(I390)),(I390-H390)*1440,"")</f>
        <v/>
      </c>
      <c r="M390" s="15">
        <f>IF(ISNUMBER(F390),HOUR(F390),"")</f>
        <v/>
      </c>
    </row>
    <row r="391" ht="15.75" customHeight="1" s="36">
      <c r="A391" s="2" t="n">
        <v>388</v>
      </c>
      <c r="B391" s="12" t="n">
        <v>46094</v>
      </c>
      <c r="C391" s="14" t="inlineStr">
        <is>
          <t>P-030</t>
        </is>
      </c>
      <c r="D391" s="14" t="inlineStr">
        <is>
          <t>Pendientes</t>
        </is>
      </c>
      <c r="E391" s="14" t="inlineStr">
        <is>
          <t>N</t>
        </is>
      </c>
      <c r="F391" s="18" t="n">
        <v>0.3547352743402777</v>
      </c>
      <c r="G391" s="18" t="n">
        <v>0.3619657713310185</v>
      </c>
      <c r="H391" s="18" t="n">
        <v>0.3619773454050926</v>
      </c>
      <c r="I391" s="18" t="n">
        <v>0.362359289849537</v>
      </c>
      <c r="J391" s="14" t="n">
        <v>3</v>
      </c>
      <c r="K391" s="19">
        <f>IF(AND(ISNUMBER(F391),ISNUMBER(G391)),(G391-F391)*1440,"")</f>
        <v/>
      </c>
      <c r="L391" s="19">
        <f>IF(AND(ISNUMBER(H391),ISNUMBER(I391)),(I391-H391)*1440,"")</f>
        <v/>
      </c>
      <c r="M391" s="15">
        <f>IF(ISNUMBER(F391),HOUR(F391),"")</f>
        <v/>
      </c>
    </row>
    <row r="392" ht="15.75" customHeight="1" s="36">
      <c r="A392" s="2" t="n">
        <v>389</v>
      </c>
      <c r="B392" s="12" t="n">
        <v>46094</v>
      </c>
      <c r="C392" s="14" t="inlineStr">
        <is>
          <t>P-035</t>
        </is>
      </c>
      <c r="D392" s="14" t="inlineStr">
        <is>
          <t>Pendientes</t>
        </is>
      </c>
      <c r="E392" s="14" t="inlineStr">
        <is>
          <t>S</t>
        </is>
      </c>
      <c r="F392" s="18" t="n">
        <v>0.3605959138888889</v>
      </c>
      <c r="G392" s="18" t="n">
        <v>0.3612062699305555</v>
      </c>
      <c r="H392" s="18" t="n">
        <v>0.3612178440046296</v>
      </c>
      <c r="I392" s="18" t="n">
        <v>0.3644238625231481</v>
      </c>
      <c r="J392" s="14" t="n">
        <v>1</v>
      </c>
      <c r="K392" s="19">
        <f>IF(AND(ISNUMBER(F392),ISNUMBER(G392)),(G392-F392)*1440,"")</f>
        <v/>
      </c>
      <c r="L392" s="19">
        <f>IF(AND(ISNUMBER(H392),ISNUMBER(I392)),(I392-H392)*1440,"")</f>
        <v/>
      </c>
      <c r="M392" s="15">
        <f>IF(ISNUMBER(F392),HOUR(F392),"")</f>
        <v/>
      </c>
    </row>
    <row r="393" ht="15.75" customHeight="1" s="36">
      <c r="A393" s="2" t="n">
        <v>390</v>
      </c>
      <c r="B393" s="12" t="n">
        <v>46094</v>
      </c>
      <c r="C393" s="14" t="inlineStr">
        <is>
          <t>V-043</t>
        </is>
      </c>
      <c r="D393" s="14" t="inlineStr">
        <is>
          <t>Turno virtual</t>
        </is>
      </c>
      <c r="E393" s="14" t="inlineStr">
        <is>
          <t>N</t>
        </is>
      </c>
      <c r="F393" s="18" t="n">
        <v>0.3617665106481482</v>
      </c>
      <c r="G393" s="18" t="n">
        <v>0.3712294180787037</v>
      </c>
      <c r="H393" s="18" t="n">
        <v>0.3712525662268518</v>
      </c>
      <c r="I393" s="18" t="n">
        <v>0.3751993254861111</v>
      </c>
      <c r="J393" s="14" t="n">
        <v>1</v>
      </c>
      <c r="K393" s="19">
        <f>IF(AND(ISNUMBER(F393),ISNUMBER(G393)),(G393-F393)*1440,"")</f>
        <v/>
      </c>
      <c r="L393" s="19">
        <f>IF(AND(ISNUMBER(H393),ISNUMBER(I393)),(I393-H393)*1440,"")</f>
        <v/>
      </c>
      <c r="M393" s="15">
        <f>IF(ISNUMBER(F393),HOUR(F393),"")</f>
        <v/>
      </c>
    </row>
    <row r="394" ht="15.75" customHeight="1" s="36">
      <c r="A394" s="2" t="n">
        <v>391</v>
      </c>
      <c r="B394" s="12" t="n">
        <v>46094</v>
      </c>
      <c r="C394" s="14" t="inlineStr">
        <is>
          <t>D-090</t>
        </is>
      </c>
      <c r="D394" s="14" t="inlineStr">
        <is>
          <t>Dispensación</t>
        </is>
      </c>
      <c r="E394" s="14" t="inlineStr">
        <is>
          <t>N</t>
        </is>
      </c>
      <c r="F394" s="18" t="n">
        <v>0.3790490109375</v>
      </c>
      <c r="G394" s="18" t="n">
        <v>0.3990404335185185</v>
      </c>
      <c r="H394" s="18" t="n">
        <v>0.3990867298148149</v>
      </c>
      <c r="I394" s="18" t="n">
        <v>0.4020033964814815</v>
      </c>
      <c r="J394" s="14" t="n">
        <v>2</v>
      </c>
      <c r="K394" s="19">
        <f>IF(AND(ISNUMBER(F394),ISNUMBER(G394)),(G394-F394)*1440,"")</f>
        <v/>
      </c>
      <c r="L394" s="19">
        <f>IF(AND(ISNUMBER(H394),ISNUMBER(I394)),(I394-H394)*1440,"")</f>
        <v/>
      </c>
      <c r="M394" s="15">
        <f>IF(ISNUMBER(F394),HOUR(F394),"")</f>
        <v/>
      </c>
    </row>
    <row r="395" ht="15.75" customHeight="1" s="36">
      <c r="A395" s="2" t="n">
        <v>392</v>
      </c>
      <c r="B395" s="12" t="n">
        <v>46094</v>
      </c>
      <c r="C395" s="14" t="inlineStr">
        <is>
          <t>D-095</t>
        </is>
      </c>
      <c r="D395" s="14" t="inlineStr">
        <is>
          <t>Dispensación</t>
        </is>
      </c>
      <c r="E395" s="14" t="inlineStr">
        <is>
          <t>N</t>
        </is>
      </c>
      <c r="F395" s="18" t="n">
        <v>0.3833009412962963</v>
      </c>
      <c r="G395" s="18" t="n">
        <v>0.4074316372222223</v>
      </c>
      <c r="H395" s="18" t="n">
        <v>0.4074779335185185</v>
      </c>
      <c r="I395" s="18" t="n">
        <v>0.4112742298148148</v>
      </c>
      <c r="J395" s="14" t="n">
        <v>2</v>
      </c>
      <c r="K395" s="19">
        <f>IF(AND(ISNUMBER(F395),ISNUMBER(G395)),(G395-F395)*1440,"")</f>
        <v/>
      </c>
      <c r="L395" s="19">
        <f>IF(AND(ISNUMBER(H395),ISNUMBER(I395)),(I395-H395)*1440,"")</f>
        <v/>
      </c>
      <c r="M395" s="15">
        <f>IF(ISNUMBER(F395),HOUR(F395),"")</f>
        <v/>
      </c>
    </row>
    <row r="396" ht="15.75" customHeight="1" s="36">
      <c r="A396" s="2" t="n">
        <v>393</v>
      </c>
      <c r="B396" s="12" t="n">
        <v>46094</v>
      </c>
      <c r="C396" s="14" t="inlineStr">
        <is>
          <t>D-105</t>
        </is>
      </c>
      <c r="D396" s="14" t="inlineStr">
        <is>
          <t>Dispensación</t>
        </is>
      </c>
      <c r="E396" s="14" t="inlineStr">
        <is>
          <t>N</t>
        </is>
      </c>
      <c r="F396" s="18" t="n">
        <v>0.3989228133796296</v>
      </c>
      <c r="G396" s="18" t="n">
        <v>0.4244077727662037</v>
      </c>
      <c r="H396" s="18" t="n">
        <v>0.4244540690625</v>
      </c>
      <c r="I396" s="18" t="n">
        <v>0.4259702727662037</v>
      </c>
      <c r="J396" s="14" t="n">
        <v>4</v>
      </c>
      <c r="K396" s="19">
        <f>IF(AND(ISNUMBER(F396),ISNUMBER(G396)),(G396-F396)*1440,"")</f>
        <v/>
      </c>
      <c r="L396" s="19">
        <f>IF(AND(ISNUMBER(H396),ISNUMBER(I396)),(I396-H396)*1440,"")</f>
        <v/>
      </c>
      <c r="M396" s="15">
        <f>IF(ISNUMBER(F396),HOUR(F396),"")</f>
        <v/>
      </c>
    </row>
    <row r="397" ht="15.75" customHeight="1" s="36">
      <c r="A397" s="2" t="n">
        <v>394</v>
      </c>
      <c r="B397" s="12" t="n">
        <v>46094</v>
      </c>
      <c r="C397" s="14" t="inlineStr">
        <is>
          <t>V-082</t>
        </is>
      </c>
      <c r="D397" s="14" t="inlineStr">
        <is>
          <t>Turno virtual</t>
        </is>
      </c>
      <c r="E397" s="14" t="inlineStr">
        <is>
          <t>N</t>
        </is>
      </c>
      <c r="F397" s="18" t="n">
        <v>0.4076624112962963</v>
      </c>
      <c r="G397" s="18" t="n">
        <v>0.4304725875810185</v>
      </c>
      <c r="H397" s="18" t="n">
        <v>0.4304841616550926</v>
      </c>
      <c r="I397" s="18" t="n">
        <v>0.4334702727662037</v>
      </c>
      <c r="J397" s="14" t="n">
        <v>4</v>
      </c>
      <c r="K397" s="19">
        <f>IF(AND(ISNUMBER(F397),ISNUMBER(G397)),(G397-F397)*1440,"")</f>
        <v/>
      </c>
      <c r="L397" s="19">
        <f>IF(AND(ISNUMBER(H397),ISNUMBER(I397)),(I397-H397)*1440,"")</f>
        <v/>
      </c>
      <c r="M397" s="15">
        <f>IF(ISNUMBER(F397),HOUR(F397),"")</f>
        <v/>
      </c>
    </row>
    <row r="398" ht="15.75" customHeight="1" s="36">
      <c r="A398" s="2" t="n">
        <v>395</v>
      </c>
      <c r="B398" s="12" t="n">
        <v>46094</v>
      </c>
      <c r="C398" s="14" t="inlineStr">
        <is>
          <t>D-113</t>
        </is>
      </c>
      <c r="D398" s="14" t="inlineStr">
        <is>
          <t>Dispensación</t>
        </is>
      </c>
      <c r="E398" s="14" t="inlineStr">
        <is>
          <t>N</t>
        </is>
      </c>
      <c r="F398" s="18" t="n">
        <v>0.4118350237847222</v>
      </c>
      <c r="G398" s="18" t="n">
        <v>0.4356694750347223</v>
      </c>
      <c r="H398" s="18" t="n">
        <v>0.4356810491087963</v>
      </c>
      <c r="I398" s="18" t="n">
        <v>0.4377643824421297</v>
      </c>
      <c r="J398" s="14" t="n">
        <v>3</v>
      </c>
      <c r="K398" s="19">
        <f>IF(AND(ISNUMBER(F398),ISNUMBER(G398)),(G398-F398)*1440,"")</f>
        <v/>
      </c>
      <c r="L398" s="19">
        <f>IF(AND(ISNUMBER(H398),ISNUMBER(I398)),(I398-H398)*1440,"")</f>
        <v/>
      </c>
      <c r="M398" s="15">
        <f>IF(ISNUMBER(F398),HOUR(F398),"")</f>
        <v/>
      </c>
    </row>
    <row r="399" ht="15.75" customHeight="1" s="36">
      <c r="A399" s="2" t="n">
        <v>396</v>
      </c>
      <c r="B399" s="12" t="n">
        <v>46094</v>
      </c>
      <c r="C399" s="14" t="inlineStr">
        <is>
          <t>P-070</t>
        </is>
      </c>
      <c r="D399" s="14" t="inlineStr">
        <is>
          <t>Pendientes</t>
        </is>
      </c>
      <c r="E399" s="14" t="inlineStr">
        <is>
          <t>N</t>
        </is>
      </c>
      <c r="F399" s="18" t="n">
        <v>0.4257697138310185</v>
      </c>
      <c r="G399" s="18" t="n">
        <v>0.4497363625231482</v>
      </c>
      <c r="H399" s="18" t="n">
        <v>0.4497826588194445</v>
      </c>
      <c r="I399" s="18" t="n">
        <v>0.4517849736342593</v>
      </c>
      <c r="J399" s="14" t="n">
        <v>1</v>
      </c>
      <c r="K399" s="19">
        <f>IF(AND(ISNUMBER(F399),ISNUMBER(G399)),(G399-F399)*1440,"")</f>
        <v/>
      </c>
      <c r="L399" s="19">
        <f>IF(AND(ISNUMBER(H399),ISNUMBER(I399)),(I399-H399)*1440,"")</f>
        <v/>
      </c>
      <c r="M399" s="15">
        <f>IF(ISNUMBER(F399),HOUR(F399),"")</f>
        <v/>
      </c>
    </row>
    <row r="400" ht="15.75" customHeight="1" s="36">
      <c r="A400" s="2" t="n">
        <v>397</v>
      </c>
      <c r="B400" s="12" t="n">
        <v>46094</v>
      </c>
      <c r="C400" s="14" t="inlineStr">
        <is>
          <t>D-135</t>
        </is>
      </c>
      <c r="D400" s="14" t="inlineStr">
        <is>
          <t>Dispensación</t>
        </is>
      </c>
      <c r="E400" s="14" t="inlineStr">
        <is>
          <t>N</t>
        </is>
      </c>
      <c r="F400" s="18" t="n">
        <v>0.4374290850578703</v>
      </c>
      <c r="G400" s="18" t="n">
        <v>0.4613522172106482</v>
      </c>
      <c r="H400" s="18" t="n">
        <v>0.4613869394328704</v>
      </c>
      <c r="I400" s="18" t="n">
        <v>0.4619424949884259</v>
      </c>
      <c r="J400" s="14" t="n">
        <v>4</v>
      </c>
      <c r="K400" s="19">
        <f>IF(AND(ISNUMBER(F400),ISNUMBER(G400)),(G400-F400)*1440,"")</f>
        <v/>
      </c>
      <c r="L400" s="19">
        <f>IF(AND(ISNUMBER(H400),ISNUMBER(I400)),(I400-H400)*1440,"")</f>
        <v/>
      </c>
      <c r="M400" s="15">
        <f>IF(ISNUMBER(F400),HOUR(F400),"")</f>
        <v/>
      </c>
    </row>
    <row r="401" ht="15.75" customHeight="1" s="36">
      <c r="A401" s="2" t="n">
        <v>398</v>
      </c>
      <c r="B401" s="12" t="n">
        <v>46094</v>
      </c>
      <c r="C401" s="14" t="inlineStr">
        <is>
          <t>P-075</t>
        </is>
      </c>
      <c r="D401" s="14" t="inlineStr">
        <is>
          <t>Pendientes</t>
        </is>
      </c>
      <c r="E401" s="14" t="inlineStr">
        <is>
          <t>N</t>
        </is>
      </c>
      <c r="F401" s="18" t="n">
        <v>0.4376907193981481</v>
      </c>
      <c r="G401" s="18" t="n">
        <v>0.4619424949884259</v>
      </c>
      <c r="H401" s="18" t="n">
        <v>0.4619656431365741</v>
      </c>
      <c r="I401" s="18" t="n">
        <v>0.4633313838773148</v>
      </c>
      <c r="J401" s="14" t="n">
        <v>4</v>
      </c>
      <c r="K401" s="19">
        <f>IF(AND(ISNUMBER(F401),ISNUMBER(G401)),(G401-F401)*1440,"")</f>
        <v/>
      </c>
      <c r="L401" s="19">
        <f>IF(AND(ISNUMBER(H401),ISNUMBER(I401)),(I401-H401)*1440,"")</f>
        <v/>
      </c>
      <c r="M401" s="15">
        <f>IF(ISNUMBER(F401),HOUR(F401),"")</f>
        <v/>
      </c>
    </row>
    <row r="402" ht="15.75" customHeight="1" s="36">
      <c r="A402" s="2" t="n">
        <v>399</v>
      </c>
      <c r="B402" s="12" t="n">
        <v>46094</v>
      </c>
      <c r="C402" s="14" t="inlineStr">
        <is>
          <t>D-143</t>
        </is>
      </c>
      <c r="D402" s="14" t="inlineStr">
        <is>
          <t>Dispensación</t>
        </is>
      </c>
      <c r="E402" s="14" t="inlineStr">
        <is>
          <t>N</t>
        </is>
      </c>
      <c r="F402" s="18" t="n">
        <v>0.4466095103587963</v>
      </c>
      <c r="G402" s="18" t="n">
        <v>0.4689449379976852</v>
      </c>
      <c r="H402" s="18" t="n">
        <v>0.4689912342939815</v>
      </c>
      <c r="I402" s="18" t="n">
        <v>0.4707736417013889</v>
      </c>
      <c r="J402" s="14" t="n">
        <v>3</v>
      </c>
      <c r="K402" s="19">
        <f>IF(AND(ISNUMBER(F402),ISNUMBER(G402)),(G402-F402)*1440,"")</f>
        <v/>
      </c>
      <c r="L402" s="19">
        <f>IF(AND(ISNUMBER(H402),ISNUMBER(I402)),(I402-H402)*1440,"")</f>
        <v/>
      </c>
      <c r="M402" s="15">
        <f>IF(ISNUMBER(F402),HOUR(F402),"")</f>
        <v/>
      </c>
    </row>
    <row r="403" ht="15.75" customHeight="1" s="36">
      <c r="A403" s="2" t="n">
        <v>400</v>
      </c>
      <c r="B403" s="12" t="n">
        <v>46094</v>
      </c>
      <c r="C403" s="14" t="inlineStr">
        <is>
          <t>V-107</t>
        </is>
      </c>
      <c r="D403" s="14" t="inlineStr">
        <is>
          <t>Turno virtual</t>
        </is>
      </c>
      <c r="E403" s="14" t="inlineStr">
        <is>
          <t>N</t>
        </is>
      </c>
      <c r="F403" s="18" t="n">
        <v>0.4492935035185185</v>
      </c>
      <c r="G403" s="18" t="n">
        <v>0.470197840925926</v>
      </c>
      <c r="H403" s="18" t="n">
        <v>0.4702441372222222</v>
      </c>
      <c r="I403" s="18" t="n">
        <v>0.4716908964814815</v>
      </c>
      <c r="J403" s="14" t="n">
        <v>2</v>
      </c>
      <c r="K403" s="19">
        <f>IF(AND(ISNUMBER(F403),ISNUMBER(G403)),(G403-F403)*1440,"")</f>
        <v/>
      </c>
      <c r="L403" s="19">
        <f>IF(AND(ISNUMBER(H403),ISNUMBER(I403)),(I403-H403)*1440,"")</f>
        <v/>
      </c>
      <c r="M403" s="15">
        <f>IF(ISNUMBER(F403),HOUR(F403),"")</f>
        <v/>
      </c>
    </row>
    <row r="404" ht="15.75" customHeight="1" s="36">
      <c r="A404" s="2" t="n">
        <v>401</v>
      </c>
      <c r="B404" s="12" t="n">
        <v>46094</v>
      </c>
      <c r="C404" s="14" t="inlineStr">
        <is>
          <t>D-153</t>
        </is>
      </c>
      <c r="D404" s="14" t="inlineStr">
        <is>
          <t>Dispensación</t>
        </is>
      </c>
      <c r="E404" s="14" t="inlineStr">
        <is>
          <t>N</t>
        </is>
      </c>
      <c r="F404" s="18" t="n">
        <v>0.4628883098726852</v>
      </c>
      <c r="G404" s="18" t="n">
        <v>0.4796509565162038</v>
      </c>
      <c r="H404" s="18" t="n">
        <v>0.4796741046643519</v>
      </c>
      <c r="I404" s="18" t="n">
        <v>0.4810745676273149</v>
      </c>
      <c r="J404" s="14" t="n">
        <v>3</v>
      </c>
      <c r="K404" s="19">
        <f>IF(AND(ISNUMBER(F404),ISNUMBER(G404)),(G404-F404)*1440,"")</f>
        <v/>
      </c>
      <c r="L404" s="19">
        <f>IF(AND(ISNUMBER(H404),ISNUMBER(I404)),(I404-H404)*1440,"")</f>
        <v/>
      </c>
      <c r="M404" s="15">
        <f>IF(ISNUMBER(F404),HOUR(F404),"")</f>
        <v/>
      </c>
    </row>
    <row r="405" ht="15.75" customHeight="1" s="36">
      <c r="A405" s="2" t="n">
        <v>402</v>
      </c>
      <c r="B405" s="12" t="n">
        <v>46094</v>
      </c>
      <c r="C405" s="14" t="inlineStr">
        <is>
          <t>P-088</t>
        </is>
      </c>
      <c r="D405" s="14" t="inlineStr">
        <is>
          <t>Pendientes</t>
        </is>
      </c>
      <c r="E405" s="14" t="inlineStr">
        <is>
          <t>N</t>
        </is>
      </c>
      <c r="F405" s="18" t="n">
        <v>0.4854148715393518</v>
      </c>
      <c r="G405" s="18" t="n">
        <v>0.4928135816666667</v>
      </c>
      <c r="H405" s="18" t="n">
        <v>0.492859877962963</v>
      </c>
      <c r="I405" s="18" t="n">
        <v>0.4940867298148148</v>
      </c>
      <c r="J405" s="14" t="n">
        <v>2</v>
      </c>
      <c r="K405" s="19">
        <f>IF(AND(ISNUMBER(F405),ISNUMBER(G405)),(G405-F405)*1440,"")</f>
        <v/>
      </c>
      <c r="L405" s="19">
        <f>IF(AND(ISNUMBER(H405),ISNUMBER(I405)),(I405-H405)*1440,"")</f>
        <v/>
      </c>
      <c r="M405" s="15">
        <f>IF(ISNUMBER(F405),HOUR(F405),"")</f>
        <v/>
      </c>
    </row>
    <row r="406" ht="15.75" customHeight="1" s="36">
      <c r="A406" s="2" t="n">
        <v>403</v>
      </c>
      <c r="B406" s="12" t="n">
        <v>46094</v>
      </c>
      <c r="C406" s="14" t="inlineStr">
        <is>
          <t>P-091</t>
        </is>
      </c>
      <c r="D406" s="14" t="inlineStr">
        <is>
          <t>Pendientes</t>
        </is>
      </c>
      <c r="E406" s="14" t="inlineStr">
        <is>
          <t>N</t>
        </is>
      </c>
      <c r="F406" s="18" t="n">
        <v>0.4992003898148148</v>
      </c>
      <c r="G406" s="18" t="n">
        <v>0.5010051231828704</v>
      </c>
      <c r="H406" s="18" t="n">
        <v>0.5010514194791668</v>
      </c>
      <c r="I406" s="18" t="n">
        <v>0.5025329009606482</v>
      </c>
      <c r="J406" s="14" t="n">
        <v>3</v>
      </c>
      <c r="K406" s="19">
        <f>IF(AND(ISNUMBER(F406),ISNUMBER(G406)),(G406-F406)*1440,"")</f>
        <v/>
      </c>
      <c r="L406" s="19">
        <f>IF(AND(ISNUMBER(H406),ISNUMBER(I406)),(I406-H406)*1440,"")</f>
        <v/>
      </c>
      <c r="M406" s="15">
        <f>IF(ISNUMBER(F406),HOUR(F406),"")</f>
        <v/>
      </c>
    </row>
    <row r="407" ht="15.75" customHeight="1" s="36">
      <c r="A407" s="2" t="n">
        <v>404</v>
      </c>
      <c r="B407" s="12" t="n">
        <v>46094</v>
      </c>
      <c r="C407" s="14" t="inlineStr">
        <is>
          <t>P-095</t>
        </is>
      </c>
      <c r="D407" s="14" t="inlineStr">
        <is>
          <t>Pendientes</t>
        </is>
      </c>
      <c r="E407" s="14" t="inlineStr">
        <is>
          <t>N</t>
        </is>
      </c>
      <c r="F407" s="18" t="n">
        <v>0.5122033868171296</v>
      </c>
      <c r="G407" s="18" t="n">
        <v>0.5151877514120371</v>
      </c>
      <c r="H407" s="18" t="n">
        <v>0.5152340477083334</v>
      </c>
      <c r="I407" s="18" t="n">
        <v>0.5191229365972222</v>
      </c>
      <c r="J407" s="14" t="n">
        <v>1</v>
      </c>
      <c r="K407" s="19">
        <f>IF(AND(ISNUMBER(F407),ISNUMBER(G407)),(G407-F407)*1440,"")</f>
        <v/>
      </c>
      <c r="L407" s="19">
        <f>IF(AND(ISNUMBER(H407),ISNUMBER(I407)),(I407-H407)*1440,"")</f>
        <v/>
      </c>
      <c r="M407" s="15">
        <f>IF(ISNUMBER(F407),HOUR(F407),"")</f>
        <v/>
      </c>
    </row>
    <row r="408" ht="15.75" customHeight="1" s="36">
      <c r="A408" s="2" t="n">
        <v>405</v>
      </c>
      <c r="B408" s="12" t="n">
        <v>46094</v>
      </c>
      <c r="C408" s="14" t="inlineStr">
        <is>
          <t>P-098</t>
        </is>
      </c>
      <c r="D408" s="14" t="inlineStr">
        <is>
          <t>Pendientes</t>
        </is>
      </c>
      <c r="E408" s="14" t="inlineStr">
        <is>
          <t>N</t>
        </is>
      </c>
      <c r="F408" s="18" t="n">
        <v>0.5194297172569445</v>
      </c>
      <c r="G408" s="18" t="n">
        <v>0.5195120676273148</v>
      </c>
      <c r="H408" s="18" t="n">
        <v>0.519535215775463</v>
      </c>
      <c r="I408" s="18" t="n">
        <v>0.5206694750347223</v>
      </c>
      <c r="J408" s="14" t="n">
        <v>3</v>
      </c>
      <c r="K408" s="19">
        <f>IF(AND(ISNUMBER(F408),ISNUMBER(G408)),(G408-F408)*1440,"")</f>
        <v/>
      </c>
      <c r="L408" s="19">
        <f>IF(AND(ISNUMBER(H408),ISNUMBER(I408)),(I408-H408)*1440,"")</f>
        <v/>
      </c>
      <c r="M408" s="15">
        <f>IF(ISNUMBER(F408),HOUR(F408),"")</f>
        <v/>
      </c>
    </row>
    <row r="409" ht="15.75" customHeight="1" s="36">
      <c r="A409" s="2" t="n">
        <v>406</v>
      </c>
      <c r="B409" s="12" t="n">
        <v>46094</v>
      </c>
      <c r="C409" s="14" t="inlineStr">
        <is>
          <t>D-183</t>
        </is>
      </c>
      <c r="D409" s="14" t="inlineStr">
        <is>
          <t>Dispensación</t>
        </is>
      </c>
      <c r="E409" s="14" t="inlineStr">
        <is>
          <t>N</t>
        </is>
      </c>
      <c r="F409" s="18" t="n">
        <v>0.5275500599421297</v>
      </c>
      <c r="G409" s="18" t="n">
        <v>0.5275500599421297</v>
      </c>
      <c r="H409" s="18" t="n">
        <v>0.5275732080902777</v>
      </c>
      <c r="I409" s="18" t="n">
        <v>0.529332467349537</v>
      </c>
      <c r="J409" s="14" t="n">
        <v>2</v>
      </c>
      <c r="K409" s="19">
        <f>IF(AND(ISNUMBER(F409),ISNUMBER(G409)),(G409-F409)*1440,"")</f>
        <v/>
      </c>
      <c r="L409" s="19">
        <f>IF(AND(ISNUMBER(H409),ISNUMBER(I409)),(I409-H409)*1440,"")</f>
        <v/>
      </c>
      <c r="M409" s="15">
        <f>IF(ISNUMBER(F409),HOUR(F409),"")</f>
        <v/>
      </c>
    </row>
    <row r="410" ht="15.75" customHeight="1" s="36">
      <c r="A410" s="2" t="n">
        <v>407</v>
      </c>
      <c r="B410" s="12" t="n">
        <v>46094</v>
      </c>
      <c r="C410" s="14" t="inlineStr">
        <is>
          <t>V-137</t>
        </is>
      </c>
      <c r="D410" s="14" t="inlineStr">
        <is>
          <t>Turno virtual</t>
        </is>
      </c>
      <c r="E410" s="14" t="inlineStr">
        <is>
          <t>N</t>
        </is>
      </c>
      <c r="F410" s="18" t="n">
        <v>0.5450053264467593</v>
      </c>
      <c r="G410" s="18" t="n">
        <v>0.5457337771180556</v>
      </c>
      <c r="H410" s="18" t="n">
        <v>0.5457453511921296</v>
      </c>
      <c r="I410" s="18" t="n">
        <v>0.5475277585995371</v>
      </c>
      <c r="J410" s="14" t="n">
        <v>1</v>
      </c>
      <c r="K410" s="19">
        <f>IF(AND(ISNUMBER(F410),ISNUMBER(G410)),(G410-F410)*1440,"")</f>
        <v/>
      </c>
      <c r="L410" s="19">
        <f>IF(AND(ISNUMBER(H410),ISNUMBER(I410)),(I410-H410)*1440,"")</f>
        <v/>
      </c>
      <c r="M410" s="15">
        <f>IF(ISNUMBER(F410),HOUR(F410),"")</f>
        <v/>
      </c>
    </row>
    <row r="411" ht="15.75" customHeight="1" s="36">
      <c r="A411" s="2" t="n">
        <v>408</v>
      </c>
      <c r="B411" s="12" t="n">
        <v>46094</v>
      </c>
      <c r="C411" s="14" t="inlineStr">
        <is>
          <t>V-139</t>
        </is>
      </c>
      <c r="D411" s="14" t="inlineStr">
        <is>
          <t>Turno virtual</t>
        </is>
      </c>
      <c r="E411" s="14" t="inlineStr">
        <is>
          <t>S</t>
        </is>
      </c>
      <c r="F411" s="18" t="n">
        <v>0.5504151884722221</v>
      </c>
      <c r="G411" s="18" t="n">
        <v>0.5504151884722221</v>
      </c>
      <c r="H411" s="18" t="n">
        <v>0.5504499106944444</v>
      </c>
      <c r="I411" s="18" t="n">
        <v>0.5521860218055555</v>
      </c>
      <c r="J411" s="14" t="n">
        <v>3</v>
      </c>
      <c r="K411" s="19">
        <f>IF(AND(ISNUMBER(F411),ISNUMBER(G411)),(G411-F411)*1440,"")</f>
        <v/>
      </c>
      <c r="L411" s="19">
        <f>IF(AND(ISNUMBER(H411),ISNUMBER(I411)),(I411-H411)*1440,"")</f>
        <v/>
      </c>
      <c r="M411" s="15">
        <f>IF(ISNUMBER(F411),HOUR(F411),"")</f>
        <v/>
      </c>
    </row>
    <row r="412" ht="15.75" customHeight="1" s="36">
      <c r="A412" s="2" t="n">
        <v>409</v>
      </c>
      <c r="B412" s="12" t="n">
        <v>46094</v>
      </c>
      <c r="C412" s="14" t="inlineStr">
        <is>
          <t>V-140</t>
        </is>
      </c>
      <c r="D412" s="14" t="inlineStr">
        <is>
          <t>Turno virtual</t>
        </is>
      </c>
      <c r="E412" s="14" t="inlineStr">
        <is>
          <t>N</t>
        </is>
      </c>
      <c r="F412" s="18" t="n">
        <v>0.5526678092939814</v>
      </c>
      <c r="G412" s="18" t="n">
        <v>0.5526678092939814</v>
      </c>
      <c r="H412" s="18" t="n">
        <v>0.5527025315162036</v>
      </c>
      <c r="I412" s="18" t="n">
        <v>0.5545775315162037</v>
      </c>
      <c r="J412" s="14" t="n">
        <v>3</v>
      </c>
      <c r="K412" s="19">
        <f>IF(AND(ISNUMBER(F412),ISNUMBER(G412)),(G412-F412)*1440,"")</f>
        <v/>
      </c>
      <c r="L412" s="19">
        <f>IF(AND(ISNUMBER(H412),ISNUMBER(I412)),(I412-H412)*1440,"")</f>
        <v/>
      </c>
      <c r="M412" s="15">
        <f>IF(ISNUMBER(F412),HOUR(F412),"")</f>
        <v/>
      </c>
    </row>
    <row r="413" ht="15.75" customHeight="1" s="36">
      <c r="A413" s="2" t="n">
        <v>410</v>
      </c>
      <c r="B413" s="12" t="n">
        <v>46094</v>
      </c>
      <c r="C413" s="14" t="inlineStr">
        <is>
          <t>V-146</t>
        </is>
      </c>
      <c r="D413" s="14" t="inlineStr">
        <is>
          <t>Turno virtual</t>
        </is>
      </c>
      <c r="E413" s="14" t="inlineStr">
        <is>
          <t>N</t>
        </is>
      </c>
      <c r="F413" s="18" t="n">
        <v>0.5846870001967592</v>
      </c>
      <c r="G413" s="18" t="n">
        <v>0.5847832487731481</v>
      </c>
      <c r="H413" s="18" t="n">
        <v>0.5847948228472222</v>
      </c>
      <c r="I413" s="18" t="n">
        <v>0.5862994524768519</v>
      </c>
      <c r="J413" s="14" t="n">
        <v>3</v>
      </c>
      <c r="K413" s="19">
        <f>IF(AND(ISNUMBER(F413),ISNUMBER(G413)),(G413-F413)*1440,"")</f>
        <v/>
      </c>
      <c r="L413" s="19">
        <f>IF(AND(ISNUMBER(H413),ISNUMBER(I413)),(I413-H413)*1440,"")</f>
        <v/>
      </c>
      <c r="M413" s="15">
        <f>IF(ISNUMBER(F413),HOUR(F413),"")</f>
        <v/>
      </c>
    </row>
    <row r="414" ht="15.75" customHeight="1" s="36">
      <c r="A414" s="2" t="n">
        <v>411</v>
      </c>
      <c r="B414" s="12" t="n">
        <v>46094</v>
      </c>
      <c r="C414" s="14" t="inlineStr">
        <is>
          <t>P-122</t>
        </is>
      </c>
      <c r="D414" s="14" t="inlineStr">
        <is>
          <t>Pendientes</t>
        </is>
      </c>
      <c r="E414" s="14" t="inlineStr">
        <is>
          <t>N</t>
        </is>
      </c>
      <c r="F414" s="18" t="n">
        <v>0.5856336490972222</v>
      </c>
      <c r="G414" s="18" t="n">
        <v>0.5858563797800926</v>
      </c>
      <c r="H414" s="18" t="n">
        <v>0.5858795279282407</v>
      </c>
      <c r="I414" s="18" t="n">
        <v>0.5864235094097222</v>
      </c>
      <c r="J414" s="14" t="n">
        <v>4</v>
      </c>
      <c r="K414" s="19">
        <f>IF(AND(ISNUMBER(F414),ISNUMBER(G414)),(G414-F414)*1440,"")</f>
        <v/>
      </c>
      <c r="L414" s="19">
        <f>IF(AND(ISNUMBER(H414),ISNUMBER(I414)),(I414-H414)*1440,"")</f>
        <v/>
      </c>
      <c r="M414" s="15">
        <f>IF(ISNUMBER(F414),HOUR(F414),"")</f>
        <v/>
      </c>
    </row>
    <row r="415" ht="15.75" customHeight="1" s="36">
      <c r="A415" s="2" t="n">
        <v>412</v>
      </c>
      <c r="B415" s="12" t="n">
        <v>46094</v>
      </c>
      <c r="C415" s="14" t="inlineStr">
        <is>
          <t>D-218</t>
        </is>
      </c>
      <c r="D415" s="14" t="inlineStr">
        <is>
          <t>Dispensación</t>
        </is>
      </c>
      <c r="E415" s="14" t="inlineStr">
        <is>
          <t>N</t>
        </is>
      </c>
      <c r="F415" s="18" t="n">
        <v>0.5874552142708332</v>
      </c>
      <c r="G415" s="18" t="n">
        <v>0.5887215748958333</v>
      </c>
      <c r="H415" s="18" t="n">
        <v>0.5887447230439814</v>
      </c>
      <c r="I415" s="18" t="n">
        <v>0.5936984267476851</v>
      </c>
      <c r="J415" s="14" t="n">
        <v>4</v>
      </c>
      <c r="K415" s="19">
        <f>IF(AND(ISNUMBER(F415),ISNUMBER(G415)),(G415-F415)*1440,"")</f>
        <v/>
      </c>
      <c r="L415" s="19">
        <f>IF(AND(ISNUMBER(H415),ISNUMBER(I415)),(I415-H415)*1440,"")</f>
        <v/>
      </c>
      <c r="M415" s="15">
        <f>IF(ISNUMBER(F415),HOUR(F415),"")</f>
        <v/>
      </c>
    </row>
    <row r="416" ht="15.75" customHeight="1" s="36">
      <c r="A416" s="2" t="n">
        <v>413</v>
      </c>
      <c r="B416" s="12" t="n">
        <v>46094</v>
      </c>
      <c r="C416" s="14" t="inlineStr">
        <is>
          <t>P-131</t>
        </is>
      </c>
      <c r="D416" s="14" t="inlineStr">
        <is>
          <t>Pendientes</t>
        </is>
      </c>
      <c r="E416" s="14" t="inlineStr">
        <is>
          <t>N</t>
        </is>
      </c>
      <c r="F416" s="18" t="n">
        <v>0.6171759681597222</v>
      </c>
      <c r="G416" s="18" t="n">
        <v>0.6171759681597222</v>
      </c>
      <c r="H416" s="18" t="n">
        <v>0.6171875422337962</v>
      </c>
      <c r="I416" s="18" t="n">
        <v>0.622604208900463</v>
      </c>
      <c r="J416" s="14" t="n">
        <v>1</v>
      </c>
      <c r="K416" s="19">
        <f>IF(AND(ISNUMBER(F416),ISNUMBER(G416)),(G416-F416)*1440,"")</f>
        <v/>
      </c>
      <c r="L416" s="19">
        <f>IF(AND(ISNUMBER(H416),ISNUMBER(I416)),(I416-H416)*1440,"")</f>
        <v/>
      </c>
      <c r="M416" s="15">
        <f>IF(ISNUMBER(F416),HOUR(F416),"")</f>
        <v/>
      </c>
    </row>
    <row r="417" ht="15.75" customHeight="1" s="36">
      <c r="A417" s="2" t="n">
        <v>414</v>
      </c>
      <c r="B417" s="12" t="n">
        <v>46094</v>
      </c>
      <c r="C417" s="14" t="inlineStr">
        <is>
          <t>P-133</t>
        </is>
      </c>
      <c r="D417" s="14" t="inlineStr">
        <is>
          <t>Pendientes</t>
        </is>
      </c>
      <c r="E417" s="14" t="inlineStr">
        <is>
          <t>N</t>
        </is>
      </c>
      <c r="F417" s="18" t="n">
        <v>0.6250432775694444</v>
      </c>
      <c r="G417" s="18" t="n">
        <v>0.6250432775694444</v>
      </c>
      <c r="H417" s="18" t="n">
        <v>0.6250664257175925</v>
      </c>
      <c r="I417" s="18" t="n">
        <v>0.6264668886805556</v>
      </c>
      <c r="J417" s="14" t="n">
        <v>1</v>
      </c>
      <c r="K417" s="19">
        <f>IF(AND(ISNUMBER(F417),ISNUMBER(G417)),(G417-F417)*1440,"")</f>
        <v/>
      </c>
      <c r="L417" s="19">
        <f>IF(AND(ISNUMBER(H417),ISNUMBER(I417)),(I417-H417)*1440,"")</f>
        <v/>
      </c>
      <c r="M417" s="15">
        <f>IF(ISNUMBER(F417),HOUR(F417),"")</f>
        <v/>
      </c>
    </row>
    <row r="418" ht="15.75" customHeight="1" s="36">
      <c r="A418" s="2" t="n">
        <v>415</v>
      </c>
      <c r="B418" s="12" t="n">
        <v>46094</v>
      </c>
      <c r="C418" s="14" t="inlineStr">
        <is>
          <t>D-252</t>
        </is>
      </c>
      <c r="D418" s="14" t="inlineStr">
        <is>
          <t>Dispensación</t>
        </is>
      </c>
      <c r="E418" s="14" t="inlineStr">
        <is>
          <t>N</t>
        </is>
      </c>
      <c r="F418" s="18" t="n">
        <v>0.6375578776851852</v>
      </c>
      <c r="G418" s="18" t="n">
        <v>0.6393256849768518</v>
      </c>
      <c r="H418" s="18" t="n">
        <v>0.639348833125</v>
      </c>
      <c r="I418" s="18" t="n">
        <v>0.6439090183101852</v>
      </c>
      <c r="J418" s="14" t="n">
        <v>1</v>
      </c>
      <c r="K418" s="19">
        <f>IF(AND(ISNUMBER(F418),ISNUMBER(G418)),(G418-F418)*1440,"")</f>
        <v/>
      </c>
      <c r="L418" s="19">
        <f>IF(AND(ISNUMBER(H418),ISNUMBER(I418)),(I418-H418)*1440,"")</f>
        <v/>
      </c>
      <c r="M418" s="15">
        <f>IF(ISNUMBER(F418),HOUR(F418),"")</f>
        <v/>
      </c>
    </row>
    <row r="419" ht="15.75" customHeight="1" s="36">
      <c r="A419" s="2" t="n">
        <v>416</v>
      </c>
      <c r="B419" s="12" t="n">
        <v>46094</v>
      </c>
      <c r="C419" s="14" t="inlineStr">
        <is>
          <t>P-146</t>
        </is>
      </c>
      <c r="D419" s="14" t="inlineStr">
        <is>
          <t>Pendientes</t>
        </is>
      </c>
      <c r="E419" s="14" t="inlineStr">
        <is>
          <t>S</t>
        </is>
      </c>
      <c r="F419" s="18" t="n">
        <v>0.6615411443634259</v>
      </c>
      <c r="G419" s="18" t="n">
        <v>0.6615411443634259</v>
      </c>
      <c r="H419" s="18" t="n">
        <v>0.6615642925115741</v>
      </c>
      <c r="I419" s="18" t="n">
        <v>0.6653605888078704</v>
      </c>
      <c r="J419" s="14" t="n">
        <v>4</v>
      </c>
      <c r="K419" s="19">
        <f>IF(AND(ISNUMBER(F419),ISNUMBER(G419)),(G419-F419)*1440,"")</f>
        <v/>
      </c>
      <c r="L419" s="19">
        <f>IF(AND(ISNUMBER(H419),ISNUMBER(I419)),(I419-H419)*1440,"")</f>
        <v/>
      </c>
      <c r="M419" s="15">
        <f>IF(ISNUMBER(F419),HOUR(F419),"")</f>
        <v/>
      </c>
    </row>
    <row r="420" ht="15.75" customHeight="1" s="36">
      <c r="A420" s="2" t="n">
        <v>417</v>
      </c>
      <c r="B420" s="12" t="n">
        <v>46094</v>
      </c>
      <c r="C420" s="14" t="inlineStr">
        <is>
          <t>D-264</t>
        </is>
      </c>
      <c r="D420" s="14" t="inlineStr">
        <is>
          <t>Dispensación</t>
        </is>
      </c>
      <c r="E420" s="14" t="inlineStr">
        <is>
          <t>N</t>
        </is>
      </c>
      <c r="F420" s="18" t="n">
        <v>0.6637729796643518</v>
      </c>
      <c r="G420" s="18" t="n">
        <v>0.6643297777662037</v>
      </c>
      <c r="H420" s="18" t="n">
        <v>0.6643644999884259</v>
      </c>
      <c r="I420" s="18" t="n">
        <v>0.6657418148032407</v>
      </c>
      <c r="J420" s="14" t="n">
        <v>2</v>
      </c>
      <c r="K420" s="19">
        <f>IF(AND(ISNUMBER(F420),ISNUMBER(G420)),(G420-F420)*1440,"")</f>
        <v/>
      </c>
      <c r="L420" s="19">
        <f>IF(AND(ISNUMBER(H420),ISNUMBER(I420)),(I420-H420)*1440,"")</f>
        <v/>
      </c>
      <c r="M420" s="15">
        <f>IF(ISNUMBER(F420),HOUR(F420),"")</f>
        <v/>
      </c>
    </row>
    <row r="421" ht="15.75" customHeight="1" s="36">
      <c r="A421" s="2" t="n">
        <v>418</v>
      </c>
      <c r="B421" s="12" t="n">
        <v>46094</v>
      </c>
      <c r="C421" s="14" t="inlineStr">
        <is>
          <t>V-189</t>
        </is>
      </c>
      <c r="D421" s="14" t="inlineStr">
        <is>
          <t>Turno virtual</t>
        </is>
      </c>
      <c r="E421" s="14" t="inlineStr">
        <is>
          <t>N</t>
        </is>
      </c>
      <c r="F421" s="18" t="n">
        <v>0.67040328375</v>
      </c>
      <c r="G421" s="18" t="n">
        <v>0.6723860517708333</v>
      </c>
      <c r="H421" s="18" t="n">
        <v>0.6723976258449074</v>
      </c>
      <c r="I421" s="18" t="n">
        <v>0.6737749406597222</v>
      </c>
      <c r="J421" s="14" t="n">
        <v>4</v>
      </c>
      <c r="K421" s="19">
        <f>IF(AND(ISNUMBER(F421),ISNUMBER(G421)),(G421-F421)*1440,"")</f>
        <v/>
      </c>
      <c r="L421" s="19">
        <f>IF(AND(ISNUMBER(H421),ISNUMBER(I421)),(I421-H421)*1440,"")</f>
        <v/>
      </c>
      <c r="M421" s="15">
        <f>IF(ISNUMBER(F421),HOUR(F421),"")</f>
        <v/>
      </c>
    </row>
    <row r="422" ht="15.75" customHeight="1" s="36">
      <c r="A422" s="2" t="n">
        <v>419</v>
      </c>
      <c r="B422" s="12" t="n">
        <v>46094</v>
      </c>
      <c r="C422" s="14" t="inlineStr">
        <is>
          <t>P-153</t>
        </is>
      </c>
      <c r="D422" s="14" t="inlineStr">
        <is>
          <t>Pendientes</t>
        </is>
      </c>
      <c r="E422" s="14" t="inlineStr">
        <is>
          <t>N</t>
        </is>
      </c>
      <c r="F422" s="18" t="n">
        <v>0.6858691396759259</v>
      </c>
      <c r="G422" s="18" t="n">
        <v>0.6858691396759259</v>
      </c>
      <c r="H422" s="18" t="n">
        <v>0.68588071375</v>
      </c>
      <c r="I422" s="18" t="n">
        <v>0.6864709915277778</v>
      </c>
      <c r="J422" s="14" t="n">
        <v>4</v>
      </c>
      <c r="K422" s="19">
        <f>IF(AND(ISNUMBER(F422),ISNUMBER(G422)),(G422-F422)*1440,"")</f>
        <v/>
      </c>
      <c r="L422" s="19">
        <f>IF(AND(ISNUMBER(H422),ISNUMBER(I422)),(I422-H422)*1440,"")</f>
        <v/>
      </c>
      <c r="M422" s="15">
        <f>IF(ISNUMBER(F422),HOUR(F422),"")</f>
        <v/>
      </c>
    </row>
    <row r="423" ht="15.75" customHeight="1" s="36">
      <c r="A423" s="2" t="n">
        <v>420</v>
      </c>
      <c r="B423" s="12" t="n">
        <v>46094</v>
      </c>
      <c r="C423" s="14" t="inlineStr">
        <is>
          <t>D-277</t>
        </is>
      </c>
      <c r="D423" s="14" t="inlineStr">
        <is>
          <t>Dispensación</t>
        </is>
      </c>
      <c r="E423" s="14" t="inlineStr">
        <is>
          <t>N</t>
        </is>
      </c>
      <c r="F423" s="18" t="n">
        <v>0.6926188425925925</v>
      </c>
      <c r="G423" s="18" t="n">
        <v>0.6926188425925925</v>
      </c>
      <c r="H423" s="18" t="n">
        <v>0.6926304166666666</v>
      </c>
      <c r="I423" s="18" t="n">
        <v>0.6933711574074074</v>
      </c>
      <c r="J423" s="14" t="n">
        <v>3</v>
      </c>
      <c r="K423" s="19">
        <f>IF(AND(ISNUMBER(F423),ISNUMBER(G423)),(G423-F423)*1440,"")</f>
        <v/>
      </c>
      <c r="L423" s="19">
        <f>IF(AND(ISNUMBER(H423),ISNUMBER(I423)),(I423-H423)*1440,"")</f>
        <v/>
      </c>
      <c r="M423" s="15">
        <f>IF(ISNUMBER(F423),HOUR(F423),"")</f>
        <v/>
      </c>
    </row>
    <row r="424" ht="15.75" customHeight="1" s="36">
      <c r="A424" s="2" t="n"/>
      <c r="B424" s="12" t="n"/>
      <c r="C424" s="14" t="n"/>
      <c r="D424" s="14" t="n"/>
      <c r="E424" s="14" t="n"/>
      <c r="F424" s="18" t="n"/>
      <c r="G424" s="18" t="n"/>
      <c r="H424" s="18" t="n"/>
      <c r="I424" s="18" t="n"/>
      <c r="J424" s="14" t="n"/>
      <c r="K424" s="19">
        <f>IF(AND(ISNUMBER(F424),ISNUMBER(G424)),(G424-F424)*1440,"")</f>
        <v/>
      </c>
      <c r="L424" s="19">
        <f>IF(AND(ISNUMBER(H424),ISNUMBER(I424)),(I424-H424)*1440,"")</f>
        <v/>
      </c>
      <c r="M424" s="15">
        <f>IF(ISNUMBER(F424),HOUR(F424),"")</f>
        <v/>
      </c>
    </row>
    <row r="425" ht="15.75" customHeight="1" s="36">
      <c r="A425" s="2" t="n"/>
      <c r="B425" s="12" t="n"/>
      <c r="C425" s="14" t="n"/>
      <c r="D425" s="14" t="n"/>
      <c r="E425" s="14" t="n"/>
      <c r="F425" s="18" t="n"/>
      <c r="G425" s="18" t="n"/>
      <c r="H425" s="18" t="n"/>
      <c r="I425" s="18" t="n"/>
      <c r="J425" s="14" t="n"/>
      <c r="K425" s="19">
        <f>IF(AND(ISNUMBER(F425),ISNUMBER(G425)),(G425-F425)*1440,"")</f>
        <v/>
      </c>
      <c r="L425" s="19">
        <f>IF(AND(ISNUMBER(H425),ISNUMBER(I425)),(I425-H425)*1440,"")</f>
        <v/>
      </c>
      <c r="M425" s="15">
        <f>IF(ISNUMBER(F425),HOUR(F425),"")</f>
        <v/>
      </c>
    </row>
    <row r="426" ht="15.75" customHeight="1" s="36">
      <c r="A426" s="2" t="n"/>
      <c r="B426" s="12" t="n"/>
      <c r="C426" s="14" t="n"/>
      <c r="D426" s="14" t="n"/>
      <c r="E426" s="14" t="n"/>
      <c r="F426" s="18" t="n"/>
      <c r="G426" s="18" t="n"/>
      <c r="H426" s="18" t="n"/>
      <c r="I426" s="18" t="n"/>
      <c r="J426" s="14" t="n"/>
      <c r="K426" s="19">
        <f>IF(AND(ISNUMBER(F426),ISNUMBER(G426)),(G426-F426)*1440,"")</f>
        <v/>
      </c>
      <c r="L426" s="19">
        <f>IF(AND(ISNUMBER(H426),ISNUMBER(I426)),(I426-H426)*1440,"")</f>
        <v/>
      </c>
      <c r="M426" s="15">
        <f>IF(ISNUMBER(F426),HOUR(F426),"")</f>
        <v/>
      </c>
    </row>
    <row r="427" ht="15.75" customHeight="1" s="36">
      <c r="A427" s="2" t="n"/>
      <c r="B427" s="12" t="n"/>
      <c r="C427" s="14" t="n"/>
      <c r="D427" s="14" t="n"/>
      <c r="E427" s="14" t="n"/>
      <c r="F427" s="18" t="n"/>
      <c r="G427" s="18" t="n"/>
      <c r="H427" s="18" t="n"/>
      <c r="I427" s="18" t="n"/>
      <c r="J427" s="14" t="n"/>
      <c r="K427" s="19">
        <f>IF(AND(ISNUMBER(F427),ISNUMBER(G427)),(G427-F427)*1440,"")</f>
        <v/>
      </c>
      <c r="L427" s="19">
        <f>IF(AND(ISNUMBER(H427),ISNUMBER(I427)),(I427-H427)*1440,"")</f>
        <v/>
      </c>
      <c r="M427" s="15">
        <f>IF(ISNUMBER(F427),HOUR(F427),"")</f>
        <v/>
      </c>
    </row>
    <row r="428" ht="15.75" customHeight="1" s="36">
      <c r="A428" s="2" t="n"/>
      <c r="B428" s="12" t="n"/>
      <c r="C428" s="14" t="n"/>
      <c r="D428" s="14" t="n"/>
      <c r="E428" s="14" t="n"/>
      <c r="F428" s="18" t="n"/>
      <c r="G428" s="18" t="n"/>
      <c r="H428" s="18" t="n"/>
      <c r="I428" s="18" t="n"/>
      <c r="J428" s="14" t="n"/>
      <c r="K428" s="19">
        <f>IF(AND(ISNUMBER(F428),ISNUMBER(G428)),(G428-F428)*1440,"")</f>
        <v/>
      </c>
      <c r="L428" s="19">
        <f>IF(AND(ISNUMBER(H428),ISNUMBER(I428)),(I428-H428)*1440,"")</f>
        <v/>
      </c>
      <c r="M428" s="15">
        <f>IF(ISNUMBER(F428),HOUR(F428),"")</f>
        <v/>
      </c>
    </row>
    <row r="429" ht="15.75" customHeight="1" s="36">
      <c r="A429" s="2" t="n"/>
      <c r="B429" s="12" t="n"/>
      <c r="C429" s="14" t="n"/>
      <c r="D429" s="14" t="n"/>
      <c r="E429" s="14" t="n"/>
      <c r="F429" s="18" t="n"/>
      <c r="G429" s="18" t="n"/>
      <c r="H429" s="18" t="n"/>
      <c r="I429" s="18" t="n"/>
      <c r="J429" s="14" t="n"/>
      <c r="K429" s="19">
        <f>IF(AND(ISNUMBER(F429),ISNUMBER(G429)),(G429-F429)*1440,"")</f>
        <v/>
      </c>
      <c r="L429" s="19">
        <f>IF(AND(ISNUMBER(H429),ISNUMBER(I429)),(I429-H429)*1440,"")</f>
        <v/>
      </c>
      <c r="M429" s="15">
        <f>IF(ISNUMBER(F429),HOUR(F429),"")</f>
        <v/>
      </c>
    </row>
    <row r="430" ht="15.75" customHeight="1" s="36">
      <c r="A430" s="2" t="n"/>
      <c r="B430" s="12" t="n"/>
      <c r="C430" s="14" t="n"/>
      <c r="D430" s="14" t="n"/>
      <c r="E430" s="14" t="n"/>
      <c r="F430" s="18" t="n"/>
      <c r="G430" s="18" t="n"/>
      <c r="H430" s="18" t="n"/>
      <c r="I430" s="18" t="n"/>
      <c r="J430" s="14" t="n"/>
      <c r="K430" s="19">
        <f>IF(AND(ISNUMBER(F430),ISNUMBER(G430)),(G430-F430)*1440,"")</f>
        <v/>
      </c>
      <c r="L430" s="19">
        <f>IF(AND(ISNUMBER(H430),ISNUMBER(I430)),(I430-H430)*1440,"")</f>
        <v/>
      </c>
      <c r="M430" s="15">
        <f>IF(ISNUMBER(F430),HOUR(F430),"")</f>
        <v/>
      </c>
    </row>
    <row r="431" ht="15.75" customHeight="1" s="36">
      <c r="A431" s="2" t="n"/>
      <c r="B431" s="12" t="n"/>
      <c r="C431" s="14" t="n"/>
      <c r="D431" s="14" t="n"/>
      <c r="E431" s="14" t="n"/>
      <c r="F431" s="18" t="n"/>
      <c r="G431" s="18" t="n"/>
      <c r="H431" s="18" t="n"/>
      <c r="I431" s="18" t="n"/>
      <c r="J431" s="14" t="n"/>
      <c r="K431" s="19">
        <f>IF(AND(ISNUMBER(F431),ISNUMBER(G431)),(G431-F431)*1440,"")</f>
        <v/>
      </c>
      <c r="L431" s="19">
        <f>IF(AND(ISNUMBER(H431),ISNUMBER(I431)),(I431-H431)*1440,"")</f>
        <v/>
      </c>
      <c r="M431" s="15">
        <f>IF(ISNUMBER(F431),HOUR(F431),"")</f>
        <v/>
      </c>
    </row>
    <row r="432" ht="15.75" customHeight="1" s="36">
      <c r="A432" s="2" t="n"/>
      <c r="B432" s="12" t="n"/>
      <c r="C432" s="14" t="n"/>
      <c r="D432" s="14" t="n"/>
      <c r="E432" s="14" t="n"/>
      <c r="F432" s="18" t="n"/>
      <c r="G432" s="18" t="n"/>
      <c r="H432" s="18" t="n"/>
      <c r="I432" s="18" t="n"/>
      <c r="J432" s="14" t="n"/>
      <c r="K432" s="19">
        <f>IF(AND(ISNUMBER(F432),ISNUMBER(G432)),(G432-F432)*1440,"")</f>
        <v/>
      </c>
      <c r="L432" s="19">
        <f>IF(AND(ISNUMBER(H432),ISNUMBER(I432)),(I432-H432)*1440,"")</f>
        <v/>
      </c>
      <c r="M432" s="15">
        <f>IF(ISNUMBER(F432),HOUR(F432),"")</f>
        <v/>
      </c>
    </row>
    <row r="433" ht="15.75" customHeight="1" s="36">
      <c r="A433" s="2" t="n"/>
      <c r="B433" s="12" t="n"/>
      <c r="C433" s="14" t="n"/>
      <c r="D433" s="14" t="n"/>
      <c r="E433" s="14" t="n"/>
      <c r="F433" s="18" t="n"/>
      <c r="G433" s="18" t="n"/>
      <c r="H433" s="18" t="n"/>
      <c r="I433" s="18" t="n"/>
      <c r="J433" s="14" t="n"/>
      <c r="K433" s="19">
        <f>IF(AND(ISNUMBER(F433),ISNUMBER(G433)),(G433-F433)*1440,"")</f>
        <v/>
      </c>
      <c r="L433" s="19">
        <f>IF(AND(ISNUMBER(H433),ISNUMBER(I433)),(I433-H433)*1440,"")</f>
        <v/>
      </c>
      <c r="M433" s="15">
        <f>IF(ISNUMBER(F433),HOUR(F433),"")</f>
        <v/>
      </c>
    </row>
    <row r="434" ht="15.75" customHeight="1" s="36">
      <c r="A434" s="2" t="n"/>
      <c r="B434" s="12" t="n"/>
      <c r="C434" s="14" t="n"/>
      <c r="D434" s="14" t="n"/>
      <c r="E434" s="14" t="n"/>
      <c r="F434" s="18" t="n"/>
      <c r="G434" s="18" t="n"/>
      <c r="H434" s="18" t="n"/>
      <c r="I434" s="18" t="n"/>
      <c r="J434" s="14" t="n"/>
      <c r="K434" s="19">
        <f>IF(AND(ISNUMBER(F434),ISNUMBER(G434)),(G434-F434)*1440,"")</f>
        <v/>
      </c>
      <c r="L434" s="19">
        <f>IF(AND(ISNUMBER(H434),ISNUMBER(I434)),(I434-H434)*1440,"")</f>
        <v/>
      </c>
      <c r="M434" s="15">
        <f>IF(ISNUMBER(F434),HOUR(F434),"")</f>
        <v/>
      </c>
    </row>
    <row r="435" ht="15.75" customHeight="1" s="36">
      <c r="A435" s="2" t="n"/>
      <c r="B435" s="12" t="n"/>
      <c r="C435" s="14" t="n"/>
      <c r="D435" s="14" t="n"/>
      <c r="E435" s="14" t="n"/>
      <c r="F435" s="18" t="n"/>
      <c r="G435" s="18" t="n"/>
      <c r="H435" s="18" t="n"/>
      <c r="I435" s="18" t="n"/>
      <c r="J435" s="14" t="n"/>
      <c r="K435" s="19">
        <f>IF(AND(ISNUMBER(F435),ISNUMBER(G435)),(G435-F435)*1440,"")</f>
        <v/>
      </c>
      <c r="L435" s="19">
        <f>IF(AND(ISNUMBER(H435),ISNUMBER(I435)),(I435-H435)*1440,"")</f>
        <v/>
      </c>
      <c r="M435" s="15">
        <f>IF(ISNUMBER(F435),HOUR(F435),"")</f>
        <v/>
      </c>
    </row>
    <row r="436" ht="15.75" customHeight="1" s="36">
      <c r="A436" s="2" t="n"/>
      <c r="B436" s="12" t="n"/>
      <c r="C436" s="14" t="n"/>
      <c r="D436" s="14" t="n"/>
      <c r="E436" s="14" t="n"/>
      <c r="F436" s="18" t="n"/>
      <c r="G436" s="18" t="n"/>
      <c r="H436" s="18" t="n"/>
      <c r="I436" s="18" t="n"/>
      <c r="J436" s="14" t="n"/>
      <c r="K436" s="19">
        <f>IF(AND(ISNUMBER(F436),ISNUMBER(G436)),(G436-F436)*1440,"")</f>
        <v/>
      </c>
      <c r="L436" s="19">
        <f>IF(AND(ISNUMBER(H436),ISNUMBER(I436)),(I436-H436)*1440,"")</f>
        <v/>
      </c>
      <c r="M436" s="15">
        <f>IF(ISNUMBER(F436),HOUR(F436),"")</f>
        <v/>
      </c>
    </row>
    <row r="437" ht="15.75" customHeight="1" s="36">
      <c r="A437" s="2" t="n"/>
      <c r="B437" s="12" t="n"/>
      <c r="C437" s="14" t="n"/>
      <c r="D437" s="14" t="n"/>
      <c r="E437" s="14" t="n"/>
      <c r="F437" s="18" t="n"/>
      <c r="G437" s="18" t="n"/>
      <c r="H437" s="18" t="n"/>
      <c r="I437" s="18" t="n"/>
      <c r="J437" s="14" t="n"/>
      <c r="K437" s="19">
        <f>IF(AND(ISNUMBER(F437),ISNUMBER(G437)),(G437-F437)*1440,"")</f>
        <v/>
      </c>
      <c r="L437" s="19">
        <f>IF(AND(ISNUMBER(H437),ISNUMBER(I437)),(I437-H437)*1440,"")</f>
        <v/>
      </c>
      <c r="M437" s="15">
        <f>IF(ISNUMBER(F437),HOUR(F437),"")</f>
        <v/>
      </c>
    </row>
    <row r="438" ht="15.75" customHeight="1" s="36">
      <c r="A438" s="2" t="n"/>
      <c r="B438" s="12" t="n"/>
      <c r="C438" s="14" t="n"/>
      <c r="D438" s="14" t="n"/>
      <c r="E438" s="14" t="n"/>
      <c r="F438" s="18" t="n"/>
      <c r="G438" s="18" t="n"/>
      <c r="H438" s="18" t="n"/>
      <c r="I438" s="18" t="n"/>
      <c r="J438" s="14" t="n"/>
      <c r="K438" s="19">
        <f>IF(AND(ISNUMBER(F438),ISNUMBER(G438)),(G438-F438)*1440,"")</f>
        <v/>
      </c>
      <c r="L438" s="19">
        <f>IF(AND(ISNUMBER(H438),ISNUMBER(I438)),(I438-H438)*1440,"")</f>
        <v/>
      </c>
      <c r="M438" s="15">
        <f>IF(ISNUMBER(F438),HOUR(F438),"")</f>
        <v/>
      </c>
    </row>
    <row r="439" ht="15.75" customHeight="1" s="36">
      <c r="A439" s="2" t="n"/>
      <c r="B439" s="12" t="n"/>
      <c r="C439" s="14" t="n"/>
      <c r="D439" s="14" t="n"/>
      <c r="E439" s="14" t="n"/>
      <c r="F439" s="18" t="n"/>
      <c r="G439" s="18" t="n"/>
      <c r="H439" s="18" t="n"/>
      <c r="I439" s="18" t="n"/>
      <c r="J439" s="14" t="n"/>
      <c r="K439" s="19">
        <f>IF(AND(ISNUMBER(F439),ISNUMBER(G439)),(G439-F439)*1440,"")</f>
        <v/>
      </c>
      <c r="L439" s="19">
        <f>IF(AND(ISNUMBER(H439),ISNUMBER(I439)),(I439-H439)*1440,"")</f>
        <v/>
      </c>
      <c r="M439" s="15">
        <f>IF(ISNUMBER(F439),HOUR(F439),"")</f>
        <v/>
      </c>
    </row>
    <row r="440" ht="15.75" customHeight="1" s="36">
      <c r="A440" s="2" t="n"/>
      <c r="B440" s="12" t="n"/>
      <c r="C440" s="14" t="n"/>
      <c r="D440" s="14" t="n"/>
      <c r="E440" s="14" t="n"/>
      <c r="F440" s="18" t="n"/>
      <c r="G440" s="18" t="n"/>
      <c r="H440" s="18" t="n"/>
      <c r="I440" s="18" t="n"/>
      <c r="J440" s="14" t="n"/>
      <c r="K440" s="19">
        <f>IF(AND(ISNUMBER(F440),ISNUMBER(G440)),(G440-F440)*1440,"")</f>
        <v/>
      </c>
      <c r="L440" s="19">
        <f>IF(AND(ISNUMBER(H440),ISNUMBER(I440)),(I440-H440)*1440,"")</f>
        <v/>
      </c>
      <c r="M440" s="15">
        <f>IF(ISNUMBER(F440),HOUR(F440),"")</f>
        <v/>
      </c>
    </row>
    <row r="441" ht="15.75" customHeight="1" s="36">
      <c r="A441" s="2" t="n"/>
      <c r="B441" s="12" t="n"/>
      <c r="C441" s="14" t="n"/>
      <c r="D441" s="14" t="n"/>
      <c r="E441" s="14" t="n"/>
      <c r="F441" s="18" t="n"/>
      <c r="G441" s="18" t="n"/>
      <c r="H441" s="18" t="n"/>
      <c r="I441" s="18" t="n"/>
      <c r="J441" s="14" t="n"/>
      <c r="K441" s="19">
        <f>IF(AND(ISNUMBER(F441),ISNUMBER(G441)),(G441-F441)*1440,"")</f>
        <v/>
      </c>
      <c r="L441" s="19">
        <f>IF(AND(ISNUMBER(H441),ISNUMBER(I441)),(I441-H441)*1440,"")</f>
        <v/>
      </c>
      <c r="M441" s="15">
        <f>IF(ISNUMBER(F441),HOUR(F441),"")</f>
        <v/>
      </c>
    </row>
    <row r="442" ht="15.75" customHeight="1" s="36">
      <c r="A442" s="2" t="n"/>
      <c r="B442" s="12" t="n"/>
      <c r="C442" s="14" t="n"/>
      <c r="D442" s="14" t="n"/>
      <c r="E442" s="14" t="n"/>
      <c r="F442" s="18" t="n"/>
      <c r="G442" s="18" t="n"/>
      <c r="H442" s="18" t="n"/>
      <c r="I442" s="18" t="n"/>
      <c r="J442" s="14" t="n"/>
      <c r="K442" s="19">
        <f>IF(AND(ISNUMBER(F442),ISNUMBER(G442)),(G442-F442)*1440,"")</f>
        <v/>
      </c>
      <c r="L442" s="19">
        <f>IF(AND(ISNUMBER(H442),ISNUMBER(I442)),(I442-H442)*1440,"")</f>
        <v/>
      </c>
      <c r="M442" s="15">
        <f>IF(ISNUMBER(F442),HOUR(F442),"")</f>
        <v/>
      </c>
    </row>
    <row r="443" ht="15.75" customHeight="1" s="36">
      <c r="A443" s="2" t="n"/>
      <c r="B443" s="12" t="n"/>
      <c r="C443" s="14" t="n"/>
      <c r="D443" s="14" t="n"/>
      <c r="E443" s="14" t="n"/>
      <c r="F443" s="18" t="n"/>
      <c r="G443" s="18" t="n"/>
      <c r="H443" s="18" t="n"/>
      <c r="I443" s="18" t="n"/>
      <c r="J443" s="14" t="n"/>
      <c r="K443" s="19">
        <f>IF(AND(ISNUMBER(F443),ISNUMBER(G443)),(G443-F443)*1440,"")</f>
        <v/>
      </c>
      <c r="L443" s="19">
        <f>IF(AND(ISNUMBER(H443),ISNUMBER(I443)),(I443-H443)*1440,"")</f>
        <v/>
      </c>
      <c r="M443" s="15">
        <f>IF(ISNUMBER(F443),HOUR(F443),"")</f>
        <v/>
      </c>
    </row>
    <row r="444" ht="15.75" customHeight="1" s="36">
      <c r="A444" s="2" t="n"/>
      <c r="B444" s="12" t="n"/>
      <c r="C444" s="14" t="n"/>
      <c r="D444" s="14" t="n"/>
      <c r="E444" s="14" t="n"/>
      <c r="F444" s="18" t="n"/>
      <c r="G444" s="18" t="n"/>
      <c r="H444" s="18" t="n"/>
      <c r="I444" s="18" t="n"/>
      <c r="J444" s="14" t="n"/>
      <c r="K444" s="19">
        <f>IF(AND(ISNUMBER(F444),ISNUMBER(G444)),(G444-F444)*1440,"")</f>
        <v/>
      </c>
      <c r="L444" s="19">
        <f>IF(AND(ISNUMBER(H444),ISNUMBER(I444)),(I444-H444)*1440,"")</f>
        <v/>
      </c>
      <c r="M444" s="15">
        <f>IF(ISNUMBER(F444),HOUR(F444),"")</f>
        <v/>
      </c>
    </row>
    <row r="445" ht="15.75" customHeight="1" s="36">
      <c r="A445" s="2" t="n"/>
      <c r="B445" s="12" t="n"/>
      <c r="C445" s="14" t="n"/>
      <c r="D445" s="14" t="n"/>
      <c r="E445" s="14" t="n"/>
      <c r="F445" s="18" t="n"/>
      <c r="G445" s="18" t="n"/>
      <c r="H445" s="18" t="n"/>
      <c r="I445" s="18" t="n"/>
      <c r="J445" s="14" t="n"/>
      <c r="K445" s="19">
        <f>IF(AND(ISNUMBER(F445),ISNUMBER(G445)),(G445-F445)*1440,"")</f>
        <v/>
      </c>
      <c r="L445" s="19">
        <f>IF(AND(ISNUMBER(H445),ISNUMBER(I445)),(I445-H445)*1440,"")</f>
        <v/>
      </c>
      <c r="M445" s="15">
        <f>IF(ISNUMBER(F445),HOUR(F445),"")</f>
        <v/>
      </c>
    </row>
    <row r="446" ht="15.75" customHeight="1" s="36">
      <c r="A446" s="2" t="n"/>
      <c r="B446" s="12" t="n"/>
      <c r="C446" s="14" t="n"/>
      <c r="D446" s="14" t="n"/>
      <c r="E446" s="14" t="n"/>
      <c r="F446" s="18" t="n"/>
      <c r="G446" s="18" t="n"/>
      <c r="H446" s="18" t="n"/>
      <c r="I446" s="18" t="n"/>
      <c r="J446" s="14" t="n"/>
      <c r="K446" s="19">
        <f>IF(AND(ISNUMBER(F446),ISNUMBER(G446)),(G446-F446)*1440,"")</f>
        <v/>
      </c>
      <c r="L446" s="19">
        <f>IF(AND(ISNUMBER(H446),ISNUMBER(I446)),(I446-H446)*1440,"")</f>
        <v/>
      </c>
      <c r="M446" s="15">
        <f>IF(ISNUMBER(F446),HOUR(F446),"")</f>
        <v/>
      </c>
    </row>
    <row r="447" ht="15.75" customHeight="1" s="36">
      <c r="A447" s="2" t="n"/>
      <c r="B447" s="12" t="n"/>
      <c r="C447" s="14" t="n"/>
      <c r="D447" s="14" t="n"/>
      <c r="E447" s="14" t="n"/>
      <c r="F447" s="18" t="n"/>
      <c r="G447" s="18" t="n"/>
      <c r="H447" s="18" t="n"/>
      <c r="I447" s="18" t="n"/>
      <c r="J447" s="14" t="n"/>
      <c r="K447" s="19">
        <f>IF(AND(ISNUMBER(F447),ISNUMBER(G447)),(G447-F447)*1440,"")</f>
        <v/>
      </c>
      <c r="L447" s="19">
        <f>IF(AND(ISNUMBER(H447),ISNUMBER(I447)),(I447-H447)*1440,"")</f>
        <v/>
      </c>
      <c r="M447" s="15">
        <f>IF(ISNUMBER(F447),HOUR(F447),"")</f>
        <v/>
      </c>
    </row>
    <row r="448" ht="15.75" customHeight="1" s="36">
      <c r="A448" s="2" t="n"/>
      <c r="B448" s="12" t="n"/>
      <c r="C448" s="14" t="n"/>
      <c r="D448" s="14" t="n"/>
      <c r="E448" s="14" t="n"/>
      <c r="F448" s="18" t="n"/>
      <c r="G448" s="18" t="n"/>
      <c r="H448" s="18" t="n"/>
      <c r="I448" s="18" t="n"/>
      <c r="J448" s="14" t="n"/>
      <c r="K448" s="19">
        <f>IF(AND(ISNUMBER(F448),ISNUMBER(G448)),(G448-F448)*1440,"")</f>
        <v/>
      </c>
      <c r="L448" s="19">
        <f>IF(AND(ISNUMBER(H448),ISNUMBER(I448)),(I448-H448)*1440,"")</f>
        <v/>
      </c>
      <c r="M448" s="15">
        <f>IF(ISNUMBER(F448),HOUR(F448),"")</f>
        <v/>
      </c>
    </row>
    <row r="449" ht="15.75" customHeight="1" s="36">
      <c r="A449" s="2" t="n"/>
      <c r="B449" s="12" t="n"/>
      <c r="C449" s="14" t="n"/>
      <c r="D449" s="14" t="n"/>
      <c r="E449" s="14" t="n"/>
      <c r="F449" s="18" t="n"/>
      <c r="G449" s="18" t="n"/>
      <c r="H449" s="18" t="n"/>
      <c r="I449" s="18" t="n"/>
      <c r="J449" s="14" t="n"/>
      <c r="K449" s="19">
        <f>IF(AND(ISNUMBER(F449),ISNUMBER(G449)),(G449-F449)*1440,"")</f>
        <v/>
      </c>
      <c r="L449" s="19">
        <f>IF(AND(ISNUMBER(H449),ISNUMBER(I449)),(I449-H449)*1440,"")</f>
        <v/>
      </c>
      <c r="M449" s="15">
        <f>IF(ISNUMBER(F449),HOUR(F449),"")</f>
        <v/>
      </c>
    </row>
    <row r="450" ht="15.75" customHeight="1" s="36">
      <c r="A450" s="2" t="n"/>
      <c r="B450" s="12" t="n"/>
      <c r="C450" s="14" t="n"/>
      <c r="D450" s="14" t="n"/>
      <c r="E450" s="14" t="n"/>
      <c r="F450" s="18" t="n"/>
      <c r="G450" s="18" t="n"/>
      <c r="H450" s="18" t="n"/>
      <c r="I450" s="18" t="n"/>
      <c r="J450" s="14" t="n"/>
      <c r="K450" s="19">
        <f>IF(AND(ISNUMBER(F450),ISNUMBER(G450)),(G450-F450)*1440,"")</f>
        <v/>
      </c>
      <c r="L450" s="19">
        <f>IF(AND(ISNUMBER(H450),ISNUMBER(I450)),(I450-H450)*1440,"")</f>
        <v/>
      </c>
      <c r="M450" s="15">
        <f>IF(ISNUMBER(F450),HOUR(F450),"")</f>
        <v/>
      </c>
    </row>
    <row r="451" ht="15.75" customHeight="1" s="36">
      <c r="A451" s="2" t="n"/>
      <c r="B451" s="12" t="n"/>
      <c r="C451" s="14" t="n"/>
      <c r="D451" s="14" t="n"/>
      <c r="E451" s="14" t="n"/>
      <c r="F451" s="18" t="n"/>
      <c r="G451" s="18" t="n"/>
      <c r="H451" s="18" t="n"/>
      <c r="I451" s="18" t="n"/>
      <c r="J451" s="14" t="n"/>
      <c r="K451" s="19">
        <f>IF(AND(ISNUMBER(F451),ISNUMBER(G451)),(G451-F451)*1440,"")</f>
        <v/>
      </c>
      <c r="L451" s="19">
        <f>IF(AND(ISNUMBER(H451),ISNUMBER(I451)),(I451-H451)*1440,"")</f>
        <v/>
      </c>
      <c r="M451" s="15">
        <f>IF(ISNUMBER(F451),HOUR(F451),"")</f>
        <v/>
      </c>
    </row>
    <row r="452" ht="15.75" customHeight="1" s="36">
      <c r="A452" s="2" t="n"/>
      <c r="B452" s="12" t="n"/>
      <c r="C452" s="14" t="n"/>
      <c r="D452" s="14" t="n"/>
      <c r="E452" s="14" t="n"/>
      <c r="F452" s="18" t="n"/>
      <c r="G452" s="18" t="n"/>
      <c r="H452" s="18" t="n"/>
      <c r="I452" s="18" t="n"/>
      <c r="J452" s="14" t="n"/>
      <c r="K452" s="19">
        <f>IF(AND(ISNUMBER(F452),ISNUMBER(G452)),(G452-F452)*1440,"")</f>
        <v/>
      </c>
      <c r="L452" s="19">
        <f>IF(AND(ISNUMBER(H452),ISNUMBER(I452)),(I452-H452)*1440,"")</f>
        <v/>
      </c>
      <c r="M452" s="15">
        <f>IF(ISNUMBER(F452),HOUR(F452),"")</f>
        <v/>
      </c>
    </row>
    <row r="453" ht="15.75" customHeight="1" s="36">
      <c r="A453" s="2" t="n"/>
      <c r="B453" s="12" t="n"/>
      <c r="C453" s="14" t="n"/>
      <c r="D453" s="14" t="n"/>
      <c r="E453" s="14" t="n"/>
      <c r="F453" s="18" t="n"/>
      <c r="G453" s="18" t="n"/>
      <c r="H453" s="18" t="n"/>
      <c r="I453" s="18" t="n"/>
      <c r="J453" s="14" t="n"/>
      <c r="K453" s="19">
        <f>IF(AND(ISNUMBER(F453),ISNUMBER(G453)),(G453-F453)*1440,"")</f>
        <v/>
      </c>
      <c r="L453" s="19">
        <f>IF(AND(ISNUMBER(H453),ISNUMBER(I453)),(I453-H453)*1440,"")</f>
        <v/>
      </c>
      <c r="M453" s="15">
        <f>IF(ISNUMBER(F453),HOUR(F453),"")</f>
        <v/>
      </c>
    </row>
    <row r="454" ht="15.75" customHeight="1" s="36">
      <c r="A454" s="2" t="n"/>
      <c r="B454" s="12" t="n"/>
      <c r="C454" s="14" t="n"/>
      <c r="D454" s="14" t="n"/>
      <c r="E454" s="14" t="n"/>
      <c r="F454" s="18" t="n"/>
      <c r="G454" s="18" t="n"/>
      <c r="H454" s="18" t="n"/>
      <c r="I454" s="18" t="n"/>
      <c r="J454" s="14" t="n"/>
      <c r="K454" s="19">
        <f>IF(AND(ISNUMBER(F454),ISNUMBER(G454)),(G454-F454)*1440,"")</f>
        <v/>
      </c>
      <c r="L454" s="19">
        <f>IF(AND(ISNUMBER(H454),ISNUMBER(I454)),(I454-H454)*1440,"")</f>
        <v/>
      </c>
      <c r="M454" s="15">
        <f>IF(ISNUMBER(F454),HOUR(F454),"")</f>
        <v/>
      </c>
    </row>
    <row r="455" ht="15.75" customHeight="1" s="36">
      <c r="A455" s="2" t="n"/>
      <c r="B455" s="12" t="n"/>
      <c r="C455" s="14" t="n"/>
      <c r="D455" s="14" t="n"/>
      <c r="E455" s="14" t="n"/>
      <c r="F455" s="18" t="n"/>
      <c r="G455" s="18" t="n"/>
      <c r="H455" s="18" t="n"/>
      <c r="I455" s="18" t="n"/>
      <c r="J455" s="14" t="n"/>
      <c r="K455" s="19">
        <f>IF(AND(ISNUMBER(F455),ISNUMBER(G455)),(G455-F455)*1440,"")</f>
        <v/>
      </c>
      <c r="L455" s="19">
        <f>IF(AND(ISNUMBER(H455),ISNUMBER(I455)),(I455-H455)*1440,"")</f>
        <v/>
      </c>
      <c r="M455" s="15">
        <f>IF(ISNUMBER(F455),HOUR(F455),"")</f>
        <v/>
      </c>
    </row>
    <row r="456" ht="15.75" customHeight="1" s="36">
      <c r="A456" s="2" t="n"/>
      <c r="B456" s="12" t="n"/>
      <c r="C456" s="14" t="n"/>
      <c r="D456" s="14" t="n"/>
      <c r="E456" s="14" t="n"/>
      <c r="F456" s="18" t="n"/>
      <c r="G456" s="18" t="n"/>
      <c r="H456" s="18" t="n"/>
      <c r="I456" s="18" t="n"/>
      <c r="J456" s="14" t="n"/>
      <c r="K456" s="19">
        <f>IF(AND(ISNUMBER(F456),ISNUMBER(G456)),(G456-F456)*1440,"")</f>
        <v/>
      </c>
      <c r="L456" s="19">
        <f>IF(AND(ISNUMBER(H456),ISNUMBER(I456)),(I456-H456)*1440,"")</f>
        <v/>
      </c>
      <c r="M456" s="15">
        <f>IF(ISNUMBER(F456),HOUR(F456),"")</f>
        <v/>
      </c>
    </row>
    <row r="457" ht="15.75" customHeight="1" s="36">
      <c r="A457" s="2" t="n"/>
      <c r="B457" s="12" t="n"/>
      <c r="C457" s="14" t="n"/>
      <c r="D457" s="14" t="n"/>
      <c r="E457" s="14" t="n"/>
      <c r="F457" s="18" t="n"/>
      <c r="G457" s="18" t="n"/>
      <c r="H457" s="18" t="n"/>
      <c r="I457" s="18" t="n"/>
      <c r="J457" s="14" t="n"/>
      <c r="K457" s="19">
        <f>IF(AND(ISNUMBER(F457),ISNUMBER(G457)),(G457-F457)*1440,"")</f>
        <v/>
      </c>
      <c r="L457" s="19">
        <f>IF(AND(ISNUMBER(H457),ISNUMBER(I457)),(I457-H457)*1440,"")</f>
        <v/>
      </c>
      <c r="M457" s="15">
        <f>IF(ISNUMBER(F457),HOUR(F457),"")</f>
        <v/>
      </c>
    </row>
    <row r="458" ht="15.75" customHeight="1" s="36">
      <c r="A458" s="2" t="n"/>
      <c r="B458" s="12" t="n"/>
      <c r="C458" s="14" t="n"/>
      <c r="D458" s="14" t="n"/>
      <c r="E458" s="14" t="n"/>
      <c r="F458" s="18" t="n"/>
      <c r="G458" s="18" t="n"/>
      <c r="H458" s="18" t="n"/>
      <c r="I458" s="18" t="n"/>
      <c r="J458" s="14" t="n"/>
      <c r="K458" s="19">
        <f>IF(AND(ISNUMBER(F458),ISNUMBER(G458)),(G458-F458)*1440,"")</f>
        <v/>
      </c>
      <c r="L458" s="19">
        <f>IF(AND(ISNUMBER(H458),ISNUMBER(I458)),(I458-H458)*1440,"")</f>
        <v/>
      </c>
      <c r="M458" s="15">
        <f>IF(ISNUMBER(F458),HOUR(F458),"")</f>
        <v/>
      </c>
    </row>
    <row r="459" ht="15.75" customHeight="1" s="36">
      <c r="A459" s="2" t="n"/>
      <c r="B459" s="12" t="n"/>
      <c r="C459" s="14" t="n"/>
      <c r="D459" s="14" t="n"/>
      <c r="E459" s="14" t="n"/>
      <c r="F459" s="18" t="n"/>
      <c r="G459" s="18" t="n"/>
      <c r="H459" s="18" t="n"/>
      <c r="I459" s="18" t="n"/>
      <c r="J459" s="14" t="n"/>
      <c r="K459" s="19">
        <f>IF(AND(ISNUMBER(F459),ISNUMBER(G459)),(G459-F459)*1440,"")</f>
        <v/>
      </c>
      <c r="L459" s="19">
        <f>IF(AND(ISNUMBER(H459),ISNUMBER(I459)),(I459-H459)*1440,"")</f>
        <v/>
      </c>
      <c r="M459" s="15">
        <f>IF(ISNUMBER(F459),HOUR(F459),"")</f>
        <v/>
      </c>
    </row>
    <row r="460" ht="15.75" customHeight="1" s="36">
      <c r="A460" s="2" t="n"/>
      <c r="B460" s="12" t="n"/>
      <c r="C460" s="14" t="n"/>
      <c r="D460" s="14" t="n"/>
      <c r="E460" s="14" t="n"/>
      <c r="F460" s="18" t="n"/>
      <c r="G460" s="18" t="n"/>
      <c r="H460" s="18" t="n"/>
      <c r="I460" s="18" t="n"/>
      <c r="J460" s="14" t="n"/>
      <c r="K460" s="19">
        <f>IF(AND(ISNUMBER(F460),ISNUMBER(G460)),(G460-F460)*1440,"")</f>
        <v/>
      </c>
      <c r="L460" s="19">
        <f>IF(AND(ISNUMBER(H460),ISNUMBER(I460)),(I460-H460)*1440,"")</f>
        <v/>
      </c>
      <c r="M460" s="15">
        <f>IF(ISNUMBER(F460),HOUR(F460),"")</f>
        <v/>
      </c>
    </row>
    <row r="461" ht="15.75" customHeight="1" s="36">
      <c r="A461" s="2" t="n"/>
      <c r="B461" s="12" t="n"/>
      <c r="C461" s="14" t="n"/>
      <c r="D461" s="14" t="n"/>
      <c r="E461" s="14" t="n"/>
      <c r="F461" s="18" t="n"/>
      <c r="G461" s="18" t="n"/>
      <c r="H461" s="18" t="n"/>
      <c r="I461" s="18" t="n"/>
      <c r="J461" s="14" t="n"/>
      <c r="K461" s="19">
        <f>IF(AND(ISNUMBER(F461),ISNUMBER(G461)),(G461-F461)*1440,"")</f>
        <v/>
      </c>
      <c r="L461" s="19">
        <f>IF(AND(ISNUMBER(H461),ISNUMBER(I461)),(I461-H461)*1440,"")</f>
        <v/>
      </c>
      <c r="M461" s="15">
        <f>IF(ISNUMBER(F461),HOUR(F461),"")</f>
        <v/>
      </c>
    </row>
    <row r="462" ht="15.75" customHeight="1" s="36">
      <c r="A462" s="2" t="n"/>
      <c r="B462" s="12" t="n"/>
      <c r="C462" s="14" t="n"/>
      <c r="D462" s="14" t="n"/>
      <c r="E462" s="14" t="n"/>
      <c r="F462" s="18" t="n"/>
      <c r="G462" s="18" t="n"/>
      <c r="H462" s="18" t="n"/>
      <c r="I462" s="18" t="n"/>
      <c r="J462" s="14" t="n"/>
      <c r="K462" s="19">
        <f>IF(AND(ISNUMBER(F462),ISNUMBER(G462)),(G462-F462)*1440,"")</f>
        <v/>
      </c>
      <c r="L462" s="19">
        <f>IF(AND(ISNUMBER(H462),ISNUMBER(I462)),(I462-H462)*1440,"")</f>
        <v/>
      </c>
      <c r="M462" s="15">
        <f>IF(ISNUMBER(F462),HOUR(F462),"")</f>
        <v/>
      </c>
    </row>
    <row r="463" ht="15.75" customHeight="1" s="36">
      <c r="A463" s="2" t="n"/>
      <c r="B463" s="12" t="n"/>
      <c r="C463" s="14" t="n"/>
      <c r="D463" s="14" t="n"/>
      <c r="E463" s="14" t="n"/>
      <c r="F463" s="18" t="n"/>
      <c r="G463" s="18" t="n"/>
      <c r="H463" s="18" t="n"/>
      <c r="I463" s="18" t="n"/>
      <c r="J463" s="14" t="n"/>
      <c r="K463" s="19">
        <f>IF(AND(ISNUMBER(F463),ISNUMBER(G463)),(G463-F463)*1440,"")</f>
        <v/>
      </c>
      <c r="L463" s="19">
        <f>IF(AND(ISNUMBER(H463),ISNUMBER(I463)),(I463-H463)*1440,"")</f>
        <v/>
      </c>
      <c r="M463" s="15">
        <f>IF(ISNUMBER(F463),HOUR(F463),"")</f>
        <v/>
      </c>
    </row>
    <row r="464" ht="15.75" customHeight="1" s="36">
      <c r="A464" s="2" t="n"/>
      <c r="B464" s="12" t="n"/>
      <c r="C464" s="14" t="n"/>
      <c r="D464" s="14" t="n"/>
      <c r="E464" s="14" t="n"/>
      <c r="F464" s="18" t="n"/>
      <c r="G464" s="18" t="n"/>
      <c r="H464" s="18" t="n"/>
      <c r="I464" s="18" t="n"/>
      <c r="J464" s="14" t="n"/>
      <c r="K464" s="19">
        <f>IF(AND(ISNUMBER(F464),ISNUMBER(G464)),(G464-F464)*1440,"")</f>
        <v/>
      </c>
      <c r="L464" s="19">
        <f>IF(AND(ISNUMBER(H464),ISNUMBER(I464)),(I464-H464)*1440,"")</f>
        <v/>
      </c>
      <c r="M464" s="15">
        <f>IF(ISNUMBER(F464),HOUR(F464),"")</f>
        <v/>
      </c>
    </row>
    <row r="465" ht="15.75" customHeight="1" s="36">
      <c r="A465" s="2" t="n"/>
      <c r="B465" s="12" t="n"/>
      <c r="C465" s="14" t="n"/>
      <c r="D465" s="14" t="n"/>
      <c r="E465" s="14" t="n"/>
      <c r="F465" s="18" t="n"/>
      <c r="G465" s="18" t="n"/>
      <c r="H465" s="18" t="n"/>
      <c r="I465" s="18" t="n"/>
      <c r="J465" s="14" t="n"/>
      <c r="K465" s="19">
        <f>IF(AND(ISNUMBER(F465),ISNUMBER(G465)),(G465-F465)*1440,"")</f>
        <v/>
      </c>
      <c r="L465" s="19">
        <f>IF(AND(ISNUMBER(H465),ISNUMBER(I465)),(I465-H465)*1440,"")</f>
        <v/>
      </c>
      <c r="M465" s="15">
        <f>IF(ISNUMBER(F465),HOUR(F465),"")</f>
        <v/>
      </c>
    </row>
    <row r="466" ht="15.75" customHeight="1" s="36">
      <c r="A466" s="2" t="n"/>
      <c r="B466" s="12" t="n"/>
      <c r="C466" s="14" t="n"/>
      <c r="D466" s="14" t="n"/>
      <c r="E466" s="14" t="n"/>
      <c r="F466" s="18" t="n"/>
      <c r="G466" s="18" t="n"/>
      <c r="H466" s="18" t="n"/>
      <c r="I466" s="18" t="n"/>
      <c r="J466" s="14" t="n"/>
      <c r="K466" s="19">
        <f>IF(AND(ISNUMBER(F466),ISNUMBER(G466)),(G466-F466)*1440,"")</f>
        <v/>
      </c>
      <c r="L466" s="19">
        <f>IF(AND(ISNUMBER(H466),ISNUMBER(I466)),(I466-H466)*1440,"")</f>
        <v/>
      </c>
      <c r="M466" s="15">
        <f>IF(ISNUMBER(F466),HOUR(F466),"")</f>
        <v/>
      </c>
    </row>
    <row r="467" ht="15.75" customHeight="1" s="36">
      <c r="A467" s="2" t="n"/>
      <c r="B467" s="12" t="n"/>
      <c r="C467" s="14" t="n"/>
      <c r="D467" s="14" t="n"/>
      <c r="E467" s="14" t="n"/>
      <c r="F467" s="18" t="n"/>
      <c r="G467" s="18" t="n"/>
      <c r="H467" s="18" t="n"/>
      <c r="I467" s="18" t="n"/>
      <c r="J467" s="14" t="n"/>
      <c r="K467" s="19">
        <f>IF(AND(ISNUMBER(F467),ISNUMBER(G467)),(G467-F467)*1440,"")</f>
        <v/>
      </c>
      <c r="L467" s="19">
        <f>IF(AND(ISNUMBER(H467),ISNUMBER(I467)),(I467-H467)*1440,"")</f>
        <v/>
      </c>
      <c r="M467" s="15">
        <f>IF(ISNUMBER(F467),HOUR(F467),"")</f>
        <v/>
      </c>
    </row>
    <row r="468" ht="15.75" customHeight="1" s="36">
      <c r="A468" s="2" t="n"/>
      <c r="B468" s="12" t="n"/>
      <c r="C468" s="14" t="n"/>
      <c r="D468" s="14" t="n"/>
      <c r="E468" s="14" t="n"/>
      <c r="F468" s="18" t="n"/>
      <c r="G468" s="18" t="n"/>
      <c r="H468" s="18" t="n"/>
      <c r="I468" s="18" t="n"/>
      <c r="J468" s="14" t="n"/>
      <c r="K468" s="19">
        <f>IF(AND(ISNUMBER(F468),ISNUMBER(G468)),(G468-F468)*1440,"")</f>
        <v/>
      </c>
      <c r="L468" s="19">
        <f>IF(AND(ISNUMBER(H468),ISNUMBER(I468)),(I468-H468)*1440,"")</f>
        <v/>
      </c>
      <c r="M468" s="15">
        <f>IF(ISNUMBER(F468),HOUR(F468),"")</f>
        <v/>
      </c>
    </row>
    <row r="469" ht="15.75" customHeight="1" s="36">
      <c r="A469" s="2" t="n"/>
      <c r="B469" s="12" t="n"/>
      <c r="C469" s="14" t="n"/>
      <c r="D469" s="14" t="n"/>
      <c r="E469" s="14" t="n"/>
      <c r="F469" s="18" t="n"/>
      <c r="G469" s="18" t="n"/>
      <c r="H469" s="18" t="n"/>
      <c r="I469" s="18" t="n"/>
      <c r="J469" s="14" t="n"/>
      <c r="K469" s="19">
        <f>IF(AND(ISNUMBER(F469),ISNUMBER(G469)),(G469-F469)*1440,"")</f>
        <v/>
      </c>
      <c r="L469" s="19">
        <f>IF(AND(ISNUMBER(H469),ISNUMBER(I469)),(I469-H469)*1440,"")</f>
        <v/>
      </c>
      <c r="M469" s="15">
        <f>IF(ISNUMBER(F469),HOUR(F469),"")</f>
        <v/>
      </c>
    </row>
    <row r="470" ht="15.75" customHeight="1" s="36">
      <c r="A470" s="2" t="n"/>
      <c r="B470" s="12" t="n"/>
      <c r="C470" s="14" t="n"/>
      <c r="D470" s="14" t="n"/>
      <c r="E470" s="14" t="n"/>
      <c r="F470" s="18" t="n"/>
      <c r="G470" s="18" t="n"/>
      <c r="H470" s="18" t="n"/>
      <c r="I470" s="18" t="n"/>
      <c r="J470" s="14" t="n"/>
      <c r="K470" s="19">
        <f>IF(AND(ISNUMBER(F470),ISNUMBER(G470)),(G470-F470)*1440,"")</f>
        <v/>
      </c>
      <c r="L470" s="19">
        <f>IF(AND(ISNUMBER(H470),ISNUMBER(I470)),(I470-H470)*1440,"")</f>
        <v/>
      </c>
      <c r="M470" s="15">
        <f>IF(ISNUMBER(F470),HOUR(F470),"")</f>
        <v/>
      </c>
    </row>
    <row r="471" ht="15.75" customHeight="1" s="36">
      <c r="A471" s="2" t="n"/>
      <c r="B471" s="12" t="n"/>
      <c r="C471" s="14" t="n"/>
      <c r="D471" s="14" t="n"/>
      <c r="E471" s="14" t="n"/>
      <c r="F471" s="18" t="n"/>
      <c r="G471" s="18" t="n"/>
      <c r="H471" s="18" t="n"/>
      <c r="I471" s="18" t="n"/>
      <c r="J471" s="14" t="n"/>
      <c r="K471" s="19">
        <f>IF(AND(ISNUMBER(F471),ISNUMBER(G471)),(G471-F471)*1440,"")</f>
        <v/>
      </c>
      <c r="L471" s="19">
        <f>IF(AND(ISNUMBER(H471),ISNUMBER(I471)),(I471-H471)*1440,"")</f>
        <v/>
      </c>
      <c r="M471" s="15">
        <f>IF(ISNUMBER(F471),HOUR(F471),"")</f>
        <v/>
      </c>
    </row>
    <row r="472" ht="15.75" customHeight="1" s="36">
      <c r="A472" s="2" t="n"/>
      <c r="B472" s="12" t="n"/>
      <c r="C472" s="14" t="n"/>
      <c r="D472" s="14" t="n"/>
      <c r="E472" s="14" t="n"/>
      <c r="F472" s="18" t="n"/>
      <c r="G472" s="18" t="n"/>
      <c r="H472" s="18" t="n"/>
      <c r="I472" s="18" t="n"/>
      <c r="J472" s="14" t="n"/>
      <c r="K472" s="19">
        <f>IF(AND(ISNUMBER(F472),ISNUMBER(G472)),(G472-F472)*1440,"")</f>
        <v/>
      </c>
      <c r="L472" s="19">
        <f>IF(AND(ISNUMBER(H472),ISNUMBER(I472)),(I472-H472)*1440,"")</f>
        <v/>
      </c>
      <c r="M472" s="15">
        <f>IF(ISNUMBER(F472),HOUR(F472),"")</f>
        <v/>
      </c>
    </row>
    <row r="473" ht="15.75" customHeight="1" s="36">
      <c r="A473" s="2" t="n"/>
      <c r="B473" s="12" t="n"/>
      <c r="C473" s="14" t="n"/>
      <c r="D473" s="14" t="n"/>
      <c r="E473" s="14" t="n"/>
      <c r="F473" s="18" t="n"/>
      <c r="G473" s="18" t="n"/>
      <c r="H473" s="18" t="n"/>
      <c r="I473" s="18" t="n"/>
      <c r="J473" s="14" t="n"/>
      <c r="K473" s="19">
        <f>IF(AND(ISNUMBER(F473),ISNUMBER(G473)),(G473-F473)*1440,"")</f>
        <v/>
      </c>
      <c r="L473" s="19">
        <f>IF(AND(ISNUMBER(H473),ISNUMBER(I473)),(I473-H473)*1440,"")</f>
        <v/>
      </c>
      <c r="M473" s="15">
        <f>IF(ISNUMBER(F473),HOUR(F473),"")</f>
        <v/>
      </c>
    </row>
    <row r="474" ht="15.75" customHeight="1" s="36">
      <c r="A474" s="2" t="n"/>
      <c r="B474" s="12" t="n"/>
      <c r="C474" s="14" t="n"/>
      <c r="D474" s="14" t="n"/>
      <c r="E474" s="14" t="n"/>
      <c r="F474" s="18" t="n"/>
      <c r="G474" s="18" t="n"/>
      <c r="H474" s="18" t="n"/>
      <c r="I474" s="18" t="n"/>
      <c r="J474" s="14" t="n"/>
      <c r="K474" s="19">
        <f>IF(AND(ISNUMBER(F474),ISNUMBER(G474)),(G474-F474)*1440,"")</f>
        <v/>
      </c>
      <c r="L474" s="19">
        <f>IF(AND(ISNUMBER(H474),ISNUMBER(I474)),(I474-H474)*1440,"")</f>
        <v/>
      </c>
      <c r="M474" s="15">
        <f>IF(ISNUMBER(F474),HOUR(F474),"")</f>
        <v/>
      </c>
    </row>
    <row r="475" ht="15.75" customHeight="1" s="36">
      <c r="A475" s="2" t="n"/>
      <c r="B475" s="12" t="n"/>
      <c r="C475" s="14" t="n"/>
      <c r="D475" s="14" t="n"/>
      <c r="E475" s="14" t="n"/>
      <c r="F475" s="18" t="n"/>
      <c r="G475" s="18" t="n"/>
      <c r="H475" s="18" t="n"/>
      <c r="I475" s="18" t="n"/>
      <c r="J475" s="14" t="n"/>
      <c r="K475" s="19">
        <f>IF(AND(ISNUMBER(F475),ISNUMBER(G475)),(G475-F475)*1440,"")</f>
        <v/>
      </c>
      <c r="L475" s="19">
        <f>IF(AND(ISNUMBER(H475),ISNUMBER(I475)),(I475-H475)*1440,"")</f>
        <v/>
      </c>
      <c r="M475" s="15">
        <f>IF(ISNUMBER(F475),HOUR(F475),"")</f>
        <v/>
      </c>
    </row>
    <row r="476" ht="15.75" customHeight="1" s="36">
      <c r="A476" s="2" t="n"/>
      <c r="B476" s="12" t="n"/>
      <c r="C476" s="14" t="n"/>
      <c r="D476" s="14" t="n"/>
      <c r="E476" s="14" t="n"/>
      <c r="F476" s="18" t="n"/>
      <c r="G476" s="18" t="n"/>
      <c r="H476" s="18" t="n"/>
      <c r="I476" s="18" t="n"/>
      <c r="J476" s="14" t="n"/>
      <c r="K476" s="19">
        <f>IF(AND(ISNUMBER(F476),ISNUMBER(G476)),(G476-F476)*1440,"")</f>
        <v/>
      </c>
      <c r="L476" s="19">
        <f>IF(AND(ISNUMBER(H476),ISNUMBER(I476)),(I476-H476)*1440,"")</f>
        <v/>
      </c>
      <c r="M476" s="15">
        <f>IF(ISNUMBER(F476),HOUR(F476),"")</f>
        <v/>
      </c>
    </row>
    <row r="477" ht="15.75" customHeight="1" s="36">
      <c r="A477" s="2" t="n"/>
      <c r="B477" s="12" t="n"/>
      <c r="C477" s="14" t="n"/>
      <c r="D477" s="14" t="n"/>
      <c r="E477" s="14" t="n"/>
      <c r="F477" s="18" t="n"/>
      <c r="G477" s="18" t="n"/>
      <c r="H477" s="18" t="n"/>
      <c r="I477" s="18" t="n"/>
      <c r="J477" s="14" t="n"/>
      <c r="K477" s="19">
        <f>IF(AND(ISNUMBER(F477),ISNUMBER(G477)),(G477-F477)*1440,"")</f>
        <v/>
      </c>
      <c r="L477" s="19">
        <f>IF(AND(ISNUMBER(H477),ISNUMBER(I477)),(I477-H477)*1440,"")</f>
        <v/>
      </c>
      <c r="M477" s="15">
        <f>IF(ISNUMBER(F477),HOUR(F477),"")</f>
        <v/>
      </c>
    </row>
    <row r="478" ht="15.75" customHeight="1" s="36">
      <c r="A478" s="2" t="n"/>
      <c r="B478" s="12" t="n"/>
      <c r="C478" s="14" t="n"/>
      <c r="D478" s="14" t="n"/>
      <c r="E478" s="14" t="n"/>
      <c r="F478" s="18" t="n"/>
      <c r="G478" s="18" t="n"/>
      <c r="H478" s="18" t="n"/>
      <c r="I478" s="18" t="n"/>
      <c r="J478" s="14" t="n"/>
      <c r="K478" s="19">
        <f>IF(AND(ISNUMBER(F478),ISNUMBER(G478)),(G478-F478)*1440,"")</f>
        <v/>
      </c>
      <c r="L478" s="19">
        <f>IF(AND(ISNUMBER(H478),ISNUMBER(I478)),(I478-H478)*1440,"")</f>
        <v/>
      </c>
      <c r="M478" s="15">
        <f>IF(ISNUMBER(F478),HOUR(F478),"")</f>
        <v/>
      </c>
    </row>
    <row r="479" ht="15.75" customHeight="1" s="36">
      <c r="A479" s="2" t="n"/>
      <c r="B479" s="12" t="n"/>
      <c r="C479" s="14" t="n"/>
      <c r="D479" s="14" t="n"/>
      <c r="E479" s="14" t="n"/>
      <c r="F479" s="18" t="n"/>
      <c r="G479" s="18" t="n"/>
      <c r="H479" s="18" t="n"/>
      <c r="I479" s="18" t="n"/>
      <c r="J479" s="14" t="n"/>
      <c r="K479" s="19">
        <f>IF(AND(ISNUMBER(F479),ISNUMBER(G479)),(G479-F479)*1440,"")</f>
        <v/>
      </c>
      <c r="L479" s="19">
        <f>IF(AND(ISNUMBER(H479),ISNUMBER(I479)),(I479-H479)*1440,"")</f>
        <v/>
      </c>
      <c r="M479" s="15">
        <f>IF(ISNUMBER(F479),HOUR(F479),"")</f>
        <v/>
      </c>
    </row>
    <row r="480" ht="15.75" customHeight="1" s="36">
      <c r="A480" s="2" t="n"/>
      <c r="B480" s="12" t="n"/>
      <c r="C480" s="14" t="n"/>
      <c r="D480" s="14" t="n"/>
      <c r="E480" s="14" t="n"/>
      <c r="F480" s="18" t="n"/>
      <c r="G480" s="18" t="n"/>
      <c r="H480" s="18" t="n"/>
      <c r="I480" s="18" t="n"/>
      <c r="J480" s="14" t="n"/>
      <c r="K480" s="19">
        <f>IF(AND(ISNUMBER(F480),ISNUMBER(G480)),(G480-F480)*1440,"")</f>
        <v/>
      </c>
      <c r="L480" s="19">
        <f>IF(AND(ISNUMBER(H480),ISNUMBER(I480)),(I480-H480)*1440,"")</f>
        <v/>
      </c>
      <c r="M480" s="15">
        <f>IF(ISNUMBER(F480),HOUR(F480),"")</f>
        <v/>
      </c>
    </row>
    <row r="481" ht="15.75" customHeight="1" s="36">
      <c r="A481" s="2" t="n"/>
      <c r="B481" s="12" t="n"/>
      <c r="C481" s="14" t="n"/>
      <c r="D481" s="14" t="n"/>
      <c r="E481" s="14" t="n"/>
      <c r="F481" s="18" t="n"/>
      <c r="G481" s="18" t="n"/>
      <c r="H481" s="18" t="n"/>
      <c r="I481" s="18" t="n"/>
      <c r="J481" s="14" t="n"/>
      <c r="K481" s="19">
        <f>IF(AND(ISNUMBER(F481),ISNUMBER(G481)),(G481-F481)*1440,"")</f>
        <v/>
      </c>
      <c r="L481" s="19">
        <f>IF(AND(ISNUMBER(H481),ISNUMBER(I481)),(I481-H481)*1440,"")</f>
        <v/>
      </c>
      <c r="M481" s="15">
        <f>IF(ISNUMBER(F481),HOUR(F481),"")</f>
        <v/>
      </c>
    </row>
    <row r="482" ht="15.75" customHeight="1" s="36">
      <c r="A482" s="2" t="n"/>
      <c r="B482" s="12" t="n"/>
      <c r="C482" s="14" t="n"/>
      <c r="D482" s="14" t="n"/>
      <c r="E482" s="14" t="n"/>
      <c r="F482" s="18" t="n"/>
      <c r="G482" s="18" t="n"/>
      <c r="H482" s="18" t="n"/>
      <c r="I482" s="18" t="n"/>
      <c r="J482" s="14" t="n"/>
      <c r="K482" s="19">
        <f>IF(AND(ISNUMBER(F482),ISNUMBER(G482)),(G482-F482)*1440,"")</f>
        <v/>
      </c>
      <c r="L482" s="19">
        <f>IF(AND(ISNUMBER(H482),ISNUMBER(I482)),(I482-H482)*1440,"")</f>
        <v/>
      </c>
      <c r="M482" s="15">
        <f>IF(ISNUMBER(F482),HOUR(F482),"")</f>
        <v/>
      </c>
    </row>
    <row r="483" ht="15.75" customHeight="1" s="36">
      <c r="A483" s="2" t="n"/>
      <c r="B483" s="12" t="n"/>
      <c r="C483" s="14" t="n"/>
      <c r="D483" s="14" t="n"/>
      <c r="E483" s="14" t="n"/>
      <c r="F483" s="18" t="n"/>
      <c r="G483" s="18" t="n"/>
      <c r="H483" s="18" t="n"/>
      <c r="I483" s="18" t="n"/>
      <c r="J483" s="14" t="n"/>
      <c r="K483" s="19">
        <f>IF(AND(ISNUMBER(F483),ISNUMBER(G483)),(G483-F483)*1440,"")</f>
        <v/>
      </c>
      <c r="L483" s="19">
        <f>IF(AND(ISNUMBER(H483),ISNUMBER(I483)),(I483-H483)*1440,"")</f>
        <v/>
      </c>
      <c r="M483" s="15">
        <f>IF(ISNUMBER(F483),HOUR(F483),"")</f>
        <v/>
      </c>
    </row>
    <row r="484" ht="15.75" customHeight="1" s="36">
      <c r="A484" s="2" t="n"/>
      <c r="B484" s="12" t="n"/>
      <c r="C484" s="14" t="n"/>
      <c r="D484" s="14" t="n"/>
      <c r="E484" s="14" t="n"/>
      <c r="F484" s="18" t="n"/>
      <c r="G484" s="18" t="n"/>
      <c r="H484" s="18" t="n"/>
      <c r="I484" s="18" t="n"/>
      <c r="J484" s="14" t="n"/>
      <c r="K484" s="19">
        <f>IF(AND(ISNUMBER(F484),ISNUMBER(G484)),(G484-F484)*1440,"")</f>
        <v/>
      </c>
      <c r="L484" s="19">
        <f>IF(AND(ISNUMBER(H484),ISNUMBER(I484)),(I484-H484)*1440,"")</f>
        <v/>
      </c>
      <c r="M484" s="15">
        <f>IF(ISNUMBER(F484),HOUR(F484),"")</f>
        <v/>
      </c>
    </row>
    <row r="485" ht="15.75" customHeight="1" s="36">
      <c r="A485" s="2" t="n"/>
      <c r="B485" s="12" t="n"/>
      <c r="C485" s="14" t="n"/>
      <c r="D485" s="14" t="n"/>
      <c r="E485" s="14" t="n"/>
      <c r="F485" s="18" t="n"/>
      <c r="G485" s="18" t="n"/>
      <c r="H485" s="18" t="n"/>
      <c r="I485" s="18" t="n"/>
      <c r="J485" s="14" t="n"/>
      <c r="K485" s="19">
        <f>IF(AND(ISNUMBER(F485),ISNUMBER(G485)),(G485-F485)*1440,"")</f>
        <v/>
      </c>
      <c r="L485" s="19">
        <f>IF(AND(ISNUMBER(H485),ISNUMBER(I485)),(I485-H485)*1440,"")</f>
        <v/>
      </c>
      <c r="M485" s="15">
        <f>IF(ISNUMBER(F485),HOUR(F485),"")</f>
        <v/>
      </c>
    </row>
    <row r="486" ht="15.75" customHeight="1" s="36">
      <c r="A486" s="2" t="n"/>
      <c r="B486" s="12" t="n"/>
      <c r="C486" s="14" t="n"/>
      <c r="D486" s="14" t="n"/>
      <c r="E486" s="14" t="n"/>
      <c r="F486" s="18" t="n"/>
      <c r="G486" s="18" t="n"/>
      <c r="H486" s="18" t="n"/>
      <c r="I486" s="18" t="n"/>
      <c r="J486" s="14" t="n"/>
      <c r="K486" s="19">
        <f>IF(AND(ISNUMBER(F486),ISNUMBER(G486)),(G486-F486)*1440,"")</f>
        <v/>
      </c>
      <c r="L486" s="19">
        <f>IF(AND(ISNUMBER(H486),ISNUMBER(I486)),(I486-H486)*1440,"")</f>
        <v/>
      </c>
      <c r="M486" s="15">
        <f>IF(ISNUMBER(F486),HOUR(F486),"")</f>
        <v/>
      </c>
    </row>
    <row r="487" ht="15.75" customHeight="1" s="36">
      <c r="A487" s="2" t="n"/>
      <c r="B487" s="12" t="n"/>
      <c r="C487" s="14" t="n"/>
      <c r="D487" s="14" t="n"/>
      <c r="E487" s="14" t="n"/>
      <c r="F487" s="18" t="n"/>
      <c r="G487" s="18" t="n"/>
      <c r="H487" s="18" t="n"/>
      <c r="I487" s="18" t="n"/>
      <c r="J487" s="14" t="n"/>
      <c r="K487" s="19">
        <f>IF(AND(ISNUMBER(F487),ISNUMBER(G487)),(G487-F487)*1440,"")</f>
        <v/>
      </c>
      <c r="L487" s="19">
        <f>IF(AND(ISNUMBER(H487),ISNUMBER(I487)),(I487-H487)*1440,"")</f>
        <v/>
      </c>
      <c r="M487" s="15">
        <f>IF(ISNUMBER(F487),HOUR(F487),"")</f>
        <v/>
      </c>
    </row>
    <row r="488" ht="15.75" customHeight="1" s="36">
      <c r="A488" s="2" t="n"/>
      <c r="B488" s="12" t="n"/>
      <c r="C488" s="14" t="n"/>
      <c r="D488" s="14" t="n"/>
      <c r="E488" s="14" t="n"/>
      <c r="F488" s="18" t="n"/>
      <c r="G488" s="18" t="n"/>
      <c r="H488" s="18" t="n"/>
      <c r="I488" s="18" t="n"/>
      <c r="J488" s="14" t="n"/>
      <c r="K488" s="19">
        <f>IF(AND(ISNUMBER(F488),ISNUMBER(G488)),(G488-F488)*1440,"")</f>
        <v/>
      </c>
      <c r="L488" s="19">
        <f>IF(AND(ISNUMBER(H488),ISNUMBER(I488)),(I488-H488)*1440,"")</f>
        <v/>
      </c>
      <c r="M488" s="15">
        <f>IF(ISNUMBER(F488),HOUR(F488),"")</f>
        <v/>
      </c>
    </row>
    <row r="489" ht="15.75" customHeight="1" s="36">
      <c r="A489" s="2" t="n"/>
      <c r="B489" s="12" t="n"/>
      <c r="C489" s="14" t="n"/>
      <c r="D489" s="14" t="n"/>
      <c r="E489" s="14" t="n"/>
      <c r="F489" s="18" t="n"/>
      <c r="G489" s="18" t="n"/>
      <c r="H489" s="18" t="n"/>
      <c r="I489" s="18" t="n"/>
      <c r="J489" s="14" t="n"/>
      <c r="K489" s="19">
        <f>IF(AND(ISNUMBER(F489),ISNUMBER(G489)),(G489-F489)*1440,"")</f>
        <v/>
      </c>
      <c r="L489" s="19">
        <f>IF(AND(ISNUMBER(H489),ISNUMBER(I489)),(I489-H489)*1440,"")</f>
        <v/>
      </c>
      <c r="M489" s="15">
        <f>IF(ISNUMBER(F489),HOUR(F489),"")</f>
        <v/>
      </c>
    </row>
    <row r="490" ht="15.75" customHeight="1" s="36">
      <c r="A490" s="2" t="n"/>
      <c r="B490" s="12" t="n"/>
      <c r="C490" s="14" t="n"/>
      <c r="D490" s="14" t="n"/>
      <c r="E490" s="14" t="n"/>
      <c r="F490" s="18" t="n"/>
      <c r="G490" s="18" t="n"/>
      <c r="H490" s="18" t="n"/>
      <c r="I490" s="18" t="n"/>
      <c r="J490" s="14" t="n"/>
      <c r="K490" s="19">
        <f>IF(AND(ISNUMBER(F490),ISNUMBER(G490)),(G490-F490)*1440,"")</f>
        <v/>
      </c>
      <c r="L490" s="19">
        <f>IF(AND(ISNUMBER(H490),ISNUMBER(I490)),(I490-H490)*1440,"")</f>
        <v/>
      </c>
      <c r="M490" s="15">
        <f>IF(ISNUMBER(F490),HOUR(F490),"")</f>
        <v/>
      </c>
    </row>
    <row r="491" ht="15.75" customHeight="1" s="36">
      <c r="A491" s="2" t="n"/>
      <c r="B491" s="12" t="n"/>
      <c r="C491" s="14" t="n"/>
      <c r="D491" s="14" t="n"/>
      <c r="E491" s="14" t="n"/>
      <c r="F491" s="18" t="n"/>
      <c r="G491" s="18" t="n"/>
      <c r="H491" s="18" t="n"/>
      <c r="I491" s="18" t="n"/>
      <c r="J491" s="14" t="n"/>
      <c r="K491" s="19">
        <f>IF(AND(ISNUMBER(F491),ISNUMBER(G491)),(G491-F491)*1440,"")</f>
        <v/>
      </c>
      <c r="L491" s="19">
        <f>IF(AND(ISNUMBER(H491),ISNUMBER(I491)),(I491-H491)*1440,"")</f>
        <v/>
      </c>
      <c r="M491" s="15">
        <f>IF(ISNUMBER(F491),HOUR(F491),"")</f>
        <v/>
      </c>
    </row>
    <row r="492" ht="15.75" customHeight="1" s="36">
      <c r="A492" s="2" t="n"/>
      <c r="B492" s="12" t="n"/>
      <c r="C492" s="14" t="n"/>
      <c r="D492" s="14" t="n"/>
      <c r="E492" s="14" t="n"/>
      <c r="F492" s="18" t="n"/>
      <c r="G492" s="18" t="n"/>
      <c r="H492" s="18" t="n"/>
      <c r="I492" s="18" t="n"/>
      <c r="J492" s="14" t="n"/>
      <c r="K492" s="19">
        <f>IF(AND(ISNUMBER(F492),ISNUMBER(G492)),(G492-F492)*1440,"")</f>
        <v/>
      </c>
      <c r="L492" s="19">
        <f>IF(AND(ISNUMBER(H492),ISNUMBER(I492)),(I492-H492)*1440,"")</f>
        <v/>
      </c>
      <c r="M492" s="15">
        <f>IF(ISNUMBER(F492),HOUR(F492),"")</f>
        <v/>
      </c>
    </row>
    <row r="493" ht="15.75" customHeight="1" s="36">
      <c r="A493" s="2" t="n"/>
      <c r="B493" s="12" t="n"/>
      <c r="C493" s="14" t="n"/>
      <c r="D493" s="14" t="n"/>
      <c r="E493" s="14" t="n"/>
      <c r="F493" s="18" t="n"/>
      <c r="G493" s="18" t="n"/>
      <c r="H493" s="18" t="n"/>
      <c r="I493" s="18" t="n"/>
      <c r="J493" s="14" t="n"/>
      <c r="K493" s="19">
        <f>IF(AND(ISNUMBER(F493),ISNUMBER(G493)),(G493-F493)*1440,"")</f>
        <v/>
      </c>
      <c r="L493" s="19">
        <f>IF(AND(ISNUMBER(H493),ISNUMBER(I493)),(I493-H493)*1440,"")</f>
        <v/>
      </c>
      <c r="M493" s="15">
        <f>IF(ISNUMBER(F493),HOUR(F493),"")</f>
        <v/>
      </c>
    </row>
    <row r="494" ht="15.75" customHeight="1" s="36">
      <c r="A494" s="2" t="n"/>
      <c r="B494" s="12" t="n"/>
      <c r="C494" s="14" t="n"/>
      <c r="D494" s="14" t="n"/>
      <c r="E494" s="14" t="n"/>
      <c r="F494" s="18" t="n"/>
      <c r="G494" s="18" t="n"/>
      <c r="H494" s="18" t="n"/>
      <c r="I494" s="18" t="n"/>
      <c r="J494" s="14" t="n"/>
      <c r="K494" s="19">
        <f>IF(AND(ISNUMBER(F494),ISNUMBER(G494)),(G494-F494)*1440,"")</f>
        <v/>
      </c>
      <c r="L494" s="19">
        <f>IF(AND(ISNUMBER(H494),ISNUMBER(I494)),(I494-H494)*1440,"")</f>
        <v/>
      </c>
      <c r="M494" s="15">
        <f>IF(ISNUMBER(F494),HOUR(F494),"")</f>
        <v/>
      </c>
    </row>
    <row r="495" ht="15.75" customHeight="1" s="36">
      <c r="A495" s="2" t="n"/>
      <c r="B495" s="12" t="n"/>
      <c r="C495" s="14" t="n"/>
      <c r="D495" s="14" t="n"/>
      <c r="E495" s="14" t="n"/>
      <c r="F495" s="18" t="n"/>
      <c r="G495" s="18" t="n"/>
      <c r="H495" s="18" t="n"/>
      <c r="I495" s="18" t="n"/>
      <c r="J495" s="14" t="n"/>
      <c r="K495" s="19">
        <f>IF(AND(ISNUMBER(F495),ISNUMBER(G495)),(G495-F495)*1440,"")</f>
        <v/>
      </c>
      <c r="L495" s="19">
        <f>IF(AND(ISNUMBER(H495),ISNUMBER(I495)),(I495-H495)*1440,"")</f>
        <v/>
      </c>
      <c r="M495" s="15">
        <f>IF(ISNUMBER(F495),HOUR(F495),"")</f>
        <v/>
      </c>
    </row>
    <row r="496" ht="15.75" customHeight="1" s="36">
      <c r="A496" s="2" t="n"/>
      <c r="B496" s="12" t="n"/>
      <c r="C496" s="14" t="n"/>
      <c r="D496" s="14" t="n"/>
      <c r="E496" s="14" t="n"/>
      <c r="F496" s="18" t="n"/>
      <c r="G496" s="18" t="n"/>
      <c r="H496" s="18" t="n"/>
      <c r="I496" s="18" t="n"/>
      <c r="J496" s="14" t="n"/>
      <c r="K496" s="19">
        <f>IF(AND(ISNUMBER(F496),ISNUMBER(G496)),(G496-F496)*1440,"")</f>
        <v/>
      </c>
      <c r="L496" s="19">
        <f>IF(AND(ISNUMBER(H496),ISNUMBER(I496)),(I496-H496)*1440,"")</f>
        <v/>
      </c>
      <c r="M496" s="15">
        <f>IF(ISNUMBER(F496),HOUR(F496),"")</f>
        <v/>
      </c>
    </row>
    <row r="497" ht="15.75" customHeight="1" s="36">
      <c r="A497" s="2" t="n"/>
      <c r="B497" s="12" t="n"/>
      <c r="C497" s="14" t="n"/>
      <c r="D497" s="14" t="n"/>
      <c r="E497" s="14" t="n"/>
      <c r="F497" s="18" t="n"/>
      <c r="G497" s="18" t="n"/>
      <c r="H497" s="18" t="n"/>
      <c r="I497" s="18" t="n"/>
      <c r="J497" s="14" t="n"/>
      <c r="K497" s="19">
        <f>IF(AND(ISNUMBER(F497),ISNUMBER(G497)),(G497-F497)*1440,"")</f>
        <v/>
      </c>
      <c r="L497" s="19">
        <f>IF(AND(ISNUMBER(H497),ISNUMBER(I497)),(I497-H497)*1440,"")</f>
        <v/>
      </c>
      <c r="M497" s="15">
        <f>IF(ISNUMBER(F497),HOUR(F497),"")</f>
        <v/>
      </c>
    </row>
    <row r="498" ht="15.75" customHeight="1" s="36">
      <c r="A498" s="2" t="n"/>
      <c r="B498" s="12" t="n"/>
      <c r="C498" s="14" t="n"/>
      <c r="D498" s="14" t="n"/>
      <c r="E498" s="14" t="n"/>
      <c r="F498" s="18" t="n"/>
      <c r="G498" s="18" t="n"/>
      <c r="H498" s="18" t="n"/>
      <c r="I498" s="18" t="n"/>
      <c r="J498" s="14" t="n"/>
      <c r="K498" s="19">
        <f>IF(AND(ISNUMBER(F498),ISNUMBER(G498)),(G498-F498)*1440,"")</f>
        <v/>
      </c>
      <c r="L498" s="19">
        <f>IF(AND(ISNUMBER(H498),ISNUMBER(I498)),(I498-H498)*1440,"")</f>
        <v/>
      </c>
      <c r="M498" s="15">
        <f>IF(ISNUMBER(F498),HOUR(F498),"")</f>
        <v/>
      </c>
    </row>
    <row r="499" ht="15.75" customHeight="1" s="36">
      <c r="A499" s="2" t="n"/>
      <c r="B499" s="12" t="n"/>
      <c r="C499" s="14" t="n"/>
      <c r="D499" s="14" t="n"/>
      <c r="E499" s="14" t="n"/>
      <c r="F499" s="18" t="n"/>
      <c r="G499" s="18" t="n"/>
      <c r="H499" s="18" t="n"/>
      <c r="I499" s="18" t="n"/>
      <c r="J499" s="14" t="n"/>
      <c r="K499" s="19">
        <f>IF(AND(ISNUMBER(F499),ISNUMBER(G499)),(G499-F499)*1440,"")</f>
        <v/>
      </c>
      <c r="L499" s="19">
        <f>IF(AND(ISNUMBER(H499),ISNUMBER(I499)),(I499-H499)*1440,"")</f>
        <v/>
      </c>
      <c r="M499" s="15">
        <f>IF(ISNUMBER(F499),HOUR(F499),"")</f>
        <v/>
      </c>
    </row>
    <row r="500" ht="15.75" customHeight="1" s="36">
      <c r="A500" s="2" t="n"/>
      <c r="B500" s="12" t="n"/>
      <c r="C500" s="14" t="n"/>
      <c r="D500" s="14" t="n"/>
      <c r="E500" s="14" t="n"/>
      <c r="F500" s="18" t="n"/>
      <c r="G500" s="18" t="n"/>
      <c r="H500" s="18" t="n"/>
      <c r="I500" s="18" t="n"/>
      <c r="J500" s="14" t="n"/>
      <c r="K500" s="19">
        <f>IF(AND(ISNUMBER(F500),ISNUMBER(G500)),(G500-F500)*1440,"")</f>
        <v/>
      </c>
      <c r="L500" s="19">
        <f>IF(AND(ISNUMBER(H500),ISNUMBER(I500)),(I500-H500)*1440,"")</f>
        <v/>
      </c>
      <c r="M500" s="15">
        <f>IF(ISNUMBER(F500),HOUR(F500),"")</f>
        <v/>
      </c>
    </row>
    <row r="501" ht="15.75" customHeight="1" s="36">
      <c r="A501" s="2" t="n"/>
      <c r="B501" s="12" t="n"/>
      <c r="C501" s="14" t="n"/>
      <c r="D501" s="14" t="n"/>
      <c r="E501" s="14" t="n"/>
      <c r="F501" s="18" t="n"/>
      <c r="G501" s="18" t="n"/>
      <c r="H501" s="18" t="n"/>
      <c r="I501" s="18" t="n"/>
      <c r="J501" s="14" t="n"/>
      <c r="K501" s="19">
        <f>IF(AND(ISNUMBER(F501),ISNUMBER(G501)),(G501-F501)*1440,"")</f>
        <v/>
      </c>
      <c r="L501" s="19">
        <f>IF(AND(ISNUMBER(H501),ISNUMBER(I501)),(I501-H501)*1440,"")</f>
        <v/>
      </c>
      <c r="M501" s="15">
        <f>IF(ISNUMBER(F501),HOUR(F501),"")</f>
        <v/>
      </c>
    </row>
    <row r="502" ht="15.75" customHeight="1" s="36">
      <c r="A502" s="2" t="n"/>
      <c r="B502" s="12" t="n"/>
      <c r="C502" s="14" t="n"/>
      <c r="D502" s="14" t="n"/>
      <c r="E502" s="14" t="n"/>
      <c r="F502" s="18" t="n"/>
      <c r="G502" s="18" t="n"/>
      <c r="H502" s="18" t="n"/>
      <c r="I502" s="18" t="n"/>
      <c r="J502" s="14" t="n"/>
      <c r="K502" s="19">
        <f>IF(AND(ISNUMBER(F502),ISNUMBER(G502)),(G502-F502)*1440,"")</f>
        <v/>
      </c>
      <c r="L502" s="19">
        <f>IF(AND(ISNUMBER(H502),ISNUMBER(I502)),(I502-H502)*1440,"")</f>
        <v/>
      </c>
      <c r="M502" s="15">
        <f>IF(ISNUMBER(F502),HOUR(F502),"")</f>
        <v/>
      </c>
    </row>
    <row r="503" ht="15.75" customHeight="1" s="36">
      <c r="A503" s="2" t="n"/>
      <c r="B503" s="12" t="n"/>
      <c r="C503" s="14" t="n"/>
      <c r="D503" s="14" t="n"/>
      <c r="E503" s="14" t="n"/>
      <c r="F503" s="18" t="n"/>
      <c r="G503" s="18" t="n"/>
      <c r="H503" s="18" t="n"/>
      <c r="I503" s="18" t="n"/>
      <c r="J503" s="14" t="n"/>
      <c r="K503" s="19">
        <f>IF(AND(ISNUMBER(F503),ISNUMBER(G503)),(G503-F503)*1440,"")</f>
        <v/>
      </c>
      <c r="L503" s="19">
        <f>IF(AND(ISNUMBER(H503),ISNUMBER(I503)),(I503-H503)*1440,"")</f>
        <v/>
      </c>
      <c r="M503" s="15">
        <f>IF(ISNUMBER(F503),HOUR(F503),"")</f>
        <v/>
      </c>
    </row>
    <row r="504" ht="15.75" customHeight="1" s="36">
      <c r="A504" s="2" t="n"/>
      <c r="B504" s="12" t="n"/>
      <c r="C504" s="14" t="n"/>
      <c r="D504" s="14" t="n"/>
      <c r="E504" s="14" t="n"/>
      <c r="F504" s="18" t="n"/>
      <c r="G504" s="18" t="n"/>
      <c r="H504" s="18" t="n"/>
      <c r="I504" s="18" t="n"/>
      <c r="J504" s="14" t="n"/>
      <c r="K504" s="19">
        <f>IF(AND(ISNUMBER(F504),ISNUMBER(G504)),(G504-F504)*1440,"")</f>
        <v/>
      </c>
      <c r="L504" s="19">
        <f>IF(AND(ISNUMBER(H504),ISNUMBER(I504)),(I504-H504)*1440,"")</f>
        <v/>
      </c>
      <c r="M504" s="15">
        <f>IF(ISNUMBER(F504),HOUR(F504),"")</f>
        <v/>
      </c>
    </row>
    <row r="505" ht="15.75" customHeight="1" s="36">
      <c r="A505" s="2" t="n"/>
      <c r="B505" s="12" t="n"/>
      <c r="C505" s="14" t="n"/>
      <c r="D505" s="14" t="n"/>
      <c r="E505" s="14" t="n"/>
      <c r="F505" s="18" t="n"/>
      <c r="G505" s="18" t="n"/>
      <c r="H505" s="18" t="n"/>
      <c r="I505" s="18" t="n"/>
      <c r="J505" s="14" t="n"/>
      <c r="K505" s="19">
        <f>IF(AND(ISNUMBER(F505),ISNUMBER(G505)),(G505-F505)*1440,"")</f>
        <v/>
      </c>
      <c r="L505" s="19">
        <f>IF(AND(ISNUMBER(H505),ISNUMBER(I505)),(I505-H505)*1440,"")</f>
        <v/>
      </c>
      <c r="M505" s="15">
        <f>IF(ISNUMBER(F505),HOUR(F505),"")</f>
        <v/>
      </c>
    </row>
    <row r="506" ht="15.75" customHeight="1" s="36">
      <c r="A506" s="2" t="n"/>
      <c r="B506" s="12" t="n"/>
      <c r="C506" s="14" t="n"/>
      <c r="D506" s="14" t="n"/>
      <c r="E506" s="14" t="n"/>
      <c r="F506" s="18" t="n"/>
      <c r="G506" s="18" t="n"/>
      <c r="H506" s="18" t="n"/>
      <c r="I506" s="18" t="n"/>
      <c r="J506" s="14" t="n"/>
      <c r="K506" s="19">
        <f>IF(AND(ISNUMBER(F506),ISNUMBER(G506)),(G506-F506)*1440,"")</f>
        <v/>
      </c>
      <c r="L506" s="19">
        <f>IF(AND(ISNUMBER(H506),ISNUMBER(I506)),(I506-H506)*1440,"")</f>
        <v/>
      </c>
      <c r="M506" s="15">
        <f>IF(ISNUMBER(F506),HOUR(F506),"")</f>
        <v/>
      </c>
    </row>
    <row r="507" ht="15.75" customHeight="1" s="36">
      <c r="A507" s="2" t="n"/>
      <c r="B507" s="12" t="n"/>
      <c r="C507" s="14" t="n"/>
      <c r="D507" s="14" t="n"/>
      <c r="E507" s="14" t="n"/>
      <c r="F507" s="18" t="n"/>
      <c r="G507" s="18" t="n"/>
      <c r="H507" s="18" t="n"/>
      <c r="I507" s="18" t="n"/>
      <c r="J507" s="14" t="n"/>
      <c r="K507" s="19">
        <f>IF(AND(ISNUMBER(F507),ISNUMBER(G507)),(G507-F507)*1440,"")</f>
        <v/>
      </c>
      <c r="L507" s="19">
        <f>IF(AND(ISNUMBER(H507),ISNUMBER(I507)),(I507-H507)*1440,"")</f>
        <v/>
      </c>
      <c r="M507" s="15">
        <f>IF(ISNUMBER(F507),HOUR(F507),"")</f>
        <v/>
      </c>
    </row>
    <row r="508" ht="15.75" customHeight="1" s="36">
      <c r="A508" s="2" t="n"/>
      <c r="B508" s="12" t="n"/>
      <c r="C508" s="14" t="n"/>
      <c r="D508" s="14" t="n"/>
      <c r="E508" s="14" t="n"/>
      <c r="F508" s="18" t="n"/>
      <c r="G508" s="18" t="n"/>
      <c r="H508" s="18" t="n"/>
      <c r="I508" s="18" t="n"/>
      <c r="J508" s="14" t="n"/>
      <c r="K508" s="19">
        <f>IF(AND(ISNUMBER(F508),ISNUMBER(G508)),(G508-F508)*1440,"")</f>
        <v/>
      </c>
      <c r="L508" s="19">
        <f>IF(AND(ISNUMBER(H508),ISNUMBER(I508)),(I508-H508)*1440,"")</f>
        <v/>
      </c>
      <c r="M508" s="15">
        <f>IF(ISNUMBER(F508),HOUR(F508),"")</f>
        <v/>
      </c>
    </row>
    <row r="509" ht="15.75" customHeight="1" s="36">
      <c r="A509" s="2" t="n"/>
      <c r="B509" s="12" t="n"/>
      <c r="C509" s="14" t="n"/>
      <c r="D509" s="14" t="n"/>
      <c r="E509" s="14" t="n"/>
      <c r="F509" s="18" t="n"/>
      <c r="G509" s="18" t="n"/>
      <c r="H509" s="18" t="n"/>
      <c r="I509" s="18" t="n"/>
      <c r="J509" s="14" t="n"/>
      <c r="K509" s="19">
        <f>IF(AND(ISNUMBER(F509),ISNUMBER(G509)),(G509-F509)*1440,"")</f>
        <v/>
      </c>
      <c r="L509" s="19">
        <f>IF(AND(ISNUMBER(H509),ISNUMBER(I509)),(I509-H509)*1440,"")</f>
        <v/>
      </c>
      <c r="M509" s="15">
        <f>IF(ISNUMBER(F509),HOUR(F509),"")</f>
        <v/>
      </c>
    </row>
    <row r="510" ht="15.75" customHeight="1" s="36">
      <c r="A510" s="2" t="n"/>
      <c r="B510" s="12" t="n"/>
      <c r="C510" s="14" t="n"/>
      <c r="D510" s="14" t="n"/>
      <c r="E510" s="14" t="n"/>
      <c r="F510" s="18" t="n"/>
      <c r="G510" s="18" t="n"/>
      <c r="H510" s="18" t="n"/>
      <c r="I510" s="18" t="n"/>
      <c r="J510" s="14" t="n"/>
      <c r="K510" s="19">
        <f>IF(AND(ISNUMBER(F510),ISNUMBER(G510)),(G510-F510)*1440,"")</f>
        <v/>
      </c>
      <c r="L510" s="19">
        <f>IF(AND(ISNUMBER(H510),ISNUMBER(I510)),(I510-H510)*1440,"")</f>
        <v/>
      </c>
      <c r="M510" s="15">
        <f>IF(ISNUMBER(F510),HOUR(F510),"")</f>
        <v/>
      </c>
    </row>
    <row r="511" ht="15.75" customHeight="1" s="36">
      <c r="A511" s="2" t="n"/>
      <c r="B511" s="12" t="n"/>
      <c r="C511" s="14" t="n"/>
      <c r="D511" s="14" t="n"/>
      <c r="E511" s="14" t="n"/>
      <c r="F511" s="18" t="n"/>
      <c r="G511" s="18" t="n"/>
      <c r="H511" s="18" t="n"/>
      <c r="I511" s="18" t="n"/>
      <c r="J511" s="14" t="n"/>
      <c r="K511" s="19">
        <f>IF(AND(ISNUMBER(F511),ISNUMBER(G511)),(G511-F511)*1440,"")</f>
        <v/>
      </c>
      <c r="L511" s="19">
        <f>IF(AND(ISNUMBER(H511),ISNUMBER(I511)),(I511-H511)*1440,"")</f>
        <v/>
      </c>
      <c r="M511" s="15">
        <f>IF(ISNUMBER(F511),HOUR(F511),"")</f>
        <v/>
      </c>
    </row>
    <row r="512" ht="15.75" customHeight="1" s="36">
      <c r="A512" s="2" t="n"/>
      <c r="B512" s="12" t="n"/>
      <c r="C512" s="14" t="n"/>
      <c r="D512" s="14" t="n"/>
      <c r="E512" s="14" t="n"/>
      <c r="F512" s="18" t="n"/>
      <c r="G512" s="18" t="n"/>
      <c r="H512" s="18" t="n"/>
      <c r="I512" s="18" t="n"/>
      <c r="J512" s="14" t="n"/>
      <c r="K512" s="19">
        <f>IF(AND(ISNUMBER(F512),ISNUMBER(G512)),(G512-F512)*1440,"")</f>
        <v/>
      </c>
      <c r="L512" s="19">
        <f>IF(AND(ISNUMBER(H512),ISNUMBER(I512)),(I512-H512)*1440,"")</f>
        <v/>
      </c>
      <c r="M512" s="15">
        <f>IF(ISNUMBER(F512),HOUR(F512),"")</f>
        <v/>
      </c>
    </row>
    <row r="513" ht="15.75" customHeight="1" s="36">
      <c r="A513" s="2" t="n"/>
      <c r="B513" s="12" t="n"/>
      <c r="C513" s="14" t="n"/>
      <c r="D513" s="14" t="n"/>
      <c r="E513" s="14" t="n"/>
      <c r="F513" s="18" t="n"/>
      <c r="G513" s="18" t="n"/>
      <c r="H513" s="18" t="n"/>
      <c r="I513" s="18" t="n"/>
      <c r="J513" s="14" t="n"/>
      <c r="K513" s="19">
        <f>IF(AND(ISNUMBER(F513),ISNUMBER(G513)),(G513-F513)*1440,"")</f>
        <v/>
      </c>
      <c r="L513" s="19">
        <f>IF(AND(ISNUMBER(H513),ISNUMBER(I513)),(I513-H513)*1440,"")</f>
        <v/>
      </c>
      <c r="M513" s="15">
        <f>IF(ISNUMBER(F513),HOUR(F513),"")</f>
        <v/>
      </c>
    </row>
    <row r="514" ht="15.75" customHeight="1" s="36">
      <c r="A514" s="2" t="n"/>
      <c r="B514" s="12" t="n"/>
      <c r="C514" s="14" t="n"/>
      <c r="D514" s="14" t="n"/>
      <c r="E514" s="14" t="n"/>
      <c r="F514" s="18" t="n"/>
      <c r="G514" s="18" t="n"/>
      <c r="H514" s="18" t="n"/>
      <c r="I514" s="18" t="n"/>
      <c r="J514" s="14" t="n"/>
      <c r="K514" s="19">
        <f>IF(AND(ISNUMBER(F514),ISNUMBER(G514)),(G514-F514)*1440,"")</f>
        <v/>
      </c>
      <c r="L514" s="19">
        <f>IF(AND(ISNUMBER(H514),ISNUMBER(I514)),(I514-H514)*1440,"")</f>
        <v/>
      </c>
      <c r="M514" s="15">
        <f>IF(ISNUMBER(F514),HOUR(F514),"")</f>
        <v/>
      </c>
    </row>
    <row r="515" ht="15.75" customHeight="1" s="36">
      <c r="A515" s="2" t="n"/>
      <c r="B515" s="12" t="n"/>
      <c r="C515" s="14" t="n"/>
      <c r="D515" s="14" t="n"/>
      <c r="E515" s="14" t="n"/>
      <c r="F515" s="18" t="n"/>
      <c r="G515" s="18" t="n"/>
      <c r="H515" s="18" t="n"/>
      <c r="I515" s="18" t="n"/>
      <c r="J515" s="14" t="n"/>
      <c r="K515" s="19">
        <f>IF(AND(ISNUMBER(F515),ISNUMBER(G515)),(G515-F515)*1440,"")</f>
        <v/>
      </c>
      <c r="L515" s="19">
        <f>IF(AND(ISNUMBER(H515),ISNUMBER(I515)),(I515-H515)*1440,"")</f>
        <v/>
      </c>
      <c r="M515" s="15">
        <f>IF(ISNUMBER(F515),HOUR(F515),"")</f>
        <v/>
      </c>
    </row>
    <row r="516" ht="15.75" customHeight="1" s="36">
      <c r="A516" s="2" t="n"/>
      <c r="B516" s="12" t="n"/>
      <c r="C516" s="14" t="n"/>
      <c r="D516" s="14" t="n"/>
      <c r="E516" s="14" t="n"/>
      <c r="F516" s="18" t="n"/>
      <c r="G516" s="18" t="n"/>
      <c r="H516" s="18" t="n"/>
      <c r="I516" s="18" t="n"/>
      <c r="J516" s="14" t="n"/>
      <c r="K516" s="19">
        <f>IF(AND(ISNUMBER(F516),ISNUMBER(G516)),(G516-F516)*1440,"")</f>
        <v/>
      </c>
      <c r="L516" s="19">
        <f>IF(AND(ISNUMBER(H516),ISNUMBER(I516)),(I516-H516)*1440,"")</f>
        <v/>
      </c>
      <c r="M516" s="15">
        <f>IF(ISNUMBER(F516),HOUR(F516),"")</f>
        <v/>
      </c>
    </row>
    <row r="517" ht="15.75" customHeight="1" s="36">
      <c r="A517" s="2" t="n"/>
      <c r="B517" s="12" t="n"/>
      <c r="C517" s="14" t="n"/>
      <c r="D517" s="14" t="n"/>
      <c r="E517" s="14" t="n"/>
      <c r="F517" s="18" t="n"/>
      <c r="G517" s="18" t="n"/>
      <c r="H517" s="18" t="n"/>
      <c r="I517" s="18" t="n"/>
      <c r="J517" s="14" t="n"/>
      <c r="K517" s="19">
        <f>IF(AND(ISNUMBER(F517),ISNUMBER(G517)),(G517-F517)*1440,"")</f>
        <v/>
      </c>
      <c r="L517" s="19">
        <f>IF(AND(ISNUMBER(H517),ISNUMBER(I517)),(I517-H517)*1440,"")</f>
        <v/>
      </c>
      <c r="M517" s="15">
        <f>IF(ISNUMBER(F517),HOUR(F517),"")</f>
        <v/>
      </c>
    </row>
    <row r="518" ht="15.75" customHeight="1" s="36">
      <c r="A518" s="2" t="n"/>
      <c r="B518" s="12" t="n"/>
      <c r="C518" s="14" t="n"/>
      <c r="D518" s="14" t="n"/>
      <c r="E518" s="14" t="n"/>
      <c r="F518" s="18" t="n"/>
      <c r="G518" s="18" t="n"/>
      <c r="H518" s="18" t="n"/>
      <c r="I518" s="18" t="n"/>
      <c r="J518" s="14" t="n"/>
      <c r="K518" s="19">
        <f>IF(AND(ISNUMBER(F518),ISNUMBER(G518)),(G518-F518)*1440,"")</f>
        <v/>
      </c>
      <c r="L518" s="19">
        <f>IF(AND(ISNUMBER(H518),ISNUMBER(I518)),(I518-H518)*1440,"")</f>
        <v/>
      </c>
      <c r="M518" s="15">
        <f>IF(ISNUMBER(F518),HOUR(F518),"")</f>
        <v/>
      </c>
    </row>
    <row r="519" ht="15.75" customHeight="1" s="36">
      <c r="A519" s="2" t="n"/>
      <c r="B519" s="12" t="n"/>
      <c r="C519" s="14" t="n"/>
      <c r="D519" s="14" t="n"/>
      <c r="E519" s="14" t="n"/>
      <c r="F519" s="18" t="n"/>
      <c r="G519" s="18" t="n"/>
      <c r="H519" s="18" t="n"/>
      <c r="I519" s="18" t="n"/>
      <c r="J519" s="14" t="n"/>
      <c r="K519" s="19">
        <f>IF(AND(ISNUMBER(F519),ISNUMBER(G519)),(G519-F519)*1440,"")</f>
        <v/>
      </c>
      <c r="L519" s="19">
        <f>IF(AND(ISNUMBER(H519),ISNUMBER(I519)),(I519-H519)*1440,"")</f>
        <v/>
      </c>
      <c r="M519" s="15">
        <f>IF(ISNUMBER(F519),HOUR(F519),"")</f>
        <v/>
      </c>
    </row>
    <row r="520" ht="15.75" customHeight="1" s="36">
      <c r="A520" s="2" t="n"/>
      <c r="B520" s="12" t="n"/>
      <c r="C520" s="14" t="n"/>
      <c r="D520" s="14" t="n"/>
      <c r="E520" s="14" t="n"/>
      <c r="F520" s="18" t="n"/>
      <c r="G520" s="18" t="n"/>
      <c r="H520" s="18" t="n"/>
      <c r="I520" s="18" t="n"/>
      <c r="J520" s="14" t="n"/>
      <c r="K520" s="19">
        <f>IF(AND(ISNUMBER(F520),ISNUMBER(G520)),(G520-F520)*1440,"")</f>
        <v/>
      </c>
      <c r="L520" s="19">
        <f>IF(AND(ISNUMBER(H520),ISNUMBER(I520)),(I520-H520)*1440,"")</f>
        <v/>
      </c>
      <c r="M520" s="15">
        <f>IF(ISNUMBER(F520),HOUR(F520),"")</f>
        <v/>
      </c>
    </row>
    <row r="521" ht="15.75" customHeight="1" s="36">
      <c r="A521" s="2" t="n"/>
      <c r="B521" s="12" t="n"/>
      <c r="C521" s="14" t="n"/>
      <c r="D521" s="14" t="n"/>
      <c r="E521" s="14" t="n"/>
      <c r="F521" s="18" t="n"/>
      <c r="G521" s="18" t="n"/>
      <c r="H521" s="18" t="n"/>
      <c r="I521" s="18" t="n"/>
      <c r="J521" s="14" t="n"/>
      <c r="K521" s="19">
        <f>IF(AND(ISNUMBER(F521),ISNUMBER(G521)),(G521-F521)*1440,"")</f>
        <v/>
      </c>
      <c r="L521" s="19">
        <f>IF(AND(ISNUMBER(H521),ISNUMBER(I521)),(I521-H521)*1440,"")</f>
        <v/>
      </c>
      <c r="M521" s="15">
        <f>IF(ISNUMBER(F521),HOUR(F521),"")</f>
        <v/>
      </c>
    </row>
    <row r="522" ht="15.75" customHeight="1" s="36">
      <c r="A522" s="2" t="n"/>
      <c r="B522" s="12" t="n"/>
      <c r="C522" s="14" t="n"/>
      <c r="D522" s="14" t="n"/>
      <c r="E522" s="14" t="n"/>
      <c r="F522" s="18" t="n"/>
      <c r="G522" s="18" t="n"/>
      <c r="H522" s="18" t="n"/>
      <c r="I522" s="18" t="n"/>
      <c r="J522" s="14" t="n"/>
      <c r="K522" s="19">
        <f>IF(AND(ISNUMBER(F522),ISNUMBER(G522)),(G522-F522)*1440,"")</f>
        <v/>
      </c>
      <c r="L522" s="19">
        <f>IF(AND(ISNUMBER(H522),ISNUMBER(I522)),(I522-H522)*1440,"")</f>
        <v/>
      </c>
      <c r="M522" s="15">
        <f>IF(ISNUMBER(F522),HOUR(F522),"")</f>
        <v/>
      </c>
    </row>
    <row r="523" ht="15.75" customHeight="1" s="36">
      <c r="A523" s="2" t="n"/>
      <c r="B523" s="12" t="n"/>
      <c r="C523" s="14" t="n"/>
      <c r="D523" s="14" t="n"/>
      <c r="E523" s="14" t="n"/>
      <c r="F523" s="18" t="n"/>
      <c r="G523" s="18" t="n"/>
      <c r="H523" s="18" t="n"/>
      <c r="I523" s="18" t="n"/>
      <c r="J523" s="14" t="n"/>
      <c r="K523" s="19">
        <f>IF(AND(ISNUMBER(F523),ISNUMBER(G523)),(G523-F523)*1440,"")</f>
        <v/>
      </c>
      <c r="L523" s="19">
        <f>IF(AND(ISNUMBER(H523),ISNUMBER(I523)),(I523-H523)*1440,"")</f>
        <v/>
      </c>
      <c r="M523" s="15">
        <f>IF(ISNUMBER(F523),HOUR(F523),"")</f>
        <v/>
      </c>
    </row>
    <row r="524" ht="15.75" customHeight="1" s="36">
      <c r="A524" s="2" t="n"/>
      <c r="B524" s="12" t="n"/>
      <c r="C524" s="14" t="n"/>
      <c r="D524" s="14" t="n"/>
      <c r="E524" s="14" t="n"/>
      <c r="F524" s="18" t="n"/>
      <c r="G524" s="18" t="n"/>
      <c r="H524" s="18" t="n"/>
      <c r="I524" s="18" t="n"/>
      <c r="J524" s="14" t="n"/>
      <c r="K524" s="19">
        <f>IF(AND(ISNUMBER(F524),ISNUMBER(G524)),(G524-F524)*1440,"")</f>
        <v/>
      </c>
      <c r="L524" s="19">
        <f>IF(AND(ISNUMBER(H524),ISNUMBER(I524)),(I524-H524)*1440,"")</f>
        <v/>
      </c>
      <c r="M524" s="15">
        <f>IF(ISNUMBER(F524),HOUR(F524),"")</f>
        <v/>
      </c>
    </row>
    <row r="525" ht="15.75" customHeight="1" s="36">
      <c r="A525" s="2" t="n"/>
      <c r="B525" s="12" t="n"/>
      <c r="C525" s="14" t="n"/>
      <c r="D525" s="14" t="n"/>
      <c r="E525" s="14" t="n"/>
      <c r="F525" s="18" t="n"/>
      <c r="G525" s="18" t="n"/>
      <c r="H525" s="18" t="n"/>
      <c r="I525" s="18" t="n"/>
      <c r="J525" s="14" t="n"/>
      <c r="K525" s="19">
        <f>IF(AND(ISNUMBER(F525),ISNUMBER(G525)),(G525-F525)*1440,"")</f>
        <v/>
      </c>
      <c r="L525" s="19">
        <f>IF(AND(ISNUMBER(H525),ISNUMBER(I525)),(I525-H525)*1440,"")</f>
        <v/>
      </c>
      <c r="M525" s="15">
        <f>IF(ISNUMBER(F525),HOUR(F525),"")</f>
        <v/>
      </c>
    </row>
    <row r="526" ht="15.75" customHeight="1" s="36">
      <c r="A526" s="2" t="n"/>
      <c r="B526" s="12" t="n"/>
      <c r="C526" s="14" t="n"/>
      <c r="D526" s="14" t="n"/>
      <c r="E526" s="14" t="n"/>
      <c r="F526" s="18" t="n"/>
      <c r="G526" s="18" t="n"/>
      <c r="H526" s="18" t="n"/>
      <c r="I526" s="18" t="n"/>
      <c r="J526" s="14" t="n"/>
      <c r="K526" s="19">
        <f>IF(AND(ISNUMBER(F526),ISNUMBER(G526)),(G526-F526)*1440,"")</f>
        <v/>
      </c>
      <c r="L526" s="19">
        <f>IF(AND(ISNUMBER(H526),ISNUMBER(I526)),(I526-H526)*1440,"")</f>
        <v/>
      </c>
      <c r="M526" s="15">
        <f>IF(ISNUMBER(F526),HOUR(F526),"")</f>
        <v/>
      </c>
    </row>
    <row r="527" ht="15.75" customHeight="1" s="36">
      <c r="A527" s="2" t="n"/>
      <c r="B527" s="12" t="n"/>
      <c r="C527" s="14" t="n"/>
      <c r="D527" s="14" t="n"/>
      <c r="E527" s="14" t="n"/>
      <c r="F527" s="18" t="n"/>
      <c r="G527" s="18" t="n"/>
      <c r="H527" s="18" t="n"/>
      <c r="I527" s="18" t="n"/>
      <c r="J527" s="14" t="n"/>
      <c r="K527" s="19">
        <f>IF(AND(ISNUMBER(F527),ISNUMBER(G527)),(G527-F527)*1440,"")</f>
        <v/>
      </c>
      <c r="L527" s="19">
        <f>IF(AND(ISNUMBER(H527),ISNUMBER(I527)),(I527-H527)*1440,"")</f>
        <v/>
      </c>
      <c r="M527" s="15">
        <f>IF(ISNUMBER(F527),HOUR(F527),"")</f>
        <v/>
      </c>
    </row>
    <row r="528" ht="15.75" customHeight="1" s="36">
      <c r="A528" s="2" t="n"/>
      <c r="B528" s="12" t="n"/>
      <c r="C528" s="14" t="n"/>
      <c r="D528" s="14" t="n"/>
      <c r="E528" s="14" t="n"/>
      <c r="F528" s="18" t="n"/>
      <c r="G528" s="18" t="n"/>
      <c r="H528" s="18" t="n"/>
      <c r="I528" s="18" t="n"/>
      <c r="J528" s="14" t="n"/>
      <c r="K528" s="19">
        <f>IF(AND(ISNUMBER(F528),ISNUMBER(G528)),(G528-F528)*1440,"")</f>
        <v/>
      </c>
      <c r="L528" s="19">
        <f>IF(AND(ISNUMBER(H528),ISNUMBER(I528)),(I528-H528)*1440,"")</f>
        <v/>
      </c>
      <c r="M528" s="15">
        <f>IF(ISNUMBER(F528),HOUR(F528),"")</f>
        <v/>
      </c>
    </row>
    <row r="529" ht="15.75" customHeight="1" s="36">
      <c r="A529" s="2" t="n"/>
      <c r="B529" s="12" t="n"/>
      <c r="C529" s="14" t="n"/>
      <c r="D529" s="14" t="n"/>
      <c r="E529" s="14" t="n"/>
      <c r="F529" s="18" t="n"/>
      <c r="G529" s="18" t="n"/>
      <c r="H529" s="18" t="n"/>
      <c r="I529" s="18" t="n"/>
      <c r="J529" s="14" t="n"/>
      <c r="K529" s="19">
        <f>IF(AND(ISNUMBER(F529),ISNUMBER(G529)),(G529-F529)*1440,"")</f>
        <v/>
      </c>
      <c r="L529" s="19">
        <f>IF(AND(ISNUMBER(H529),ISNUMBER(I529)),(I529-H529)*1440,"")</f>
        <v/>
      </c>
      <c r="M529" s="15">
        <f>IF(ISNUMBER(F529),HOUR(F529),"")</f>
        <v/>
      </c>
    </row>
    <row r="530" ht="15.75" customHeight="1" s="36">
      <c r="A530" s="2" t="n"/>
      <c r="B530" s="12" t="n"/>
      <c r="C530" s="14" t="n"/>
      <c r="D530" s="14" t="n"/>
      <c r="E530" s="14" t="n"/>
      <c r="F530" s="18" t="n"/>
      <c r="G530" s="18" t="n"/>
      <c r="H530" s="18" t="n"/>
      <c r="I530" s="18" t="n"/>
      <c r="J530" s="14" t="n"/>
      <c r="K530" s="19">
        <f>IF(AND(ISNUMBER(F530),ISNUMBER(G530)),(G530-F530)*1440,"")</f>
        <v/>
      </c>
      <c r="L530" s="19">
        <f>IF(AND(ISNUMBER(H530),ISNUMBER(I530)),(I530-H530)*1440,"")</f>
        <v/>
      </c>
      <c r="M530" s="15">
        <f>IF(ISNUMBER(F530),HOUR(F530),"")</f>
        <v/>
      </c>
    </row>
    <row r="531" ht="15.75" customHeight="1" s="36">
      <c r="A531" s="2" t="n"/>
      <c r="B531" s="12" t="n"/>
      <c r="C531" s="14" t="n"/>
      <c r="D531" s="14" t="n"/>
      <c r="E531" s="14" t="n"/>
      <c r="F531" s="18" t="n"/>
      <c r="G531" s="18" t="n"/>
      <c r="H531" s="18" t="n"/>
      <c r="I531" s="18" t="n"/>
      <c r="J531" s="14" t="n"/>
      <c r="K531" s="19">
        <f>IF(AND(ISNUMBER(F531),ISNUMBER(G531)),(G531-F531)*1440,"")</f>
        <v/>
      </c>
      <c r="L531" s="19">
        <f>IF(AND(ISNUMBER(H531),ISNUMBER(I531)),(I531-H531)*1440,"")</f>
        <v/>
      </c>
      <c r="M531" s="15">
        <f>IF(ISNUMBER(F531),HOUR(F531),"")</f>
        <v/>
      </c>
    </row>
    <row r="532" ht="15.75" customHeight="1" s="36">
      <c r="A532" s="2" t="n"/>
      <c r="B532" s="12" t="n"/>
      <c r="C532" s="14" t="n"/>
      <c r="D532" s="14" t="n"/>
      <c r="E532" s="14" t="n"/>
      <c r="F532" s="18" t="n"/>
      <c r="G532" s="18" t="n"/>
      <c r="H532" s="18" t="n"/>
      <c r="I532" s="18" t="n"/>
      <c r="J532" s="14" t="n"/>
      <c r="K532" s="19">
        <f>IF(AND(ISNUMBER(F532),ISNUMBER(G532)),(G532-F532)*1440,"")</f>
        <v/>
      </c>
      <c r="L532" s="19">
        <f>IF(AND(ISNUMBER(H532),ISNUMBER(I532)),(I532-H532)*1440,"")</f>
        <v/>
      </c>
      <c r="M532" s="15">
        <f>IF(ISNUMBER(F532),HOUR(F532),"")</f>
        <v/>
      </c>
    </row>
    <row r="533" ht="15.75" customHeight="1" s="36">
      <c r="A533" s="2" t="n"/>
      <c r="B533" s="12" t="n"/>
      <c r="C533" s="14" t="n"/>
      <c r="D533" s="14" t="n"/>
      <c r="E533" s="14" t="n"/>
      <c r="F533" s="18" t="n"/>
      <c r="G533" s="18" t="n"/>
      <c r="H533" s="18" t="n"/>
      <c r="I533" s="18" t="n"/>
      <c r="J533" s="14" t="n"/>
      <c r="K533" s="19">
        <f>IF(AND(ISNUMBER(F533),ISNUMBER(G533)),(G533-F533)*1440,"")</f>
        <v/>
      </c>
      <c r="L533" s="19">
        <f>IF(AND(ISNUMBER(H533),ISNUMBER(I533)),(I533-H533)*1440,"")</f>
        <v/>
      </c>
      <c r="M533" s="15">
        <f>IF(ISNUMBER(F533),HOUR(F533),"")</f>
        <v/>
      </c>
    </row>
    <row r="534" ht="15.75" customHeight="1" s="36">
      <c r="A534" s="2" t="n"/>
      <c r="B534" s="12" t="n"/>
      <c r="C534" s="14" t="n"/>
      <c r="D534" s="14" t="n"/>
      <c r="E534" s="14" t="n"/>
      <c r="F534" s="18" t="n"/>
      <c r="G534" s="18" t="n"/>
      <c r="H534" s="18" t="n"/>
      <c r="I534" s="18" t="n"/>
      <c r="J534" s="14" t="n"/>
      <c r="K534" s="19">
        <f>IF(AND(ISNUMBER(F534),ISNUMBER(G534)),(G534-F534)*1440,"")</f>
        <v/>
      </c>
      <c r="L534" s="19">
        <f>IF(AND(ISNUMBER(H534),ISNUMBER(I534)),(I534-H534)*1440,"")</f>
        <v/>
      </c>
      <c r="M534" s="15">
        <f>IF(ISNUMBER(F534),HOUR(F534),"")</f>
        <v/>
      </c>
    </row>
    <row r="535" ht="15.75" customHeight="1" s="36">
      <c r="A535" s="2" t="n"/>
      <c r="B535" s="12" t="n"/>
      <c r="C535" s="14" t="n"/>
      <c r="D535" s="14" t="n"/>
      <c r="E535" s="14" t="n"/>
      <c r="F535" s="18" t="n"/>
      <c r="G535" s="18" t="n"/>
      <c r="H535" s="18" t="n"/>
      <c r="I535" s="18" t="n"/>
      <c r="J535" s="14" t="n"/>
      <c r="K535" s="19">
        <f>IF(AND(ISNUMBER(F535),ISNUMBER(G535)),(G535-F535)*1440,"")</f>
        <v/>
      </c>
      <c r="L535" s="19">
        <f>IF(AND(ISNUMBER(H535),ISNUMBER(I535)),(I535-H535)*1440,"")</f>
        <v/>
      </c>
      <c r="M535" s="15">
        <f>IF(ISNUMBER(F535),HOUR(F535),"")</f>
        <v/>
      </c>
    </row>
    <row r="536" ht="15.75" customHeight="1" s="36">
      <c r="A536" s="2" t="n"/>
      <c r="B536" s="12" t="n"/>
      <c r="C536" s="14" t="n"/>
      <c r="D536" s="14" t="n"/>
      <c r="E536" s="14" t="n"/>
      <c r="F536" s="18" t="n"/>
      <c r="G536" s="18" t="n"/>
      <c r="H536" s="18" t="n"/>
      <c r="I536" s="18" t="n"/>
      <c r="J536" s="14" t="n"/>
      <c r="K536" s="19">
        <f>IF(AND(ISNUMBER(F536),ISNUMBER(G536)),(G536-F536)*1440,"")</f>
        <v/>
      </c>
      <c r="L536" s="19">
        <f>IF(AND(ISNUMBER(H536),ISNUMBER(I536)),(I536-H536)*1440,"")</f>
        <v/>
      </c>
      <c r="M536" s="15">
        <f>IF(ISNUMBER(F536),HOUR(F536),"")</f>
        <v/>
      </c>
    </row>
    <row r="537" ht="15.75" customHeight="1" s="36">
      <c r="A537" s="2" t="n"/>
      <c r="B537" s="12" t="n"/>
      <c r="C537" s="14" t="n"/>
      <c r="D537" s="14" t="n"/>
      <c r="E537" s="14" t="n"/>
      <c r="F537" s="18" t="n"/>
      <c r="G537" s="18" t="n"/>
      <c r="H537" s="18" t="n"/>
      <c r="I537" s="18" t="n"/>
      <c r="J537" s="14" t="n"/>
      <c r="K537" s="19">
        <f>IF(AND(ISNUMBER(F537),ISNUMBER(G537)),(G537-F537)*1440,"")</f>
        <v/>
      </c>
      <c r="L537" s="19">
        <f>IF(AND(ISNUMBER(H537),ISNUMBER(I537)),(I537-H537)*1440,"")</f>
        <v/>
      </c>
      <c r="M537" s="15">
        <f>IF(ISNUMBER(F537),HOUR(F537),"")</f>
        <v/>
      </c>
    </row>
    <row r="538" ht="15.75" customHeight="1" s="36">
      <c r="A538" s="2" t="n"/>
      <c r="B538" s="12" t="n"/>
      <c r="C538" s="14" t="n"/>
      <c r="D538" s="14" t="n"/>
      <c r="E538" s="14" t="n"/>
      <c r="F538" s="18" t="n"/>
      <c r="G538" s="18" t="n"/>
      <c r="H538" s="18" t="n"/>
      <c r="I538" s="18" t="n"/>
      <c r="J538" s="14" t="n"/>
      <c r="K538" s="19">
        <f>IF(AND(ISNUMBER(F538),ISNUMBER(G538)),(G538-F538)*1440,"")</f>
        <v/>
      </c>
      <c r="L538" s="19">
        <f>IF(AND(ISNUMBER(H538),ISNUMBER(I538)),(I538-H538)*1440,"")</f>
        <v/>
      </c>
      <c r="M538" s="15">
        <f>IF(ISNUMBER(F538),HOUR(F538),"")</f>
        <v/>
      </c>
    </row>
    <row r="539" ht="15.75" customHeight="1" s="36">
      <c r="A539" s="2" t="n"/>
      <c r="B539" s="12" t="n"/>
      <c r="C539" s="14" t="n"/>
      <c r="D539" s="14" t="n"/>
      <c r="E539" s="14" t="n"/>
      <c r="F539" s="18" t="n"/>
      <c r="G539" s="18" t="n"/>
      <c r="H539" s="18" t="n"/>
      <c r="I539" s="18" t="n"/>
      <c r="J539" s="14" t="n"/>
      <c r="K539" s="19">
        <f>IF(AND(ISNUMBER(F539),ISNUMBER(G539)),(G539-F539)*1440,"")</f>
        <v/>
      </c>
      <c r="L539" s="19">
        <f>IF(AND(ISNUMBER(H539),ISNUMBER(I539)),(I539-H539)*1440,"")</f>
        <v/>
      </c>
      <c r="M539" s="15">
        <f>IF(ISNUMBER(F539),HOUR(F539),"")</f>
        <v/>
      </c>
    </row>
    <row r="540" ht="15.75" customHeight="1" s="36">
      <c r="A540" s="2" t="n"/>
      <c r="B540" s="12" t="n"/>
      <c r="C540" s="14" t="n"/>
      <c r="D540" s="14" t="n"/>
      <c r="E540" s="14" t="n"/>
      <c r="F540" s="18" t="n"/>
      <c r="G540" s="18" t="n"/>
      <c r="H540" s="18" t="n"/>
      <c r="I540" s="18" t="n"/>
      <c r="J540" s="14" t="n"/>
      <c r="K540" s="19">
        <f>IF(AND(ISNUMBER(F540),ISNUMBER(G540)),(G540-F540)*1440,"")</f>
        <v/>
      </c>
      <c r="L540" s="19">
        <f>IF(AND(ISNUMBER(H540),ISNUMBER(I540)),(I540-H540)*1440,"")</f>
        <v/>
      </c>
      <c r="M540" s="15">
        <f>IF(ISNUMBER(F540),HOUR(F540),"")</f>
        <v/>
      </c>
    </row>
    <row r="541" ht="15.75" customHeight="1" s="36">
      <c r="A541" s="2" t="n"/>
      <c r="B541" s="12" t="n"/>
      <c r="C541" s="14" t="n"/>
      <c r="D541" s="14" t="n"/>
      <c r="E541" s="14" t="n"/>
      <c r="F541" s="18" t="n"/>
      <c r="G541" s="18" t="n"/>
      <c r="H541" s="18" t="n"/>
      <c r="I541" s="18" t="n"/>
      <c r="J541" s="14" t="n"/>
      <c r="K541" s="19">
        <f>IF(AND(ISNUMBER(F541),ISNUMBER(G541)),(G541-F541)*1440,"")</f>
        <v/>
      </c>
      <c r="L541" s="19">
        <f>IF(AND(ISNUMBER(H541),ISNUMBER(I541)),(I541-H541)*1440,"")</f>
        <v/>
      </c>
      <c r="M541" s="15">
        <f>IF(ISNUMBER(F541),HOUR(F541),"")</f>
        <v/>
      </c>
    </row>
    <row r="542" ht="15.75" customHeight="1" s="36">
      <c r="A542" s="2" t="n"/>
      <c r="B542" s="12" t="n"/>
      <c r="C542" s="14" t="n"/>
      <c r="D542" s="14" t="n"/>
      <c r="E542" s="14" t="n"/>
      <c r="F542" s="18" t="n"/>
      <c r="G542" s="18" t="n"/>
      <c r="H542" s="18" t="n"/>
      <c r="I542" s="18" t="n"/>
      <c r="J542" s="14" t="n"/>
      <c r="K542" s="19">
        <f>IF(AND(ISNUMBER(F542),ISNUMBER(G542)),(G542-F542)*1440,"")</f>
        <v/>
      </c>
      <c r="L542" s="19">
        <f>IF(AND(ISNUMBER(H542),ISNUMBER(I542)),(I542-H542)*1440,"")</f>
        <v/>
      </c>
      <c r="M542" s="15">
        <f>IF(ISNUMBER(F542),HOUR(F542),"")</f>
        <v/>
      </c>
    </row>
    <row r="543" ht="15.75" customHeight="1" s="36">
      <c r="A543" s="2" t="n"/>
      <c r="B543" s="12" t="n"/>
      <c r="C543" s="14" t="n"/>
      <c r="D543" s="14" t="n"/>
      <c r="E543" s="14" t="n"/>
      <c r="F543" s="18" t="n"/>
      <c r="G543" s="18" t="n"/>
      <c r="H543" s="18" t="n"/>
      <c r="I543" s="18" t="n"/>
      <c r="J543" s="14" t="n"/>
      <c r="K543" s="19">
        <f>IF(AND(ISNUMBER(F543),ISNUMBER(G543)),(G543-F543)*1440,"")</f>
        <v/>
      </c>
      <c r="L543" s="19">
        <f>IF(AND(ISNUMBER(H543),ISNUMBER(I543)),(I543-H543)*1440,"")</f>
        <v/>
      </c>
      <c r="M543" s="15">
        <f>IF(ISNUMBER(F543),HOUR(F543),"")</f>
        <v/>
      </c>
    </row>
    <row r="544" ht="15.75" customHeight="1" s="36">
      <c r="A544" s="2" t="n"/>
      <c r="B544" s="12" t="n"/>
      <c r="C544" s="14" t="n"/>
      <c r="D544" s="14" t="n"/>
      <c r="E544" s="14" t="n"/>
      <c r="F544" s="18" t="n"/>
      <c r="G544" s="18" t="n"/>
      <c r="H544" s="18" t="n"/>
      <c r="I544" s="18" t="n"/>
      <c r="J544" s="14" t="n"/>
      <c r="K544" s="19">
        <f>IF(AND(ISNUMBER(F544),ISNUMBER(G544)),(G544-F544)*1440,"")</f>
        <v/>
      </c>
      <c r="L544" s="19">
        <f>IF(AND(ISNUMBER(H544),ISNUMBER(I544)),(I544-H544)*1440,"")</f>
        <v/>
      </c>
      <c r="M544" s="15">
        <f>IF(ISNUMBER(F544),HOUR(F544),"")</f>
        <v/>
      </c>
    </row>
    <row r="545" ht="15.75" customHeight="1" s="36">
      <c r="A545" s="2" t="n"/>
      <c r="B545" s="12" t="n"/>
      <c r="C545" s="14" t="n"/>
      <c r="D545" s="14" t="n"/>
      <c r="E545" s="14" t="n"/>
      <c r="F545" s="18" t="n"/>
      <c r="G545" s="18" t="n"/>
      <c r="H545" s="18" t="n"/>
      <c r="I545" s="18" t="n"/>
      <c r="J545" s="14" t="n"/>
      <c r="K545" s="19">
        <f>IF(AND(ISNUMBER(F545),ISNUMBER(G545)),(G545-F545)*1440,"")</f>
        <v/>
      </c>
      <c r="L545" s="19">
        <f>IF(AND(ISNUMBER(H545),ISNUMBER(I545)),(I545-H545)*1440,"")</f>
        <v/>
      </c>
      <c r="M545" s="15">
        <f>IF(ISNUMBER(F545),HOUR(F545),"")</f>
        <v/>
      </c>
    </row>
    <row r="546" ht="15.75" customHeight="1" s="36">
      <c r="A546" s="2" t="n"/>
      <c r="B546" s="12" t="n"/>
      <c r="C546" s="14" t="n"/>
      <c r="D546" s="14" t="n"/>
      <c r="E546" s="14" t="n"/>
      <c r="F546" s="18" t="n"/>
      <c r="G546" s="18" t="n"/>
      <c r="H546" s="18" t="n"/>
      <c r="I546" s="18" t="n"/>
      <c r="J546" s="14" t="n"/>
      <c r="K546" s="19">
        <f>IF(AND(ISNUMBER(F546),ISNUMBER(G546)),(G546-F546)*1440,"")</f>
        <v/>
      </c>
      <c r="L546" s="19">
        <f>IF(AND(ISNUMBER(H546),ISNUMBER(I546)),(I546-H546)*1440,"")</f>
        <v/>
      </c>
      <c r="M546" s="15">
        <f>IF(ISNUMBER(F546),HOUR(F546),"")</f>
        <v/>
      </c>
    </row>
    <row r="547" ht="15.75" customHeight="1" s="36">
      <c r="A547" s="2" t="n"/>
      <c r="B547" s="12" t="n"/>
      <c r="C547" s="14" t="n"/>
      <c r="D547" s="14" t="n"/>
      <c r="E547" s="14" t="n"/>
      <c r="F547" s="18" t="n"/>
      <c r="G547" s="18" t="n"/>
      <c r="H547" s="18" t="n"/>
      <c r="I547" s="18" t="n"/>
      <c r="J547" s="14" t="n"/>
      <c r="K547" s="19">
        <f>IF(AND(ISNUMBER(F547),ISNUMBER(G547)),(G547-F547)*1440,"")</f>
        <v/>
      </c>
      <c r="L547" s="19">
        <f>IF(AND(ISNUMBER(H547),ISNUMBER(I547)),(I547-H547)*1440,"")</f>
        <v/>
      </c>
      <c r="M547" s="15">
        <f>IF(ISNUMBER(F547),HOUR(F547),"")</f>
        <v/>
      </c>
    </row>
    <row r="548" ht="15.75" customHeight="1" s="36">
      <c r="A548" s="2" t="n"/>
      <c r="B548" s="12" t="n"/>
      <c r="C548" s="14" t="n"/>
      <c r="D548" s="14" t="n"/>
      <c r="E548" s="14" t="n"/>
      <c r="F548" s="18" t="n"/>
      <c r="G548" s="18" t="n"/>
      <c r="H548" s="18" t="n"/>
      <c r="I548" s="18" t="n"/>
      <c r="J548" s="14" t="n"/>
      <c r="K548" s="19">
        <f>IF(AND(ISNUMBER(F548),ISNUMBER(G548)),(G548-F548)*1440,"")</f>
        <v/>
      </c>
      <c r="L548" s="19">
        <f>IF(AND(ISNUMBER(H548),ISNUMBER(I548)),(I548-H548)*1440,"")</f>
        <v/>
      </c>
      <c r="M548" s="15">
        <f>IF(ISNUMBER(F548),HOUR(F548),"")</f>
        <v/>
      </c>
    </row>
    <row r="549" ht="15.75" customHeight="1" s="36">
      <c r="A549" s="2" t="n"/>
      <c r="B549" s="12" t="n"/>
      <c r="C549" s="14" t="n"/>
      <c r="D549" s="14" t="n"/>
      <c r="E549" s="14" t="n"/>
      <c r="F549" s="18" t="n"/>
      <c r="G549" s="18" t="n"/>
      <c r="H549" s="18" t="n"/>
      <c r="I549" s="18" t="n"/>
      <c r="J549" s="14" t="n"/>
      <c r="K549" s="19">
        <f>IF(AND(ISNUMBER(F549),ISNUMBER(G549)),(G549-F549)*1440,"")</f>
        <v/>
      </c>
      <c r="L549" s="19">
        <f>IF(AND(ISNUMBER(H549),ISNUMBER(I549)),(I549-H549)*1440,"")</f>
        <v/>
      </c>
      <c r="M549" s="15">
        <f>IF(ISNUMBER(F549),HOUR(F549),"")</f>
        <v/>
      </c>
    </row>
    <row r="550" ht="15.75" customHeight="1" s="36">
      <c r="A550" s="2" t="n"/>
      <c r="B550" s="12" t="n"/>
      <c r="C550" s="14" t="n"/>
      <c r="D550" s="14" t="n"/>
      <c r="E550" s="14" t="n"/>
      <c r="F550" s="18" t="n"/>
      <c r="G550" s="18" t="n"/>
      <c r="H550" s="18" t="n"/>
      <c r="I550" s="18" t="n"/>
      <c r="J550" s="14" t="n"/>
      <c r="K550" s="19">
        <f>IF(AND(ISNUMBER(F550),ISNUMBER(G550)),(G550-F550)*1440,"")</f>
        <v/>
      </c>
      <c r="L550" s="19">
        <f>IF(AND(ISNUMBER(H550),ISNUMBER(I550)),(I550-H550)*1440,"")</f>
        <v/>
      </c>
      <c r="M550" s="15">
        <f>IF(ISNUMBER(F550),HOUR(F550),"")</f>
        <v/>
      </c>
    </row>
    <row r="551" ht="15.75" customHeight="1" s="36">
      <c r="A551" s="2" t="n"/>
      <c r="B551" s="12" t="n"/>
      <c r="C551" s="14" t="n"/>
      <c r="D551" s="14" t="n"/>
      <c r="E551" s="14" t="n"/>
      <c r="F551" s="18" t="n"/>
      <c r="G551" s="18" t="n"/>
      <c r="H551" s="18" t="n"/>
      <c r="I551" s="18" t="n"/>
      <c r="J551" s="14" t="n"/>
      <c r="K551" s="19">
        <f>IF(AND(ISNUMBER(F551),ISNUMBER(G551)),(G551-F551)*1440,"")</f>
        <v/>
      </c>
      <c r="L551" s="19">
        <f>IF(AND(ISNUMBER(H551),ISNUMBER(I551)),(I551-H551)*1440,"")</f>
        <v/>
      </c>
      <c r="M551" s="15">
        <f>IF(ISNUMBER(F551),HOUR(F551),"")</f>
        <v/>
      </c>
    </row>
    <row r="552" ht="15.75" customHeight="1" s="36">
      <c r="A552" s="2" t="n"/>
      <c r="B552" s="12" t="n"/>
      <c r="C552" s="14" t="n"/>
      <c r="D552" s="14" t="n"/>
      <c r="E552" s="14" t="n"/>
      <c r="F552" s="18" t="n"/>
      <c r="G552" s="18" t="n"/>
      <c r="H552" s="18" t="n"/>
      <c r="I552" s="18" t="n"/>
      <c r="J552" s="14" t="n"/>
      <c r="K552" s="19">
        <f>IF(AND(ISNUMBER(F552),ISNUMBER(G552)),(G552-F552)*1440,"")</f>
        <v/>
      </c>
      <c r="L552" s="19">
        <f>IF(AND(ISNUMBER(H552),ISNUMBER(I552)),(I552-H552)*1440,"")</f>
        <v/>
      </c>
      <c r="M552" s="15">
        <f>IF(ISNUMBER(F552),HOUR(F552),"")</f>
        <v/>
      </c>
    </row>
    <row r="553" ht="15.75" customHeight="1" s="36">
      <c r="A553" s="2" t="n"/>
      <c r="B553" s="12" t="n"/>
      <c r="C553" s="14" t="n"/>
      <c r="D553" s="14" t="n"/>
      <c r="E553" s="14" t="n"/>
      <c r="F553" s="18" t="n"/>
      <c r="G553" s="18" t="n"/>
      <c r="H553" s="18" t="n"/>
      <c r="I553" s="18" t="n"/>
      <c r="J553" s="14" t="n"/>
      <c r="K553" s="19">
        <f>IF(AND(ISNUMBER(F553),ISNUMBER(G553)),(G553-F553)*1440,"")</f>
        <v/>
      </c>
      <c r="L553" s="19">
        <f>IF(AND(ISNUMBER(H553),ISNUMBER(I553)),(I553-H553)*1440,"")</f>
        <v/>
      </c>
      <c r="M553" s="15">
        <f>IF(ISNUMBER(F553),HOUR(F553),"")</f>
        <v/>
      </c>
    </row>
    <row r="554" ht="15.75" customHeight="1" s="36">
      <c r="A554" s="2" t="n"/>
      <c r="B554" s="12" t="n"/>
      <c r="C554" s="14" t="n"/>
      <c r="D554" s="14" t="n"/>
      <c r="E554" s="14" t="n"/>
      <c r="F554" s="18" t="n"/>
      <c r="G554" s="18" t="n"/>
      <c r="H554" s="18" t="n"/>
      <c r="I554" s="18" t="n"/>
      <c r="J554" s="14" t="n"/>
      <c r="K554" s="19">
        <f>IF(AND(ISNUMBER(F554),ISNUMBER(G554)),(G554-F554)*1440,"")</f>
        <v/>
      </c>
      <c r="L554" s="19">
        <f>IF(AND(ISNUMBER(H554),ISNUMBER(I554)),(I554-H554)*1440,"")</f>
        <v/>
      </c>
      <c r="M554" s="15">
        <f>IF(ISNUMBER(F554),HOUR(F554),"")</f>
        <v/>
      </c>
    </row>
    <row r="555" ht="15.75" customHeight="1" s="36">
      <c r="A555" s="2" t="n"/>
      <c r="B555" s="12" t="n"/>
      <c r="C555" s="14" t="n"/>
      <c r="D555" s="14" t="n"/>
      <c r="E555" s="14" t="n"/>
      <c r="F555" s="18" t="n"/>
      <c r="G555" s="18" t="n"/>
      <c r="H555" s="18" t="n"/>
      <c r="I555" s="18" t="n"/>
      <c r="J555" s="14" t="n"/>
      <c r="K555" s="19">
        <f>IF(AND(ISNUMBER(F555),ISNUMBER(G555)),(G555-F555)*1440,"")</f>
        <v/>
      </c>
      <c r="L555" s="19">
        <f>IF(AND(ISNUMBER(H555),ISNUMBER(I555)),(I555-H555)*1440,"")</f>
        <v/>
      </c>
      <c r="M555" s="15">
        <f>IF(ISNUMBER(F555),HOUR(F555),"")</f>
        <v/>
      </c>
    </row>
    <row r="556" ht="15.75" customHeight="1" s="36">
      <c r="A556" s="2" t="n"/>
      <c r="B556" s="12" t="n"/>
      <c r="C556" s="14" t="n"/>
      <c r="D556" s="14" t="n"/>
      <c r="E556" s="14" t="n"/>
      <c r="F556" s="18" t="n"/>
      <c r="G556" s="18" t="n"/>
      <c r="H556" s="18" t="n"/>
      <c r="I556" s="18" t="n"/>
      <c r="J556" s="14" t="n"/>
      <c r="K556" s="19">
        <f>IF(AND(ISNUMBER(F556),ISNUMBER(G556)),(G556-F556)*1440,"")</f>
        <v/>
      </c>
      <c r="L556" s="19">
        <f>IF(AND(ISNUMBER(H556),ISNUMBER(I556)),(I556-H556)*1440,"")</f>
        <v/>
      </c>
      <c r="M556" s="15">
        <f>IF(ISNUMBER(F556),HOUR(F556),"")</f>
        <v/>
      </c>
    </row>
    <row r="557" ht="15.75" customHeight="1" s="36">
      <c r="A557" s="2" t="n"/>
      <c r="B557" s="12" t="n"/>
      <c r="C557" s="14" t="n"/>
      <c r="D557" s="14" t="n"/>
      <c r="E557" s="14" t="n"/>
      <c r="F557" s="18" t="n"/>
      <c r="G557" s="18" t="n"/>
      <c r="H557" s="18" t="n"/>
      <c r="I557" s="18" t="n"/>
      <c r="J557" s="14" t="n"/>
      <c r="K557" s="19">
        <f>IF(AND(ISNUMBER(F557),ISNUMBER(G557)),(G557-F557)*1440,"")</f>
        <v/>
      </c>
      <c r="L557" s="19">
        <f>IF(AND(ISNUMBER(H557),ISNUMBER(I557)),(I557-H557)*1440,"")</f>
        <v/>
      </c>
      <c r="M557" s="15">
        <f>IF(ISNUMBER(F557),HOUR(F557),"")</f>
        <v/>
      </c>
    </row>
    <row r="558" ht="15.75" customHeight="1" s="36">
      <c r="A558" s="2" t="n"/>
      <c r="B558" s="12" t="n"/>
      <c r="C558" s="14" t="n"/>
      <c r="D558" s="14" t="n"/>
      <c r="E558" s="14" t="n"/>
      <c r="F558" s="18" t="n"/>
      <c r="G558" s="18" t="n"/>
      <c r="H558" s="18" t="n"/>
      <c r="I558" s="18" t="n"/>
      <c r="J558" s="14" t="n"/>
      <c r="K558" s="19">
        <f>IF(AND(ISNUMBER(F558),ISNUMBER(G558)),(G558-F558)*1440,"")</f>
        <v/>
      </c>
      <c r="L558" s="19">
        <f>IF(AND(ISNUMBER(H558),ISNUMBER(I558)),(I558-H558)*1440,"")</f>
        <v/>
      </c>
      <c r="M558" s="15">
        <f>IF(ISNUMBER(F558),HOUR(F558),"")</f>
        <v/>
      </c>
    </row>
    <row r="559" ht="15.75" customHeight="1" s="36">
      <c r="A559" s="2" t="n"/>
      <c r="B559" s="12" t="n"/>
      <c r="C559" s="14" t="n"/>
      <c r="D559" s="14" t="n"/>
      <c r="E559" s="14" t="n"/>
      <c r="F559" s="18" t="n"/>
      <c r="G559" s="18" t="n"/>
      <c r="H559" s="18" t="n"/>
      <c r="I559" s="18" t="n"/>
      <c r="J559" s="14" t="n"/>
      <c r="K559" s="19">
        <f>IF(AND(ISNUMBER(F559),ISNUMBER(G559)),(G559-F559)*1440,"")</f>
        <v/>
      </c>
      <c r="L559" s="19">
        <f>IF(AND(ISNUMBER(H559),ISNUMBER(I559)),(I559-H559)*1440,"")</f>
        <v/>
      </c>
      <c r="M559" s="15">
        <f>IF(ISNUMBER(F559),HOUR(F559),"")</f>
        <v/>
      </c>
    </row>
    <row r="560" ht="15.75" customHeight="1" s="36">
      <c r="A560" s="2" t="n"/>
      <c r="B560" s="12" t="n"/>
      <c r="C560" s="14" t="n"/>
      <c r="D560" s="14" t="n"/>
      <c r="E560" s="14" t="n"/>
      <c r="F560" s="18" t="n"/>
      <c r="G560" s="18" t="n"/>
      <c r="H560" s="18" t="n"/>
      <c r="I560" s="18" t="n"/>
      <c r="J560" s="14" t="n"/>
      <c r="K560" s="19">
        <f>IF(AND(ISNUMBER(F560),ISNUMBER(G560)),(G560-F560)*1440,"")</f>
        <v/>
      </c>
      <c r="L560" s="19">
        <f>IF(AND(ISNUMBER(H560),ISNUMBER(I560)),(I560-H560)*1440,"")</f>
        <v/>
      </c>
      <c r="M560" s="15">
        <f>IF(ISNUMBER(F560),HOUR(F560),"")</f>
        <v/>
      </c>
    </row>
    <row r="561" ht="15.75" customHeight="1" s="36">
      <c r="A561" s="2" t="n"/>
      <c r="B561" s="12" t="n"/>
      <c r="C561" s="14" t="n"/>
      <c r="D561" s="14" t="n"/>
      <c r="E561" s="14" t="n"/>
      <c r="F561" s="18" t="n"/>
      <c r="G561" s="18" t="n"/>
      <c r="H561" s="18" t="n"/>
      <c r="I561" s="18" t="n"/>
      <c r="J561" s="14" t="n"/>
      <c r="K561" s="19">
        <f>IF(AND(ISNUMBER(F561),ISNUMBER(G561)),(G561-F561)*1440,"")</f>
        <v/>
      </c>
      <c r="L561" s="19">
        <f>IF(AND(ISNUMBER(H561),ISNUMBER(I561)),(I561-H561)*1440,"")</f>
        <v/>
      </c>
      <c r="M561" s="15">
        <f>IF(ISNUMBER(F561),HOUR(F561),"")</f>
        <v/>
      </c>
    </row>
    <row r="562" ht="15.75" customHeight="1" s="36">
      <c r="A562" s="2" t="n"/>
      <c r="B562" s="12" t="n"/>
      <c r="C562" s="14" t="n"/>
      <c r="D562" s="14" t="n"/>
      <c r="E562" s="14" t="n"/>
      <c r="F562" s="18" t="n"/>
      <c r="G562" s="18" t="n"/>
      <c r="H562" s="18" t="n"/>
      <c r="I562" s="18" t="n"/>
      <c r="J562" s="14" t="n"/>
      <c r="K562" s="19">
        <f>IF(AND(ISNUMBER(F562),ISNUMBER(G562)),(G562-F562)*1440,"")</f>
        <v/>
      </c>
      <c r="L562" s="19">
        <f>IF(AND(ISNUMBER(H562),ISNUMBER(I562)),(I562-H562)*1440,"")</f>
        <v/>
      </c>
      <c r="M562" s="15">
        <f>IF(ISNUMBER(F562),HOUR(F562),"")</f>
        <v/>
      </c>
    </row>
    <row r="563" ht="15.75" customHeight="1" s="36">
      <c r="A563" s="2" t="n"/>
      <c r="B563" s="12" t="n"/>
      <c r="C563" s="14" t="n"/>
      <c r="D563" s="14" t="n"/>
      <c r="E563" s="14" t="n"/>
      <c r="F563" s="18" t="n"/>
      <c r="G563" s="18" t="n"/>
      <c r="H563" s="18" t="n"/>
      <c r="I563" s="18" t="n"/>
      <c r="J563" s="14" t="n"/>
      <c r="K563" s="19">
        <f>IF(AND(ISNUMBER(F563),ISNUMBER(G563)),(G563-F563)*1440,"")</f>
        <v/>
      </c>
      <c r="L563" s="19">
        <f>IF(AND(ISNUMBER(H563),ISNUMBER(I563)),(I563-H563)*1440,"")</f>
        <v/>
      </c>
      <c r="M563" s="15">
        <f>IF(ISNUMBER(F563),HOUR(F563),"")</f>
        <v/>
      </c>
    </row>
    <row r="564" ht="15.75" customHeight="1" s="36">
      <c r="A564" s="2" t="n"/>
      <c r="B564" s="12" t="n"/>
      <c r="C564" s="14" t="n"/>
      <c r="D564" s="14" t="n"/>
      <c r="E564" s="14" t="n"/>
      <c r="F564" s="18" t="n"/>
      <c r="G564" s="18" t="n"/>
      <c r="H564" s="18" t="n"/>
      <c r="I564" s="18" t="n"/>
      <c r="J564" s="14" t="n"/>
      <c r="K564" s="19">
        <f>IF(AND(ISNUMBER(F564),ISNUMBER(G564)),(G564-F564)*1440,"")</f>
        <v/>
      </c>
      <c r="L564" s="19">
        <f>IF(AND(ISNUMBER(H564),ISNUMBER(I564)),(I564-H564)*1440,"")</f>
        <v/>
      </c>
      <c r="M564" s="15">
        <f>IF(ISNUMBER(F564),HOUR(F564),"")</f>
        <v/>
      </c>
    </row>
    <row r="565" ht="15.75" customHeight="1" s="36">
      <c r="A565" s="2" t="n"/>
      <c r="B565" s="12" t="n"/>
      <c r="C565" s="14" t="n"/>
      <c r="D565" s="14" t="n"/>
      <c r="E565" s="14" t="n"/>
      <c r="F565" s="18" t="n"/>
      <c r="G565" s="18" t="n"/>
      <c r="H565" s="18" t="n"/>
      <c r="I565" s="18" t="n"/>
      <c r="J565" s="14" t="n"/>
      <c r="K565" s="19">
        <f>IF(AND(ISNUMBER(F565),ISNUMBER(G565)),(G565-F565)*1440,"")</f>
        <v/>
      </c>
      <c r="L565" s="19">
        <f>IF(AND(ISNUMBER(H565),ISNUMBER(I565)),(I565-H565)*1440,"")</f>
        <v/>
      </c>
      <c r="M565" s="15">
        <f>IF(ISNUMBER(F565),HOUR(F565),"")</f>
        <v/>
      </c>
    </row>
    <row r="566" ht="15.75" customHeight="1" s="36">
      <c r="A566" s="2" t="n"/>
      <c r="B566" s="12" t="n"/>
      <c r="C566" s="14" t="n"/>
      <c r="D566" s="14" t="n"/>
      <c r="E566" s="14" t="n"/>
      <c r="F566" s="18" t="n"/>
      <c r="G566" s="18" t="n"/>
      <c r="H566" s="18" t="n"/>
      <c r="I566" s="18" t="n"/>
      <c r="J566" s="14" t="n"/>
      <c r="K566" s="19">
        <f>IF(AND(ISNUMBER(F566),ISNUMBER(G566)),(G566-F566)*1440,"")</f>
        <v/>
      </c>
      <c r="L566" s="19">
        <f>IF(AND(ISNUMBER(H566),ISNUMBER(I566)),(I566-H566)*1440,"")</f>
        <v/>
      </c>
      <c r="M566" s="15">
        <f>IF(ISNUMBER(F566),HOUR(F566),"")</f>
        <v/>
      </c>
    </row>
    <row r="567" ht="15.75" customHeight="1" s="36">
      <c r="A567" s="2" t="n"/>
      <c r="B567" s="12" t="n"/>
      <c r="C567" s="14" t="n"/>
      <c r="D567" s="14" t="n"/>
      <c r="E567" s="14" t="n"/>
      <c r="F567" s="18" t="n"/>
      <c r="G567" s="18" t="n"/>
      <c r="H567" s="18" t="n"/>
      <c r="I567" s="18" t="n"/>
      <c r="J567" s="14" t="n"/>
      <c r="K567" s="19">
        <f>IF(AND(ISNUMBER(F567),ISNUMBER(G567)),(G567-F567)*1440,"")</f>
        <v/>
      </c>
      <c r="L567" s="19">
        <f>IF(AND(ISNUMBER(H567),ISNUMBER(I567)),(I567-H567)*1440,"")</f>
        <v/>
      </c>
      <c r="M567" s="15">
        <f>IF(ISNUMBER(F567),HOUR(F567),"")</f>
        <v/>
      </c>
    </row>
    <row r="568" ht="15.75" customHeight="1" s="36">
      <c r="A568" s="2" t="n"/>
      <c r="B568" s="12" t="n"/>
      <c r="C568" s="14" t="n"/>
      <c r="D568" s="14" t="n"/>
      <c r="E568" s="14" t="n"/>
      <c r="F568" s="18" t="n"/>
      <c r="G568" s="18" t="n"/>
      <c r="H568" s="18" t="n"/>
      <c r="I568" s="18" t="n"/>
      <c r="J568" s="14" t="n"/>
      <c r="K568" s="19">
        <f>IF(AND(ISNUMBER(F568),ISNUMBER(G568)),(G568-F568)*1440,"")</f>
        <v/>
      </c>
      <c r="L568" s="19">
        <f>IF(AND(ISNUMBER(H568),ISNUMBER(I568)),(I568-H568)*1440,"")</f>
        <v/>
      </c>
      <c r="M568" s="15">
        <f>IF(ISNUMBER(F568),HOUR(F568),"")</f>
        <v/>
      </c>
    </row>
    <row r="569" ht="15.75" customHeight="1" s="36">
      <c r="A569" s="2" t="n"/>
      <c r="B569" s="12" t="n"/>
      <c r="C569" s="14" t="n"/>
      <c r="D569" s="14" t="n"/>
      <c r="E569" s="14" t="n"/>
      <c r="F569" s="18" t="n"/>
      <c r="G569" s="18" t="n"/>
      <c r="H569" s="18" t="n"/>
      <c r="I569" s="18" t="n"/>
      <c r="J569" s="14" t="n"/>
      <c r="K569" s="19">
        <f>IF(AND(ISNUMBER(F569),ISNUMBER(G569)),(G569-F569)*1440,"")</f>
        <v/>
      </c>
      <c r="L569" s="19">
        <f>IF(AND(ISNUMBER(H569),ISNUMBER(I569)),(I569-H569)*1440,"")</f>
        <v/>
      </c>
      <c r="M569" s="15">
        <f>IF(ISNUMBER(F569),HOUR(F569),"")</f>
        <v/>
      </c>
    </row>
    <row r="570" ht="15.75" customHeight="1" s="36">
      <c r="A570" s="2" t="n"/>
      <c r="B570" s="12" t="n"/>
      <c r="C570" s="14" t="n"/>
      <c r="D570" s="14" t="n"/>
      <c r="E570" s="14" t="n"/>
      <c r="F570" s="18" t="n"/>
      <c r="G570" s="18" t="n"/>
      <c r="H570" s="18" t="n"/>
      <c r="I570" s="18" t="n"/>
      <c r="J570" s="14" t="n"/>
      <c r="K570" s="19">
        <f>IF(AND(ISNUMBER(F570),ISNUMBER(G570)),(G570-F570)*1440,"")</f>
        <v/>
      </c>
      <c r="L570" s="19">
        <f>IF(AND(ISNUMBER(H570),ISNUMBER(I570)),(I570-H570)*1440,"")</f>
        <v/>
      </c>
      <c r="M570" s="15">
        <f>IF(ISNUMBER(F570),HOUR(F570),"")</f>
        <v/>
      </c>
    </row>
    <row r="571" ht="15.75" customHeight="1" s="36">
      <c r="A571" s="2" t="n"/>
      <c r="B571" s="12" t="n"/>
      <c r="C571" s="14" t="n"/>
      <c r="D571" s="14" t="n"/>
      <c r="E571" s="14" t="n"/>
      <c r="F571" s="18" t="n"/>
      <c r="G571" s="18" t="n"/>
      <c r="H571" s="18" t="n"/>
      <c r="I571" s="18" t="n"/>
      <c r="J571" s="14" t="n"/>
      <c r="K571" s="19">
        <f>IF(AND(ISNUMBER(F571),ISNUMBER(G571)),(G571-F571)*1440,"")</f>
        <v/>
      </c>
      <c r="L571" s="19">
        <f>IF(AND(ISNUMBER(H571),ISNUMBER(I571)),(I571-H571)*1440,"")</f>
        <v/>
      </c>
      <c r="M571" s="15">
        <f>IF(ISNUMBER(F571),HOUR(F571),"")</f>
        <v/>
      </c>
    </row>
    <row r="572" ht="15.75" customHeight="1" s="36">
      <c r="A572" s="2" t="n"/>
      <c r="B572" s="12" t="n"/>
      <c r="C572" s="14" t="n"/>
      <c r="D572" s="14" t="n"/>
      <c r="E572" s="14" t="n"/>
      <c r="F572" s="18" t="n"/>
      <c r="G572" s="18" t="n"/>
      <c r="H572" s="18" t="n"/>
      <c r="I572" s="18" t="n"/>
      <c r="J572" s="14" t="n"/>
      <c r="K572" s="19">
        <f>IF(AND(ISNUMBER(F572),ISNUMBER(G572)),(G572-F572)*1440,"")</f>
        <v/>
      </c>
      <c r="L572" s="19">
        <f>IF(AND(ISNUMBER(H572),ISNUMBER(I572)),(I572-H572)*1440,"")</f>
        <v/>
      </c>
      <c r="M572" s="15">
        <f>IF(ISNUMBER(F572),HOUR(F572),"")</f>
        <v/>
      </c>
    </row>
    <row r="573" ht="15.75" customHeight="1" s="36">
      <c r="A573" s="2" t="n"/>
      <c r="B573" s="12" t="n"/>
      <c r="C573" s="14" t="n"/>
      <c r="D573" s="14" t="n"/>
      <c r="E573" s="14" t="n"/>
      <c r="F573" s="18" t="n"/>
      <c r="G573" s="18" t="n"/>
      <c r="H573" s="18" t="n"/>
      <c r="I573" s="18" t="n"/>
      <c r="J573" s="14" t="n"/>
      <c r="K573" s="19">
        <f>IF(AND(ISNUMBER(F573),ISNUMBER(G573)),(G573-F573)*1440,"")</f>
        <v/>
      </c>
      <c r="L573" s="19">
        <f>IF(AND(ISNUMBER(H573),ISNUMBER(I573)),(I573-H573)*1440,"")</f>
        <v/>
      </c>
      <c r="M573" s="15">
        <f>IF(ISNUMBER(F573),HOUR(F573),"")</f>
        <v/>
      </c>
    </row>
    <row r="574" ht="15.75" customHeight="1" s="36">
      <c r="A574" s="2" t="n"/>
      <c r="B574" s="12" t="n"/>
      <c r="C574" s="14" t="n"/>
      <c r="D574" s="14" t="n"/>
      <c r="E574" s="14" t="n"/>
      <c r="F574" s="18" t="n"/>
      <c r="G574" s="18" t="n"/>
      <c r="H574" s="18" t="n"/>
      <c r="I574" s="18" t="n"/>
      <c r="J574" s="14" t="n"/>
      <c r="K574" s="19">
        <f>IF(AND(ISNUMBER(F574),ISNUMBER(G574)),(G574-F574)*1440,"")</f>
        <v/>
      </c>
      <c r="L574" s="19">
        <f>IF(AND(ISNUMBER(H574),ISNUMBER(I574)),(I574-H574)*1440,"")</f>
        <v/>
      </c>
      <c r="M574" s="15">
        <f>IF(ISNUMBER(F574),HOUR(F574),"")</f>
        <v/>
      </c>
    </row>
    <row r="575" ht="15.75" customHeight="1" s="36">
      <c r="A575" s="2" t="n"/>
      <c r="B575" s="12" t="n"/>
      <c r="C575" s="14" t="n"/>
      <c r="D575" s="14" t="n"/>
      <c r="E575" s="14" t="n"/>
      <c r="F575" s="18" t="n"/>
      <c r="G575" s="18" t="n"/>
      <c r="H575" s="18" t="n"/>
      <c r="I575" s="18" t="n"/>
      <c r="J575" s="14" t="n"/>
      <c r="K575" s="19">
        <f>IF(AND(ISNUMBER(F575),ISNUMBER(G575)),(G575-F575)*1440,"")</f>
        <v/>
      </c>
      <c r="L575" s="19">
        <f>IF(AND(ISNUMBER(H575),ISNUMBER(I575)),(I575-H575)*1440,"")</f>
        <v/>
      </c>
      <c r="M575" s="15">
        <f>IF(ISNUMBER(F575),HOUR(F575),"")</f>
        <v/>
      </c>
    </row>
    <row r="576" ht="15.75" customHeight="1" s="36">
      <c r="A576" s="2" t="n"/>
      <c r="B576" s="12" t="n"/>
      <c r="C576" s="14" t="n"/>
      <c r="D576" s="14" t="n"/>
      <c r="E576" s="14" t="n"/>
      <c r="F576" s="18" t="n"/>
      <c r="G576" s="18" t="n"/>
      <c r="H576" s="18" t="n"/>
      <c r="I576" s="18" t="n"/>
      <c r="J576" s="14" t="n"/>
      <c r="K576" s="19">
        <f>IF(AND(ISNUMBER(F576),ISNUMBER(G576)),(G576-F576)*1440,"")</f>
        <v/>
      </c>
      <c r="L576" s="19">
        <f>IF(AND(ISNUMBER(H576),ISNUMBER(I576)),(I576-H576)*1440,"")</f>
        <v/>
      </c>
      <c r="M576" s="15">
        <f>IF(ISNUMBER(F576),HOUR(F576),"")</f>
        <v/>
      </c>
    </row>
    <row r="577" ht="15.75" customHeight="1" s="36">
      <c r="A577" s="2" t="n"/>
      <c r="B577" s="12" t="n"/>
      <c r="C577" s="14" t="n"/>
      <c r="D577" s="14" t="n"/>
      <c r="E577" s="14" t="n"/>
      <c r="F577" s="18" t="n"/>
      <c r="G577" s="18" t="n"/>
      <c r="H577" s="18" t="n"/>
      <c r="I577" s="18" t="n"/>
      <c r="J577" s="14" t="n"/>
      <c r="K577" s="19">
        <f>IF(AND(ISNUMBER(F577),ISNUMBER(G577)),(G577-F577)*1440,"")</f>
        <v/>
      </c>
      <c r="L577" s="19">
        <f>IF(AND(ISNUMBER(H577),ISNUMBER(I577)),(I577-H577)*1440,"")</f>
        <v/>
      </c>
      <c r="M577" s="15">
        <f>IF(ISNUMBER(F577),HOUR(F577),"")</f>
        <v/>
      </c>
    </row>
    <row r="578" ht="15.75" customHeight="1" s="36">
      <c r="A578" s="2" t="n"/>
      <c r="B578" s="12" t="n"/>
      <c r="C578" s="14" t="n"/>
      <c r="D578" s="14" t="n"/>
      <c r="E578" s="14" t="n"/>
      <c r="F578" s="18" t="n"/>
      <c r="G578" s="18" t="n"/>
      <c r="H578" s="18" t="n"/>
      <c r="I578" s="18" t="n"/>
      <c r="J578" s="14" t="n"/>
      <c r="K578" s="19">
        <f>IF(AND(ISNUMBER(F578),ISNUMBER(G578)),(G578-F578)*1440,"")</f>
        <v/>
      </c>
      <c r="L578" s="19">
        <f>IF(AND(ISNUMBER(H578),ISNUMBER(I578)),(I578-H578)*1440,"")</f>
        <v/>
      </c>
      <c r="M578" s="15">
        <f>IF(ISNUMBER(F578),HOUR(F578),"")</f>
        <v/>
      </c>
    </row>
    <row r="579" ht="15.75" customHeight="1" s="36">
      <c r="A579" s="2" t="n"/>
      <c r="B579" s="12" t="n"/>
      <c r="C579" s="14" t="n"/>
      <c r="D579" s="14" t="n"/>
      <c r="E579" s="14" t="n"/>
      <c r="F579" s="18" t="n"/>
      <c r="G579" s="18" t="n"/>
      <c r="H579" s="18" t="n"/>
      <c r="I579" s="18" t="n"/>
      <c r="J579" s="14" t="n"/>
      <c r="K579" s="19">
        <f>IF(AND(ISNUMBER(F579),ISNUMBER(G579)),(G579-F579)*1440,"")</f>
        <v/>
      </c>
      <c r="L579" s="19">
        <f>IF(AND(ISNUMBER(H579),ISNUMBER(I579)),(I579-H579)*1440,"")</f>
        <v/>
      </c>
      <c r="M579" s="15">
        <f>IF(ISNUMBER(F579),HOUR(F579),"")</f>
        <v/>
      </c>
    </row>
    <row r="580" ht="15.75" customHeight="1" s="36">
      <c r="A580" s="2" t="n"/>
      <c r="B580" s="12" t="n"/>
      <c r="C580" s="14" t="n"/>
      <c r="D580" s="14" t="n"/>
      <c r="E580" s="14" t="n"/>
      <c r="F580" s="18" t="n"/>
      <c r="G580" s="18" t="n"/>
      <c r="H580" s="18" t="n"/>
      <c r="I580" s="18" t="n"/>
      <c r="J580" s="14" t="n"/>
      <c r="K580" s="19">
        <f>IF(AND(ISNUMBER(F580),ISNUMBER(G580)),(G580-F580)*1440,"")</f>
        <v/>
      </c>
      <c r="L580" s="19">
        <f>IF(AND(ISNUMBER(H580),ISNUMBER(I580)),(I580-H580)*1440,"")</f>
        <v/>
      </c>
      <c r="M580" s="15">
        <f>IF(ISNUMBER(F580),HOUR(F580),"")</f>
        <v/>
      </c>
    </row>
    <row r="581" ht="15.75" customHeight="1" s="36">
      <c r="A581" s="2" t="n"/>
      <c r="B581" s="12" t="n"/>
      <c r="C581" s="14" t="n"/>
      <c r="D581" s="14" t="n"/>
      <c r="E581" s="14" t="n"/>
      <c r="F581" s="18" t="n"/>
      <c r="G581" s="18" t="n"/>
      <c r="H581" s="18" t="n"/>
      <c r="I581" s="18" t="n"/>
      <c r="J581" s="14" t="n"/>
      <c r="K581" s="19">
        <f>IF(AND(ISNUMBER(F581),ISNUMBER(G581)),(G581-F581)*1440,"")</f>
        <v/>
      </c>
      <c r="L581" s="19">
        <f>IF(AND(ISNUMBER(H581),ISNUMBER(I581)),(I581-H581)*1440,"")</f>
        <v/>
      </c>
      <c r="M581" s="15">
        <f>IF(ISNUMBER(F581),HOUR(F581),"")</f>
        <v/>
      </c>
    </row>
    <row r="582" ht="15.75" customHeight="1" s="36">
      <c r="A582" s="2" t="n"/>
      <c r="B582" s="12" t="n"/>
      <c r="C582" s="14" t="n"/>
      <c r="D582" s="14" t="n"/>
      <c r="E582" s="14" t="n"/>
      <c r="F582" s="18" t="n"/>
      <c r="G582" s="18" t="n"/>
      <c r="H582" s="18" t="n"/>
      <c r="I582" s="18" t="n"/>
      <c r="J582" s="14" t="n"/>
      <c r="K582" s="19">
        <f>IF(AND(ISNUMBER(F582),ISNUMBER(G582)),(G582-F582)*1440,"")</f>
        <v/>
      </c>
      <c r="L582" s="19">
        <f>IF(AND(ISNUMBER(H582),ISNUMBER(I582)),(I582-H582)*1440,"")</f>
        <v/>
      </c>
      <c r="M582" s="15">
        <f>IF(ISNUMBER(F582),HOUR(F582),"")</f>
        <v/>
      </c>
    </row>
    <row r="583" ht="15.75" customHeight="1" s="36">
      <c r="A583" s="2" t="n"/>
      <c r="B583" s="12" t="n"/>
      <c r="C583" s="14" t="n"/>
      <c r="D583" s="14" t="n"/>
      <c r="E583" s="14" t="n"/>
      <c r="F583" s="18" t="n"/>
      <c r="G583" s="18" t="n"/>
      <c r="H583" s="18" t="n"/>
      <c r="I583" s="18" t="n"/>
      <c r="J583" s="14" t="n"/>
      <c r="K583" s="19">
        <f>IF(AND(ISNUMBER(F583),ISNUMBER(G583)),(G583-F583)*1440,"")</f>
        <v/>
      </c>
      <c r="L583" s="19">
        <f>IF(AND(ISNUMBER(H583),ISNUMBER(I583)),(I583-H583)*1440,"")</f>
        <v/>
      </c>
      <c r="M583" s="15">
        <f>IF(ISNUMBER(F583),HOUR(F583),"")</f>
        <v/>
      </c>
    </row>
    <row r="584" ht="15.75" customHeight="1" s="36">
      <c r="A584" s="2" t="n"/>
      <c r="B584" s="12" t="n"/>
      <c r="C584" s="14" t="n"/>
      <c r="D584" s="14" t="n"/>
      <c r="E584" s="14" t="n"/>
      <c r="F584" s="18" t="n"/>
      <c r="G584" s="18" t="n"/>
      <c r="H584" s="18" t="n"/>
      <c r="I584" s="18" t="n"/>
      <c r="J584" s="14" t="n"/>
      <c r="K584" s="19">
        <f>IF(AND(ISNUMBER(F584),ISNUMBER(G584)),(G584-F584)*1440,"")</f>
        <v/>
      </c>
      <c r="L584" s="19">
        <f>IF(AND(ISNUMBER(H584),ISNUMBER(I584)),(I584-H584)*1440,"")</f>
        <v/>
      </c>
      <c r="M584" s="15">
        <f>IF(ISNUMBER(F584),HOUR(F584),"")</f>
        <v/>
      </c>
    </row>
    <row r="585" ht="15.75" customHeight="1" s="36">
      <c r="A585" s="2" t="n"/>
      <c r="B585" s="12" t="n"/>
      <c r="C585" s="14" t="n"/>
      <c r="D585" s="14" t="n"/>
      <c r="E585" s="14" t="n"/>
      <c r="F585" s="18" t="n"/>
      <c r="G585" s="18" t="n"/>
      <c r="H585" s="18" t="n"/>
      <c r="I585" s="18" t="n"/>
      <c r="J585" s="14" t="n"/>
      <c r="K585" s="19">
        <f>IF(AND(ISNUMBER(F585),ISNUMBER(G585)),(G585-F585)*1440,"")</f>
        <v/>
      </c>
      <c r="L585" s="19">
        <f>IF(AND(ISNUMBER(H585),ISNUMBER(I585)),(I585-H585)*1440,"")</f>
        <v/>
      </c>
      <c r="M585" s="15">
        <f>IF(ISNUMBER(F585),HOUR(F585),"")</f>
        <v/>
      </c>
    </row>
    <row r="586" ht="15.75" customHeight="1" s="36">
      <c r="A586" s="2" t="n"/>
      <c r="B586" s="12" t="n"/>
      <c r="C586" s="14" t="n"/>
      <c r="D586" s="14" t="n"/>
      <c r="E586" s="14" t="n"/>
      <c r="F586" s="18" t="n"/>
      <c r="G586" s="18" t="n"/>
      <c r="H586" s="18" t="n"/>
      <c r="I586" s="18" t="n"/>
      <c r="J586" s="14" t="n"/>
      <c r="K586" s="19">
        <f>IF(AND(ISNUMBER(F586),ISNUMBER(G586)),(G586-F586)*1440,"")</f>
        <v/>
      </c>
      <c r="L586" s="19">
        <f>IF(AND(ISNUMBER(H586),ISNUMBER(I586)),(I586-H586)*1440,"")</f>
        <v/>
      </c>
      <c r="M586" s="15">
        <f>IF(ISNUMBER(F586),HOUR(F586),"")</f>
        <v/>
      </c>
    </row>
    <row r="587" ht="15.75" customHeight="1" s="36">
      <c r="A587" s="2" t="n"/>
      <c r="B587" s="12" t="n"/>
      <c r="C587" s="14" t="n"/>
      <c r="D587" s="14" t="n"/>
      <c r="E587" s="14" t="n"/>
      <c r="F587" s="18" t="n"/>
      <c r="G587" s="18" t="n"/>
      <c r="H587" s="18" t="n"/>
      <c r="I587" s="18" t="n"/>
      <c r="J587" s="14" t="n"/>
      <c r="K587" s="19">
        <f>IF(AND(ISNUMBER(F587),ISNUMBER(G587)),(G587-F587)*1440,"")</f>
        <v/>
      </c>
      <c r="L587" s="19">
        <f>IF(AND(ISNUMBER(H587),ISNUMBER(I587)),(I587-H587)*1440,"")</f>
        <v/>
      </c>
      <c r="M587" s="15">
        <f>IF(ISNUMBER(F587),HOUR(F587),"")</f>
        <v/>
      </c>
    </row>
    <row r="588" ht="15.75" customHeight="1" s="36">
      <c r="A588" s="2" t="n"/>
      <c r="B588" s="12" t="n"/>
      <c r="C588" s="14" t="n"/>
      <c r="D588" s="14" t="n"/>
      <c r="E588" s="14" t="n"/>
      <c r="F588" s="18" t="n"/>
      <c r="G588" s="18" t="n"/>
      <c r="H588" s="18" t="n"/>
      <c r="I588" s="18" t="n"/>
      <c r="J588" s="14" t="n"/>
      <c r="K588" s="19">
        <f>IF(AND(ISNUMBER(F588),ISNUMBER(G588)),(G588-F588)*1440,"")</f>
        <v/>
      </c>
      <c r="L588" s="19">
        <f>IF(AND(ISNUMBER(H588),ISNUMBER(I588)),(I588-H588)*1440,"")</f>
        <v/>
      </c>
      <c r="M588" s="15">
        <f>IF(ISNUMBER(F588),HOUR(F588),"")</f>
        <v/>
      </c>
    </row>
    <row r="589" ht="15.75" customHeight="1" s="36">
      <c r="A589" s="2" t="n"/>
      <c r="B589" s="12" t="n"/>
      <c r="C589" s="14" t="n"/>
      <c r="D589" s="14" t="n"/>
      <c r="E589" s="14" t="n"/>
      <c r="F589" s="18" t="n"/>
      <c r="G589" s="18" t="n"/>
      <c r="H589" s="18" t="n"/>
      <c r="I589" s="18" t="n"/>
      <c r="J589" s="14" t="n"/>
      <c r="K589" s="19">
        <f>IF(AND(ISNUMBER(F589),ISNUMBER(G589)),(G589-F589)*1440,"")</f>
        <v/>
      </c>
      <c r="L589" s="19">
        <f>IF(AND(ISNUMBER(H589),ISNUMBER(I589)),(I589-H589)*1440,"")</f>
        <v/>
      </c>
      <c r="M589" s="15">
        <f>IF(ISNUMBER(F589),HOUR(F589),"")</f>
        <v/>
      </c>
    </row>
    <row r="590" ht="15.75" customHeight="1" s="36">
      <c r="A590" s="2" t="n"/>
      <c r="B590" s="12" t="n"/>
      <c r="C590" s="14" t="n"/>
      <c r="D590" s="14" t="n"/>
      <c r="E590" s="14" t="n"/>
      <c r="F590" s="18" t="n"/>
      <c r="G590" s="18" t="n"/>
      <c r="H590" s="18" t="n"/>
      <c r="I590" s="18" t="n"/>
      <c r="J590" s="14" t="n"/>
      <c r="K590" s="19">
        <f>IF(AND(ISNUMBER(F590),ISNUMBER(G590)),(G590-F590)*1440,"")</f>
        <v/>
      </c>
      <c r="L590" s="19">
        <f>IF(AND(ISNUMBER(H590),ISNUMBER(I590)),(I590-H590)*1440,"")</f>
        <v/>
      </c>
      <c r="M590" s="15">
        <f>IF(ISNUMBER(F590),HOUR(F590),"")</f>
        <v/>
      </c>
    </row>
    <row r="591" ht="15.75" customHeight="1" s="36">
      <c r="A591" s="2" t="n"/>
      <c r="B591" s="12" t="n"/>
      <c r="C591" s="14" t="n"/>
      <c r="D591" s="14" t="n"/>
      <c r="E591" s="14" t="n"/>
      <c r="F591" s="18" t="n"/>
      <c r="G591" s="18" t="n"/>
      <c r="H591" s="18" t="n"/>
      <c r="I591" s="18" t="n"/>
      <c r="J591" s="14" t="n"/>
      <c r="K591" s="19">
        <f>IF(AND(ISNUMBER(F591),ISNUMBER(G591)),(G591-F591)*1440,"")</f>
        <v/>
      </c>
      <c r="L591" s="19">
        <f>IF(AND(ISNUMBER(H591),ISNUMBER(I591)),(I591-H591)*1440,"")</f>
        <v/>
      </c>
      <c r="M591" s="15">
        <f>IF(ISNUMBER(F591),HOUR(F591),"")</f>
        <v/>
      </c>
    </row>
    <row r="592" ht="15.75" customHeight="1" s="36">
      <c r="A592" s="2" t="n"/>
      <c r="B592" s="12" t="n"/>
      <c r="C592" s="14" t="n"/>
      <c r="D592" s="14" t="n"/>
      <c r="E592" s="14" t="n"/>
      <c r="F592" s="18" t="n"/>
      <c r="G592" s="18" t="n"/>
      <c r="H592" s="18" t="n"/>
      <c r="I592" s="18" t="n"/>
      <c r="J592" s="14" t="n"/>
      <c r="K592" s="19">
        <f>IF(AND(ISNUMBER(F592),ISNUMBER(G592)),(G592-F592)*1440,"")</f>
        <v/>
      </c>
      <c r="L592" s="19">
        <f>IF(AND(ISNUMBER(H592),ISNUMBER(I592)),(I592-H592)*1440,"")</f>
        <v/>
      </c>
      <c r="M592" s="15">
        <f>IF(ISNUMBER(F592),HOUR(F592),"")</f>
        <v/>
      </c>
    </row>
    <row r="593" ht="15.75" customHeight="1" s="36">
      <c r="A593" s="2" t="n"/>
      <c r="B593" s="12" t="n"/>
      <c r="C593" s="14" t="n"/>
      <c r="D593" s="14" t="n"/>
      <c r="E593" s="14" t="n"/>
      <c r="F593" s="18" t="n"/>
      <c r="G593" s="18" t="n"/>
      <c r="H593" s="18" t="n"/>
      <c r="I593" s="18" t="n"/>
      <c r="J593" s="14" t="n"/>
      <c r="K593" s="19">
        <f>IF(AND(ISNUMBER(F593),ISNUMBER(G593)),(G593-F593)*1440,"")</f>
        <v/>
      </c>
      <c r="L593" s="19">
        <f>IF(AND(ISNUMBER(H593),ISNUMBER(I593)),(I593-H593)*1440,"")</f>
        <v/>
      </c>
      <c r="M593" s="15">
        <f>IF(ISNUMBER(F593),HOUR(F593),"")</f>
        <v/>
      </c>
    </row>
    <row r="594" ht="15.75" customHeight="1" s="36">
      <c r="A594" s="2" t="n"/>
      <c r="B594" s="12" t="n"/>
      <c r="C594" s="14" t="n"/>
      <c r="D594" s="14" t="n"/>
      <c r="E594" s="14" t="n"/>
      <c r="F594" s="18" t="n"/>
      <c r="G594" s="18" t="n"/>
      <c r="H594" s="18" t="n"/>
      <c r="I594" s="18" t="n"/>
      <c r="J594" s="14" t="n"/>
      <c r="K594" s="19">
        <f>IF(AND(ISNUMBER(F594),ISNUMBER(G594)),(G594-F594)*1440,"")</f>
        <v/>
      </c>
      <c r="L594" s="19">
        <f>IF(AND(ISNUMBER(H594),ISNUMBER(I594)),(I594-H594)*1440,"")</f>
        <v/>
      </c>
      <c r="M594" s="15">
        <f>IF(ISNUMBER(F594),HOUR(F594),"")</f>
        <v/>
      </c>
    </row>
    <row r="595" ht="15.75" customHeight="1" s="36">
      <c r="A595" s="2" t="n"/>
      <c r="B595" s="12" t="n"/>
      <c r="C595" s="14" t="n"/>
      <c r="D595" s="14" t="n"/>
      <c r="E595" s="14" t="n"/>
      <c r="F595" s="18" t="n"/>
      <c r="G595" s="18" t="n"/>
      <c r="H595" s="18" t="n"/>
      <c r="I595" s="18" t="n"/>
      <c r="J595" s="14" t="n"/>
      <c r="K595" s="19">
        <f>IF(AND(ISNUMBER(F595),ISNUMBER(G595)),(G595-F595)*1440,"")</f>
        <v/>
      </c>
      <c r="L595" s="19">
        <f>IF(AND(ISNUMBER(H595),ISNUMBER(I595)),(I595-H595)*1440,"")</f>
        <v/>
      </c>
      <c r="M595" s="15">
        <f>IF(ISNUMBER(F595),HOUR(F595),"")</f>
        <v/>
      </c>
    </row>
    <row r="596" ht="15.75" customHeight="1" s="36">
      <c r="A596" s="2" t="n"/>
      <c r="B596" s="12" t="n"/>
      <c r="C596" s="14" t="n"/>
      <c r="D596" s="14" t="n"/>
      <c r="E596" s="14" t="n"/>
      <c r="F596" s="18" t="n"/>
      <c r="G596" s="18" t="n"/>
      <c r="H596" s="18" t="n"/>
      <c r="I596" s="18" t="n"/>
      <c r="J596" s="14" t="n"/>
      <c r="K596" s="19">
        <f>IF(AND(ISNUMBER(F596),ISNUMBER(G596)),(G596-F596)*1440,"")</f>
        <v/>
      </c>
      <c r="L596" s="19">
        <f>IF(AND(ISNUMBER(H596),ISNUMBER(I596)),(I596-H596)*1440,"")</f>
        <v/>
      </c>
      <c r="M596" s="15">
        <f>IF(ISNUMBER(F596),HOUR(F596),"")</f>
        <v/>
      </c>
    </row>
    <row r="597" ht="15.75" customHeight="1" s="36">
      <c r="A597" s="2" t="n"/>
      <c r="B597" s="12" t="n"/>
      <c r="C597" s="14" t="n"/>
      <c r="D597" s="14" t="n"/>
      <c r="E597" s="14" t="n"/>
      <c r="F597" s="18" t="n"/>
      <c r="G597" s="18" t="n"/>
      <c r="H597" s="18" t="n"/>
      <c r="I597" s="18" t="n"/>
      <c r="J597" s="14" t="n"/>
      <c r="K597" s="19">
        <f>IF(AND(ISNUMBER(F597),ISNUMBER(G597)),(G597-F597)*1440,"")</f>
        <v/>
      </c>
      <c r="L597" s="19">
        <f>IF(AND(ISNUMBER(H597),ISNUMBER(I597)),(I597-H597)*1440,"")</f>
        <v/>
      </c>
      <c r="M597" s="15">
        <f>IF(ISNUMBER(F597),HOUR(F597),"")</f>
        <v/>
      </c>
    </row>
    <row r="598" ht="15.75" customHeight="1" s="36">
      <c r="A598" s="2" t="n"/>
      <c r="B598" s="12" t="n"/>
      <c r="C598" s="14" t="n"/>
      <c r="D598" s="14" t="n"/>
      <c r="E598" s="14" t="n"/>
      <c r="F598" s="18" t="n"/>
      <c r="G598" s="18" t="n"/>
      <c r="H598" s="18" t="n"/>
      <c r="I598" s="18" t="n"/>
      <c r="J598" s="14" t="n"/>
      <c r="K598" s="19">
        <f>IF(AND(ISNUMBER(F598),ISNUMBER(G598)),(G598-F598)*1440,"")</f>
        <v/>
      </c>
      <c r="L598" s="19">
        <f>IF(AND(ISNUMBER(H598),ISNUMBER(I598)),(I598-H598)*1440,"")</f>
        <v/>
      </c>
      <c r="M598" s="15">
        <f>IF(ISNUMBER(F598),HOUR(F598),"")</f>
        <v/>
      </c>
    </row>
    <row r="599" ht="15.75" customHeight="1" s="36">
      <c r="A599" s="2" t="n"/>
      <c r="B599" s="12" t="n"/>
      <c r="C599" s="14" t="n"/>
      <c r="D599" s="14" t="n"/>
      <c r="E599" s="14" t="n"/>
      <c r="F599" s="18" t="n"/>
      <c r="G599" s="18" t="n"/>
      <c r="H599" s="18" t="n"/>
      <c r="I599" s="18" t="n"/>
      <c r="J599" s="14" t="n"/>
      <c r="K599" s="19">
        <f>IF(AND(ISNUMBER(F599),ISNUMBER(G599)),(G599-F599)*1440,"")</f>
        <v/>
      </c>
      <c r="L599" s="19">
        <f>IF(AND(ISNUMBER(H599),ISNUMBER(I599)),(I599-H599)*1440,"")</f>
        <v/>
      </c>
      <c r="M599" s="15">
        <f>IF(ISNUMBER(F599),HOUR(F599),"")</f>
        <v/>
      </c>
    </row>
    <row r="600" ht="15.75" customHeight="1" s="36">
      <c r="A600" s="2" t="n"/>
      <c r="B600" s="12" t="n"/>
      <c r="C600" s="14" t="n"/>
      <c r="D600" s="14" t="n"/>
      <c r="E600" s="14" t="n"/>
      <c r="F600" s="18" t="n"/>
      <c r="G600" s="18" t="n"/>
      <c r="H600" s="18" t="n"/>
      <c r="I600" s="18" t="n"/>
      <c r="J600" s="14" t="n"/>
      <c r="K600" s="19">
        <f>IF(AND(ISNUMBER(F600),ISNUMBER(G600)),(G600-F600)*1440,"")</f>
        <v/>
      </c>
      <c r="L600" s="19">
        <f>IF(AND(ISNUMBER(H600),ISNUMBER(I600)),(I600-H600)*1440,"")</f>
        <v/>
      </c>
      <c r="M600" s="15">
        <f>IF(ISNUMBER(F600),HOUR(F600),"")</f>
        <v/>
      </c>
    </row>
    <row r="601" ht="15.75" customHeight="1" s="36">
      <c r="A601" s="2" t="n"/>
      <c r="B601" s="12" t="n"/>
      <c r="C601" s="14" t="n"/>
      <c r="D601" s="14" t="n"/>
      <c r="E601" s="14" t="n"/>
      <c r="F601" s="18" t="n"/>
      <c r="G601" s="18" t="n"/>
      <c r="H601" s="18" t="n"/>
      <c r="I601" s="18" t="n"/>
      <c r="J601" s="14" t="n"/>
      <c r="K601" s="19">
        <f>IF(AND(ISNUMBER(F601),ISNUMBER(G601)),(G601-F601)*1440,"")</f>
        <v/>
      </c>
      <c r="L601" s="19">
        <f>IF(AND(ISNUMBER(H601),ISNUMBER(I601)),(I601-H601)*1440,"")</f>
        <v/>
      </c>
      <c r="M601" s="15">
        <f>IF(ISNUMBER(F601),HOUR(F601),"")</f>
        <v/>
      </c>
    </row>
    <row r="602" ht="15.75" customHeight="1" s="36">
      <c r="A602" s="2" t="n"/>
      <c r="B602" s="12" t="n"/>
      <c r="C602" s="14" t="n"/>
      <c r="D602" s="14" t="n"/>
      <c r="E602" s="14" t="n"/>
      <c r="F602" s="18" t="n"/>
      <c r="G602" s="18" t="n"/>
      <c r="H602" s="18" t="n"/>
      <c r="I602" s="18" t="n"/>
      <c r="J602" s="14" t="n"/>
      <c r="K602" s="19">
        <f>IF(AND(ISNUMBER(F602),ISNUMBER(G602)),(G602-F602)*1440,"")</f>
        <v/>
      </c>
      <c r="L602" s="19">
        <f>IF(AND(ISNUMBER(H602),ISNUMBER(I602)),(I602-H602)*1440,"")</f>
        <v/>
      </c>
      <c r="M602" s="15">
        <f>IF(ISNUMBER(F602),HOUR(F602),"")</f>
        <v/>
      </c>
    </row>
    <row r="603" ht="15.75" customHeight="1" s="36">
      <c r="A603" s="2" t="n"/>
      <c r="B603" s="12" t="n"/>
      <c r="C603" s="14" t="n"/>
      <c r="D603" s="14" t="n"/>
      <c r="E603" s="14" t="n"/>
      <c r="F603" s="18" t="n"/>
      <c r="G603" s="18" t="n"/>
      <c r="H603" s="18" t="n"/>
      <c r="I603" s="18" t="n"/>
      <c r="J603" s="14" t="n"/>
      <c r="K603" s="19">
        <f>IF(AND(ISNUMBER(F603),ISNUMBER(G603)),(G603-F603)*1440,"")</f>
        <v/>
      </c>
      <c r="L603" s="19">
        <f>IF(AND(ISNUMBER(H603),ISNUMBER(I603)),(I603-H603)*1440,"")</f>
        <v/>
      </c>
      <c r="M603" s="15">
        <f>IF(ISNUMBER(F603),HOUR(F603),"")</f>
        <v/>
      </c>
    </row>
    <row r="604" ht="15.75" customHeight="1" s="36">
      <c r="A604" s="2" t="n"/>
      <c r="B604" s="12" t="n"/>
      <c r="C604" s="14" t="n"/>
      <c r="D604" s="14" t="n"/>
      <c r="E604" s="14" t="n"/>
      <c r="F604" s="18" t="n"/>
      <c r="G604" s="18" t="n"/>
      <c r="H604" s="18" t="n"/>
      <c r="I604" s="18" t="n"/>
      <c r="J604" s="14" t="n"/>
      <c r="K604" s="19">
        <f>IF(AND(ISNUMBER(F604),ISNUMBER(G604)),(G604-F604)*1440,"")</f>
        <v/>
      </c>
      <c r="L604" s="19">
        <f>IF(AND(ISNUMBER(H604),ISNUMBER(I604)),(I604-H604)*1440,"")</f>
        <v/>
      </c>
      <c r="M604" s="15">
        <f>IF(ISNUMBER(F604),HOUR(F604),"")</f>
        <v/>
      </c>
    </row>
    <row r="605" ht="15.75" customHeight="1" s="36">
      <c r="A605" s="2" t="n"/>
      <c r="B605" s="12" t="n"/>
      <c r="C605" s="14" t="n"/>
      <c r="D605" s="14" t="n"/>
      <c r="E605" s="14" t="n"/>
      <c r="F605" s="18" t="n"/>
      <c r="G605" s="18" t="n"/>
      <c r="H605" s="18" t="n"/>
      <c r="I605" s="18" t="n"/>
      <c r="J605" s="14" t="n"/>
      <c r="K605" s="19">
        <f>IF(AND(ISNUMBER(F605),ISNUMBER(G605)),(G605-F605)*1440,"")</f>
        <v/>
      </c>
      <c r="L605" s="19">
        <f>IF(AND(ISNUMBER(H605),ISNUMBER(I605)),(I605-H605)*1440,"")</f>
        <v/>
      </c>
      <c r="M605" s="15">
        <f>IF(ISNUMBER(F605),HOUR(F605),"")</f>
        <v/>
      </c>
    </row>
    <row r="606" ht="15.75" customHeight="1" s="36">
      <c r="A606" s="2" t="n"/>
      <c r="B606" s="12" t="n"/>
      <c r="C606" s="14" t="n"/>
      <c r="D606" s="14" t="n"/>
      <c r="E606" s="14" t="n"/>
      <c r="F606" s="18" t="n"/>
      <c r="G606" s="18" t="n"/>
      <c r="H606" s="18" t="n"/>
      <c r="I606" s="18" t="n"/>
      <c r="J606" s="14" t="n"/>
      <c r="K606" s="19">
        <f>IF(AND(ISNUMBER(F606),ISNUMBER(G606)),(G606-F606)*1440,"")</f>
        <v/>
      </c>
      <c r="L606" s="19">
        <f>IF(AND(ISNUMBER(H606),ISNUMBER(I606)),(I606-H606)*1440,"")</f>
        <v/>
      </c>
      <c r="M606" s="15">
        <f>IF(ISNUMBER(F606),HOUR(F606),"")</f>
        <v/>
      </c>
    </row>
    <row r="607" ht="15.75" customHeight="1" s="36">
      <c r="A607" s="2" t="n"/>
      <c r="B607" s="12" t="n"/>
      <c r="C607" s="14" t="n"/>
      <c r="D607" s="14" t="n"/>
      <c r="E607" s="14" t="n"/>
      <c r="F607" s="18" t="n"/>
      <c r="G607" s="18" t="n"/>
      <c r="H607" s="18" t="n"/>
      <c r="I607" s="18" t="n"/>
      <c r="J607" s="14" t="n"/>
      <c r="K607" s="19">
        <f>IF(AND(ISNUMBER(F607),ISNUMBER(G607)),(G607-F607)*1440,"")</f>
        <v/>
      </c>
      <c r="L607" s="19">
        <f>IF(AND(ISNUMBER(H607),ISNUMBER(I607)),(I607-H607)*1440,"")</f>
        <v/>
      </c>
      <c r="M607" s="15">
        <f>IF(ISNUMBER(F607),HOUR(F607),"")</f>
        <v/>
      </c>
    </row>
    <row r="608" ht="15.75" customHeight="1" s="36">
      <c r="A608" s="2" t="n"/>
      <c r="B608" s="12" t="n"/>
      <c r="C608" s="14" t="n"/>
      <c r="D608" s="14" t="n"/>
      <c r="E608" s="14" t="n"/>
      <c r="F608" s="18" t="n"/>
      <c r="G608" s="18" t="n"/>
      <c r="H608" s="18" t="n"/>
      <c r="I608" s="18" t="n"/>
      <c r="J608" s="14" t="n"/>
      <c r="K608" s="19">
        <f>IF(AND(ISNUMBER(F608),ISNUMBER(G608)),(G608-F608)*1440,"")</f>
        <v/>
      </c>
      <c r="L608" s="19">
        <f>IF(AND(ISNUMBER(H608),ISNUMBER(I608)),(I608-H608)*1440,"")</f>
        <v/>
      </c>
      <c r="M608" s="15">
        <f>IF(ISNUMBER(F608),HOUR(F608),"")</f>
        <v/>
      </c>
    </row>
    <row r="609" ht="15.75" customHeight="1" s="36">
      <c r="A609" s="2" t="n"/>
      <c r="B609" s="12" t="n"/>
      <c r="C609" s="14" t="n"/>
      <c r="D609" s="14" t="n"/>
      <c r="E609" s="14" t="n"/>
      <c r="F609" s="18" t="n"/>
      <c r="G609" s="18" t="n"/>
      <c r="H609" s="18" t="n"/>
      <c r="I609" s="18" t="n"/>
      <c r="J609" s="14" t="n"/>
      <c r="K609" s="19">
        <f>IF(AND(ISNUMBER(F609),ISNUMBER(G609)),(G609-F609)*1440,"")</f>
        <v/>
      </c>
      <c r="L609" s="19">
        <f>IF(AND(ISNUMBER(H609),ISNUMBER(I609)),(I609-H609)*1440,"")</f>
        <v/>
      </c>
      <c r="M609" s="15">
        <f>IF(ISNUMBER(F609),HOUR(F609),"")</f>
        <v/>
      </c>
    </row>
    <row r="610" ht="15.75" customHeight="1" s="36">
      <c r="A610" s="2" t="n"/>
      <c r="B610" s="12" t="n"/>
      <c r="C610" s="14" t="n"/>
      <c r="D610" s="14" t="n"/>
      <c r="E610" s="14" t="n"/>
      <c r="F610" s="18" t="n"/>
      <c r="G610" s="18" t="n"/>
      <c r="H610" s="18" t="n"/>
      <c r="I610" s="18" t="n"/>
      <c r="J610" s="14" t="n"/>
      <c r="K610" s="19">
        <f>IF(AND(ISNUMBER(F610),ISNUMBER(G610)),(G610-F610)*1440,"")</f>
        <v/>
      </c>
      <c r="L610" s="19">
        <f>IF(AND(ISNUMBER(H610),ISNUMBER(I610)),(I610-H610)*1440,"")</f>
        <v/>
      </c>
      <c r="M610" s="15">
        <f>IF(ISNUMBER(F610),HOUR(F610),"")</f>
        <v/>
      </c>
    </row>
    <row r="611" ht="15.75" customHeight="1" s="36">
      <c r="A611" s="2" t="n"/>
      <c r="B611" s="12" t="n"/>
      <c r="C611" s="14" t="n"/>
      <c r="D611" s="14" t="n"/>
      <c r="E611" s="14" t="n"/>
      <c r="F611" s="18" t="n"/>
      <c r="G611" s="18" t="n"/>
      <c r="H611" s="18" t="n"/>
      <c r="I611" s="18" t="n"/>
      <c r="J611" s="14" t="n"/>
      <c r="K611" s="19">
        <f>IF(AND(ISNUMBER(F611),ISNUMBER(G611)),(G611-F611)*1440,"")</f>
        <v/>
      </c>
      <c r="L611" s="19">
        <f>IF(AND(ISNUMBER(H611),ISNUMBER(I611)),(I611-H611)*1440,"")</f>
        <v/>
      </c>
      <c r="M611" s="15">
        <f>IF(ISNUMBER(F611),HOUR(F611),"")</f>
        <v/>
      </c>
    </row>
    <row r="612" ht="15.75" customHeight="1" s="36">
      <c r="A612" s="2" t="n"/>
      <c r="B612" s="12" t="n"/>
      <c r="C612" s="14" t="n"/>
      <c r="D612" s="14" t="n"/>
      <c r="E612" s="14" t="n"/>
      <c r="F612" s="18" t="n"/>
      <c r="G612" s="18" t="n"/>
      <c r="H612" s="18" t="n"/>
      <c r="I612" s="18" t="n"/>
      <c r="J612" s="14" t="n"/>
      <c r="K612" s="19">
        <f>IF(AND(ISNUMBER(F612),ISNUMBER(G612)),(G612-F612)*1440,"")</f>
        <v/>
      </c>
      <c r="L612" s="19">
        <f>IF(AND(ISNUMBER(H612),ISNUMBER(I612)),(I612-H612)*1440,"")</f>
        <v/>
      </c>
      <c r="M612" s="15">
        <f>IF(ISNUMBER(F612),HOUR(F612),"")</f>
        <v/>
      </c>
    </row>
    <row r="613" ht="15.75" customHeight="1" s="36">
      <c r="A613" s="2" t="n"/>
      <c r="B613" s="12" t="n"/>
      <c r="C613" s="14" t="n"/>
      <c r="D613" s="14" t="n"/>
      <c r="E613" s="14" t="n"/>
      <c r="F613" s="18" t="n"/>
      <c r="G613" s="18" t="n"/>
      <c r="H613" s="18" t="n"/>
      <c r="I613" s="18" t="n"/>
      <c r="J613" s="14" t="n"/>
      <c r="K613" s="19">
        <f>IF(AND(ISNUMBER(F613),ISNUMBER(G613)),(G613-F613)*1440,"")</f>
        <v/>
      </c>
      <c r="L613" s="19">
        <f>IF(AND(ISNUMBER(H613),ISNUMBER(I613)),(I613-H613)*1440,"")</f>
        <v/>
      </c>
      <c r="M613" s="15">
        <f>IF(ISNUMBER(F613),HOUR(F613),"")</f>
        <v/>
      </c>
    </row>
    <row r="614" ht="15.75" customHeight="1" s="36">
      <c r="A614" s="2" t="n"/>
      <c r="B614" s="12" t="n"/>
      <c r="C614" s="14" t="n"/>
      <c r="D614" s="14" t="n"/>
      <c r="E614" s="14" t="n"/>
      <c r="F614" s="18" t="n"/>
      <c r="G614" s="18" t="n"/>
      <c r="H614" s="18" t="n"/>
      <c r="I614" s="18" t="n"/>
      <c r="J614" s="14" t="n"/>
      <c r="K614" s="19">
        <f>IF(AND(ISNUMBER(F614),ISNUMBER(G614)),(G614-F614)*1440,"")</f>
        <v/>
      </c>
      <c r="L614" s="19">
        <f>IF(AND(ISNUMBER(H614),ISNUMBER(I614)),(I614-H614)*1440,"")</f>
        <v/>
      </c>
      <c r="M614" s="15">
        <f>IF(ISNUMBER(F614),HOUR(F614),"")</f>
        <v/>
      </c>
    </row>
    <row r="615" ht="15.75" customHeight="1" s="36">
      <c r="A615" s="2" t="n"/>
      <c r="B615" s="12" t="n"/>
      <c r="C615" s="14" t="n"/>
      <c r="D615" s="14" t="n"/>
      <c r="E615" s="14" t="n"/>
      <c r="F615" s="18" t="n"/>
      <c r="G615" s="18" t="n"/>
      <c r="H615" s="18" t="n"/>
      <c r="I615" s="18" t="n"/>
      <c r="J615" s="14" t="n"/>
      <c r="K615" s="19">
        <f>IF(AND(ISNUMBER(F615),ISNUMBER(G615)),(G615-F615)*1440,"")</f>
        <v/>
      </c>
      <c r="L615" s="19">
        <f>IF(AND(ISNUMBER(H615),ISNUMBER(I615)),(I615-H615)*1440,"")</f>
        <v/>
      </c>
      <c r="M615" s="15">
        <f>IF(ISNUMBER(F615),HOUR(F615),"")</f>
        <v/>
      </c>
    </row>
    <row r="616" ht="15.75" customHeight="1" s="36">
      <c r="A616" s="2" t="n"/>
      <c r="B616" s="12" t="n"/>
      <c r="C616" s="14" t="n"/>
      <c r="D616" s="14" t="n"/>
      <c r="E616" s="14" t="n"/>
      <c r="F616" s="18" t="n"/>
      <c r="G616" s="18" t="n"/>
      <c r="H616" s="18" t="n"/>
      <c r="I616" s="18" t="n"/>
      <c r="J616" s="14" t="n"/>
      <c r="K616" s="19">
        <f>IF(AND(ISNUMBER(F616),ISNUMBER(G616)),(G616-F616)*1440,"")</f>
        <v/>
      </c>
      <c r="L616" s="19">
        <f>IF(AND(ISNUMBER(H616),ISNUMBER(I616)),(I616-H616)*1440,"")</f>
        <v/>
      </c>
      <c r="M616" s="15">
        <f>IF(ISNUMBER(F616),HOUR(F616),"")</f>
        <v/>
      </c>
    </row>
    <row r="617" ht="15.75" customHeight="1" s="36">
      <c r="A617" s="2" t="n"/>
      <c r="B617" s="12" t="n"/>
      <c r="C617" s="14" t="n"/>
      <c r="D617" s="14" t="n"/>
      <c r="E617" s="14" t="n"/>
      <c r="F617" s="18" t="n"/>
      <c r="G617" s="18" t="n"/>
      <c r="H617" s="18" t="n"/>
      <c r="I617" s="18" t="n"/>
      <c r="J617" s="14" t="n"/>
      <c r="K617" s="19">
        <f>IF(AND(ISNUMBER(F617),ISNUMBER(G617)),(G617-F617)*1440,"")</f>
        <v/>
      </c>
      <c r="L617" s="19">
        <f>IF(AND(ISNUMBER(H617),ISNUMBER(I617)),(I617-H617)*1440,"")</f>
        <v/>
      </c>
      <c r="M617" s="15">
        <f>IF(ISNUMBER(F617),HOUR(F617),"")</f>
        <v/>
      </c>
    </row>
    <row r="618" ht="15.75" customHeight="1" s="36">
      <c r="A618" s="2" t="n"/>
      <c r="B618" s="12" t="n"/>
      <c r="C618" s="14" t="n"/>
      <c r="D618" s="14" t="n"/>
      <c r="E618" s="14" t="n"/>
      <c r="F618" s="18" t="n"/>
      <c r="G618" s="18" t="n"/>
      <c r="H618" s="18" t="n"/>
      <c r="I618" s="18" t="n"/>
      <c r="J618" s="14" t="n"/>
      <c r="K618" s="19">
        <f>IF(AND(ISNUMBER(F618),ISNUMBER(G618)),(G618-F618)*1440,"")</f>
        <v/>
      </c>
      <c r="L618" s="19">
        <f>IF(AND(ISNUMBER(H618),ISNUMBER(I618)),(I618-H618)*1440,"")</f>
        <v/>
      </c>
      <c r="M618" s="15">
        <f>IF(ISNUMBER(F618),HOUR(F618),"")</f>
        <v/>
      </c>
    </row>
    <row r="619" ht="15.75" customHeight="1" s="36">
      <c r="A619" s="2" t="n"/>
      <c r="B619" s="12" t="n"/>
      <c r="C619" s="14" t="n"/>
      <c r="D619" s="14" t="n"/>
      <c r="E619" s="14" t="n"/>
      <c r="F619" s="18" t="n"/>
      <c r="G619" s="18" t="n"/>
      <c r="H619" s="18" t="n"/>
      <c r="I619" s="18" t="n"/>
      <c r="J619" s="14" t="n"/>
      <c r="K619" s="19">
        <f>IF(AND(ISNUMBER(F619),ISNUMBER(G619)),(G619-F619)*1440,"")</f>
        <v/>
      </c>
      <c r="L619" s="19">
        <f>IF(AND(ISNUMBER(H619),ISNUMBER(I619)),(I619-H619)*1440,"")</f>
        <v/>
      </c>
      <c r="M619" s="15">
        <f>IF(ISNUMBER(F619),HOUR(F619),"")</f>
        <v/>
      </c>
    </row>
    <row r="620" ht="15.75" customHeight="1" s="36">
      <c r="A620" s="2" t="n"/>
      <c r="B620" s="12" t="n"/>
      <c r="C620" s="14" t="n"/>
      <c r="D620" s="14" t="n"/>
      <c r="E620" s="14" t="n"/>
      <c r="F620" s="18" t="n"/>
      <c r="G620" s="18" t="n"/>
      <c r="H620" s="18" t="n"/>
      <c r="I620" s="18" t="n"/>
      <c r="J620" s="14" t="n"/>
      <c r="K620" s="19">
        <f>IF(AND(ISNUMBER(F620),ISNUMBER(G620)),(G620-F620)*1440,"")</f>
        <v/>
      </c>
      <c r="L620" s="19">
        <f>IF(AND(ISNUMBER(H620),ISNUMBER(I620)),(I620-H620)*1440,"")</f>
        <v/>
      </c>
      <c r="M620" s="15">
        <f>IF(ISNUMBER(F620),HOUR(F620),"")</f>
        <v/>
      </c>
    </row>
    <row r="621" ht="15.75" customHeight="1" s="36">
      <c r="A621" s="2" t="n"/>
      <c r="B621" s="12" t="n"/>
      <c r="C621" s="14" t="n"/>
      <c r="D621" s="14" t="n"/>
      <c r="E621" s="14" t="n"/>
      <c r="F621" s="18" t="n"/>
      <c r="G621" s="18" t="n"/>
      <c r="H621" s="18" t="n"/>
      <c r="I621" s="18" t="n"/>
      <c r="J621" s="14" t="n"/>
      <c r="K621" s="19">
        <f>IF(AND(ISNUMBER(F621),ISNUMBER(G621)),(G621-F621)*1440,"")</f>
        <v/>
      </c>
      <c r="L621" s="19">
        <f>IF(AND(ISNUMBER(H621),ISNUMBER(I621)),(I621-H621)*1440,"")</f>
        <v/>
      </c>
      <c r="M621" s="15">
        <f>IF(ISNUMBER(F621),HOUR(F621),"")</f>
        <v/>
      </c>
    </row>
    <row r="622" ht="15.75" customHeight="1" s="36">
      <c r="A622" s="2" t="n"/>
      <c r="B622" s="12" t="n"/>
      <c r="C622" s="14" t="n"/>
      <c r="D622" s="14" t="n"/>
      <c r="E622" s="14" t="n"/>
      <c r="F622" s="18" t="n"/>
      <c r="G622" s="18" t="n"/>
      <c r="H622" s="18" t="n"/>
      <c r="I622" s="18" t="n"/>
      <c r="J622" s="14" t="n"/>
      <c r="K622" s="19">
        <f>IF(AND(ISNUMBER(F622),ISNUMBER(G622)),(G622-F622)*1440,"")</f>
        <v/>
      </c>
      <c r="L622" s="19">
        <f>IF(AND(ISNUMBER(H622),ISNUMBER(I622)),(I622-H622)*1440,"")</f>
        <v/>
      </c>
      <c r="M622" s="15">
        <f>IF(ISNUMBER(F622),HOUR(F622),"")</f>
        <v/>
      </c>
    </row>
    <row r="623" ht="15.75" customHeight="1" s="36">
      <c r="A623" s="2" t="n"/>
      <c r="B623" s="12" t="n"/>
      <c r="C623" s="14" t="n"/>
      <c r="D623" s="14" t="n"/>
      <c r="E623" s="14" t="n"/>
      <c r="F623" s="18" t="n"/>
      <c r="G623" s="18" t="n"/>
      <c r="H623" s="18" t="n"/>
      <c r="I623" s="18" t="n"/>
      <c r="J623" s="14" t="n"/>
      <c r="K623" s="19">
        <f>IF(AND(ISNUMBER(F623),ISNUMBER(G623)),(G623-F623)*1440,"")</f>
        <v/>
      </c>
      <c r="L623" s="19">
        <f>IF(AND(ISNUMBER(H623),ISNUMBER(I623)),(I623-H623)*1440,"")</f>
        <v/>
      </c>
      <c r="M623" s="15">
        <f>IF(ISNUMBER(F623),HOUR(F623),"")</f>
        <v/>
      </c>
    </row>
    <row r="624" ht="15.75" customHeight="1" s="36">
      <c r="A624" s="2" t="n"/>
      <c r="B624" s="12" t="n"/>
      <c r="C624" s="14" t="n"/>
      <c r="D624" s="14" t="n"/>
      <c r="E624" s="14" t="n"/>
      <c r="F624" s="18" t="n"/>
      <c r="G624" s="18" t="n"/>
      <c r="H624" s="18" t="n"/>
      <c r="I624" s="18" t="n"/>
      <c r="J624" s="14" t="n"/>
      <c r="K624" s="19">
        <f>IF(AND(ISNUMBER(F624),ISNUMBER(G624)),(G624-F624)*1440,"")</f>
        <v/>
      </c>
      <c r="L624" s="19">
        <f>IF(AND(ISNUMBER(H624),ISNUMBER(I624)),(I624-H624)*1440,"")</f>
        <v/>
      </c>
      <c r="M624" s="15">
        <f>IF(ISNUMBER(F624),HOUR(F624),"")</f>
        <v/>
      </c>
    </row>
    <row r="625" ht="15.75" customHeight="1" s="36">
      <c r="A625" s="2" t="n"/>
      <c r="B625" s="12" t="n"/>
      <c r="C625" s="14" t="n"/>
      <c r="D625" s="14" t="n"/>
      <c r="E625" s="14" t="n"/>
      <c r="F625" s="18" t="n"/>
      <c r="G625" s="18" t="n"/>
      <c r="H625" s="18" t="n"/>
      <c r="I625" s="18" t="n"/>
      <c r="J625" s="14" t="n"/>
      <c r="K625" s="19">
        <f>IF(AND(ISNUMBER(F625),ISNUMBER(G625)),(G625-F625)*1440,"")</f>
        <v/>
      </c>
      <c r="L625" s="19">
        <f>IF(AND(ISNUMBER(H625),ISNUMBER(I625)),(I625-H625)*1440,"")</f>
        <v/>
      </c>
      <c r="M625" s="15">
        <f>IF(ISNUMBER(F625),HOUR(F625),"")</f>
        <v/>
      </c>
    </row>
    <row r="626" ht="15.75" customHeight="1" s="36">
      <c r="A626" s="2" t="n"/>
      <c r="B626" s="12" t="n"/>
      <c r="C626" s="14" t="n"/>
      <c r="D626" s="14" t="n"/>
      <c r="E626" s="14" t="n"/>
      <c r="F626" s="18" t="n"/>
      <c r="G626" s="18" t="n"/>
      <c r="H626" s="18" t="n"/>
      <c r="I626" s="18" t="n"/>
      <c r="J626" s="14" t="n"/>
      <c r="K626" s="19">
        <f>IF(AND(ISNUMBER(F626),ISNUMBER(G626)),(G626-F626)*1440,"")</f>
        <v/>
      </c>
      <c r="L626" s="19">
        <f>IF(AND(ISNUMBER(H626),ISNUMBER(I626)),(I626-H626)*1440,"")</f>
        <v/>
      </c>
      <c r="M626" s="15">
        <f>IF(ISNUMBER(F626),HOUR(F626),"")</f>
        <v/>
      </c>
    </row>
    <row r="627" ht="15.75" customHeight="1" s="36">
      <c r="A627" s="2" t="n"/>
      <c r="B627" s="12" t="n"/>
      <c r="C627" s="14" t="n"/>
      <c r="D627" s="14" t="n"/>
      <c r="E627" s="14" t="n"/>
      <c r="F627" s="18" t="n"/>
      <c r="G627" s="18" t="n"/>
      <c r="H627" s="18" t="n"/>
      <c r="I627" s="18" t="n"/>
      <c r="J627" s="14" t="n"/>
      <c r="K627" s="19">
        <f>IF(AND(ISNUMBER(F627),ISNUMBER(G627)),(G627-F627)*1440,"")</f>
        <v/>
      </c>
      <c r="L627" s="19">
        <f>IF(AND(ISNUMBER(H627),ISNUMBER(I627)),(I627-H627)*1440,"")</f>
        <v/>
      </c>
      <c r="M627" s="15">
        <f>IF(ISNUMBER(F627),HOUR(F627),"")</f>
        <v/>
      </c>
    </row>
    <row r="628" ht="15.75" customHeight="1" s="36">
      <c r="A628" s="2" t="n"/>
      <c r="B628" s="12" t="n"/>
      <c r="C628" s="14" t="n"/>
      <c r="D628" s="14" t="n"/>
      <c r="E628" s="14" t="n"/>
      <c r="F628" s="18" t="n"/>
      <c r="G628" s="18" t="n"/>
      <c r="H628" s="18" t="n"/>
      <c r="I628" s="18" t="n"/>
      <c r="J628" s="14" t="n"/>
      <c r="K628" s="19">
        <f>IF(AND(ISNUMBER(F628),ISNUMBER(G628)),(G628-F628)*1440,"")</f>
        <v/>
      </c>
      <c r="L628" s="19">
        <f>IF(AND(ISNUMBER(H628),ISNUMBER(I628)),(I628-H628)*1440,"")</f>
        <v/>
      </c>
      <c r="M628" s="15">
        <f>IF(ISNUMBER(F628),HOUR(F628),"")</f>
        <v/>
      </c>
    </row>
    <row r="629" ht="15.75" customHeight="1" s="36">
      <c r="A629" s="2" t="n"/>
      <c r="B629" s="12" t="n"/>
      <c r="C629" s="14" t="n"/>
      <c r="D629" s="14" t="n"/>
      <c r="E629" s="14" t="n"/>
      <c r="F629" s="18" t="n"/>
      <c r="G629" s="18" t="n"/>
      <c r="H629" s="18" t="n"/>
      <c r="I629" s="18" t="n"/>
      <c r="J629" s="14" t="n"/>
      <c r="K629" s="19">
        <f>IF(AND(ISNUMBER(F629),ISNUMBER(G629)),(G629-F629)*1440,"")</f>
        <v/>
      </c>
      <c r="L629" s="19">
        <f>IF(AND(ISNUMBER(H629),ISNUMBER(I629)),(I629-H629)*1440,"")</f>
        <v/>
      </c>
      <c r="M629" s="15">
        <f>IF(ISNUMBER(F629),HOUR(F629),"")</f>
        <v/>
      </c>
    </row>
    <row r="630" ht="15.75" customHeight="1" s="36">
      <c r="A630" s="2" t="n"/>
      <c r="B630" s="12" t="n"/>
      <c r="C630" s="14" t="n"/>
      <c r="D630" s="14" t="n"/>
      <c r="E630" s="14" t="n"/>
      <c r="F630" s="18" t="n"/>
      <c r="G630" s="18" t="n"/>
      <c r="H630" s="18" t="n"/>
      <c r="I630" s="18" t="n"/>
      <c r="J630" s="14" t="n"/>
      <c r="K630" s="19">
        <f>IF(AND(ISNUMBER(F630),ISNUMBER(G630)),(G630-F630)*1440,"")</f>
        <v/>
      </c>
      <c r="L630" s="19">
        <f>IF(AND(ISNUMBER(H630),ISNUMBER(I630)),(I630-H630)*1440,"")</f>
        <v/>
      </c>
      <c r="M630" s="15">
        <f>IF(ISNUMBER(F630),HOUR(F630),"")</f>
        <v/>
      </c>
    </row>
    <row r="631" ht="15.75" customHeight="1" s="36">
      <c r="A631" s="2" t="n"/>
      <c r="B631" s="12" t="n"/>
      <c r="C631" s="14" t="n"/>
      <c r="D631" s="14" t="n"/>
      <c r="E631" s="14" t="n"/>
      <c r="F631" s="18" t="n"/>
      <c r="G631" s="18" t="n"/>
      <c r="H631" s="18" t="n"/>
      <c r="I631" s="18" t="n"/>
      <c r="J631" s="14" t="n"/>
      <c r="K631" s="19">
        <f>IF(AND(ISNUMBER(F631),ISNUMBER(G631)),(G631-F631)*1440,"")</f>
        <v/>
      </c>
      <c r="L631" s="19">
        <f>IF(AND(ISNUMBER(H631),ISNUMBER(I631)),(I631-H631)*1440,"")</f>
        <v/>
      </c>
      <c r="M631" s="15">
        <f>IF(ISNUMBER(F631),HOUR(F631),"")</f>
        <v/>
      </c>
    </row>
    <row r="632" ht="15.75" customHeight="1" s="36">
      <c r="A632" s="2" t="n"/>
      <c r="B632" s="12" t="n"/>
      <c r="C632" s="14" t="n"/>
      <c r="D632" s="14" t="n"/>
      <c r="E632" s="14" t="n"/>
      <c r="F632" s="18" t="n"/>
      <c r="G632" s="18" t="n"/>
      <c r="H632" s="18" t="n"/>
      <c r="I632" s="18" t="n"/>
      <c r="J632" s="14" t="n"/>
      <c r="K632" s="19">
        <f>IF(AND(ISNUMBER(F632),ISNUMBER(G632)),(G632-F632)*1440,"")</f>
        <v/>
      </c>
      <c r="L632" s="19">
        <f>IF(AND(ISNUMBER(H632),ISNUMBER(I632)),(I632-H632)*1440,"")</f>
        <v/>
      </c>
      <c r="M632" s="15">
        <f>IF(ISNUMBER(F632),HOUR(F632),"")</f>
        <v/>
      </c>
    </row>
    <row r="633" ht="15.75" customHeight="1" s="36">
      <c r="A633" s="2" t="n"/>
      <c r="B633" s="12" t="n"/>
      <c r="C633" s="14" t="n"/>
      <c r="D633" s="14" t="n"/>
      <c r="E633" s="14" t="n"/>
      <c r="F633" s="18" t="n"/>
      <c r="G633" s="18" t="n"/>
      <c r="H633" s="18" t="n"/>
      <c r="I633" s="18" t="n"/>
      <c r="J633" s="14" t="n"/>
      <c r="K633" s="19">
        <f>IF(AND(ISNUMBER(F633),ISNUMBER(G633)),(G633-F633)*1440,"")</f>
        <v/>
      </c>
      <c r="L633" s="19">
        <f>IF(AND(ISNUMBER(H633),ISNUMBER(I633)),(I633-H633)*1440,"")</f>
        <v/>
      </c>
      <c r="M633" s="15">
        <f>IF(ISNUMBER(F633),HOUR(F633),"")</f>
        <v/>
      </c>
    </row>
    <row r="634" ht="15.75" customHeight="1" s="36">
      <c r="A634" s="2" t="n"/>
      <c r="B634" s="12" t="n"/>
      <c r="C634" s="14" t="n"/>
      <c r="D634" s="14" t="n"/>
      <c r="E634" s="14" t="n"/>
      <c r="F634" s="18" t="n"/>
      <c r="G634" s="18" t="n"/>
      <c r="H634" s="18" t="n"/>
      <c r="I634" s="18" t="n"/>
      <c r="J634" s="14" t="n"/>
      <c r="K634" s="19">
        <f>IF(AND(ISNUMBER(F634),ISNUMBER(G634)),(G634-F634)*1440,"")</f>
        <v/>
      </c>
      <c r="L634" s="19">
        <f>IF(AND(ISNUMBER(H634),ISNUMBER(I634)),(I634-H634)*1440,"")</f>
        <v/>
      </c>
      <c r="M634" s="15">
        <f>IF(ISNUMBER(F634),HOUR(F634),"")</f>
        <v/>
      </c>
    </row>
    <row r="635" ht="15.75" customHeight="1" s="36">
      <c r="A635" s="2" t="n"/>
      <c r="B635" s="12" t="n"/>
      <c r="C635" s="14" t="n"/>
      <c r="D635" s="14" t="n"/>
      <c r="E635" s="14" t="n"/>
      <c r="F635" s="18" t="n"/>
      <c r="G635" s="18" t="n"/>
      <c r="H635" s="18" t="n"/>
      <c r="I635" s="18" t="n"/>
      <c r="J635" s="14" t="n"/>
      <c r="K635" s="19">
        <f>IF(AND(ISNUMBER(F635),ISNUMBER(G635)),(G635-F635)*1440,"")</f>
        <v/>
      </c>
      <c r="L635" s="19">
        <f>IF(AND(ISNUMBER(H635),ISNUMBER(I635)),(I635-H635)*1440,"")</f>
        <v/>
      </c>
      <c r="M635" s="15">
        <f>IF(ISNUMBER(F635),HOUR(F635),"")</f>
        <v/>
      </c>
    </row>
    <row r="636" ht="15.75" customHeight="1" s="36">
      <c r="A636" s="2" t="n"/>
      <c r="B636" s="12" t="n"/>
      <c r="C636" s="14" t="n"/>
      <c r="D636" s="14" t="n"/>
      <c r="E636" s="14" t="n"/>
      <c r="F636" s="18" t="n"/>
      <c r="G636" s="18" t="n"/>
      <c r="H636" s="18" t="n"/>
      <c r="I636" s="18" t="n"/>
      <c r="J636" s="14" t="n"/>
      <c r="K636" s="19">
        <f>IF(AND(ISNUMBER(F636),ISNUMBER(G636)),(G636-F636)*1440,"")</f>
        <v/>
      </c>
      <c r="L636" s="19">
        <f>IF(AND(ISNUMBER(H636),ISNUMBER(I636)),(I636-H636)*1440,"")</f>
        <v/>
      </c>
      <c r="M636" s="15">
        <f>IF(ISNUMBER(F636),HOUR(F636),"")</f>
        <v/>
      </c>
    </row>
    <row r="637" ht="15.75" customHeight="1" s="36">
      <c r="A637" s="2" t="n"/>
      <c r="B637" s="12" t="n"/>
      <c r="C637" s="14" t="n"/>
      <c r="D637" s="14" t="n"/>
      <c r="E637" s="14" t="n"/>
      <c r="F637" s="18" t="n"/>
      <c r="G637" s="18" t="n"/>
      <c r="H637" s="18" t="n"/>
      <c r="I637" s="18" t="n"/>
      <c r="J637" s="14" t="n"/>
      <c r="K637" s="19">
        <f>IF(AND(ISNUMBER(F637),ISNUMBER(G637)),(G637-F637)*1440,"")</f>
        <v/>
      </c>
      <c r="L637" s="19">
        <f>IF(AND(ISNUMBER(H637),ISNUMBER(I637)),(I637-H637)*1440,"")</f>
        <v/>
      </c>
      <c r="M637" s="15">
        <f>IF(ISNUMBER(F637),HOUR(F637),"")</f>
        <v/>
      </c>
    </row>
    <row r="638" ht="15.75" customHeight="1" s="36">
      <c r="A638" s="2" t="n"/>
      <c r="B638" s="12" t="n"/>
      <c r="C638" s="14" t="n"/>
      <c r="D638" s="14" t="n"/>
      <c r="E638" s="14" t="n"/>
      <c r="F638" s="18" t="n"/>
      <c r="G638" s="18" t="n"/>
      <c r="H638" s="18" t="n"/>
      <c r="I638" s="18" t="n"/>
      <c r="J638" s="14" t="n"/>
      <c r="K638" s="19">
        <f>IF(AND(ISNUMBER(F638),ISNUMBER(G638)),(G638-F638)*1440,"")</f>
        <v/>
      </c>
      <c r="L638" s="19">
        <f>IF(AND(ISNUMBER(H638),ISNUMBER(I638)),(I638-H638)*1440,"")</f>
        <v/>
      </c>
      <c r="M638" s="15">
        <f>IF(ISNUMBER(F638),HOUR(F638),"")</f>
        <v/>
      </c>
    </row>
    <row r="639" ht="15.75" customHeight="1" s="36">
      <c r="A639" s="2" t="n"/>
      <c r="B639" s="12" t="n"/>
      <c r="C639" s="14" t="n"/>
      <c r="D639" s="14" t="n"/>
      <c r="E639" s="14" t="n"/>
      <c r="F639" s="18" t="n"/>
      <c r="G639" s="18" t="n"/>
      <c r="H639" s="18" t="n"/>
      <c r="I639" s="18" t="n"/>
      <c r="J639" s="14" t="n"/>
      <c r="K639" s="19">
        <f>IF(AND(ISNUMBER(F639),ISNUMBER(G639)),(G639-F639)*1440,"")</f>
        <v/>
      </c>
      <c r="L639" s="19">
        <f>IF(AND(ISNUMBER(H639),ISNUMBER(I639)),(I639-H639)*1440,"")</f>
        <v/>
      </c>
      <c r="M639" s="15">
        <f>IF(ISNUMBER(F639),HOUR(F639),"")</f>
        <v/>
      </c>
    </row>
    <row r="640" ht="15.75" customHeight="1" s="36">
      <c r="A640" s="2" t="n"/>
      <c r="B640" s="12" t="n"/>
      <c r="C640" s="14" t="n"/>
      <c r="D640" s="14" t="n"/>
      <c r="E640" s="14" t="n"/>
      <c r="F640" s="18" t="n"/>
      <c r="G640" s="18" t="n"/>
      <c r="H640" s="18" t="n"/>
      <c r="I640" s="18" t="n"/>
      <c r="J640" s="14" t="n"/>
      <c r="K640" s="19">
        <f>IF(AND(ISNUMBER(F640),ISNUMBER(G640)),(G640-F640)*1440,"")</f>
        <v/>
      </c>
      <c r="L640" s="19">
        <f>IF(AND(ISNUMBER(H640),ISNUMBER(I640)),(I640-H640)*1440,"")</f>
        <v/>
      </c>
      <c r="M640" s="15">
        <f>IF(ISNUMBER(F640),HOUR(F640),"")</f>
        <v/>
      </c>
    </row>
    <row r="641" ht="15.75" customHeight="1" s="36">
      <c r="A641" s="2" t="n"/>
      <c r="B641" s="12" t="n"/>
      <c r="C641" s="14" t="n"/>
      <c r="D641" s="14" t="n"/>
      <c r="E641" s="14" t="n"/>
      <c r="F641" s="18" t="n"/>
      <c r="G641" s="18" t="n"/>
      <c r="H641" s="18" t="n"/>
      <c r="I641" s="18" t="n"/>
      <c r="J641" s="14" t="n"/>
      <c r="K641" s="19">
        <f>IF(AND(ISNUMBER(F641),ISNUMBER(G641)),(G641-F641)*1440,"")</f>
        <v/>
      </c>
      <c r="L641" s="19">
        <f>IF(AND(ISNUMBER(H641),ISNUMBER(I641)),(I641-H641)*1440,"")</f>
        <v/>
      </c>
      <c r="M641" s="15">
        <f>IF(ISNUMBER(F641),HOUR(F641),"")</f>
        <v/>
      </c>
    </row>
    <row r="642" ht="15.75" customHeight="1" s="36">
      <c r="A642" s="2" t="n"/>
      <c r="B642" s="12" t="n"/>
      <c r="C642" s="14" t="n"/>
      <c r="D642" s="14" t="n"/>
      <c r="E642" s="14" t="n"/>
      <c r="F642" s="18" t="n"/>
      <c r="G642" s="18" t="n"/>
      <c r="H642" s="18" t="n"/>
      <c r="I642" s="18" t="n"/>
      <c r="J642" s="14" t="n"/>
      <c r="K642" s="19">
        <f>IF(AND(ISNUMBER(F642),ISNUMBER(G642)),(G642-F642)*1440,"")</f>
        <v/>
      </c>
      <c r="L642" s="19">
        <f>IF(AND(ISNUMBER(H642),ISNUMBER(I642)),(I642-H642)*1440,"")</f>
        <v/>
      </c>
      <c r="M642" s="15">
        <f>IF(ISNUMBER(F642),HOUR(F642),"")</f>
        <v/>
      </c>
    </row>
    <row r="643" ht="15.75" customHeight="1" s="36">
      <c r="A643" s="2" t="n"/>
      <c r="B643" s="12" t="n"/>
      <c r="C643" s="14" t="n"/>
      <c r="D643" s="14" t="n"/>
      <c r="E643" s="14" t="n"/>
      <c r="F643" s="18" t="n"/>
      <c r="G643" s="18" t="n"/>
      <c r="H643" s="18" t="n"/>
      <c r="I643" s="18" t="n"/>
      <c r="J643" s="14" t="n"/>
      <c r="K643" s="19">
        <f>IF(AND(ISNUMBER(F643),ISNUMBER(G643)),(G643-F643)*1440,"")</f>
        <v/>
      </c>
      <c r="L643" s="19">
        <f>IF(AND(ISNUMBER(H643),ISNUMBER(I643)),(I643-H643)*1440,"")</f>
        <v/>
      </c>
      <c r="M643" s="15">
        <f>IF(ISNUMBER(F643),HOUR(F643),"")</f>
        <v/>
      </c>
    </row>
    <row r="644" ht="15.75" customHeight="1" s="36">
      <c r="A644" s="2" t="n"/>
      <c r="B644" s="12" t="n"/>
      <c r="C644" s="14" t="n"/>
      <c r="D644" s="14" t="n"/>
      <c r="E644" s="14" t="n"/>
      <c r="F644" s="18" t="n"/>
      <c r="G644" s="18" t="n"/>
      <c r="H644" s="18" t="n"/>
      <c r="I644" s="18" t="n"/>
      <c r="J644" s="14" t="n"/>
      <c r="K644" s="19">
        <f>IF(AND(ISNUMBER(F644),ISNUMBER(G644)),(G644-F644)*1440,"")</f>
        <v/>
      </c>
      <c r="L644" s="19">
        <f>IF(AND(ISNUMBER(H644),ISNUMBER(I644)),(I644-H644)*1440,"")</f>
        <v/>
      </c>
      <c r="M644" s="15">
        <f>IF(ISNUMBER(F644),HOUR(F644),"")</f>
        <v/>
      </c>
    </row>
    <row r="645" ht="15.75" customHeight="1" s="36">
      <c r="A645" s="2" t="n"/>
      <c r="B645" s="12" t="n"/>
      <c r="C645" s="14" t="n"/>
      <c r="D645" s="14" t="n"/>
      <c r="E645" s="14" t="n"/>
      <c r="F645" s="18" t="n"/>
      <c r="G645" s="18" t="n"/>
      <c r="H645" s="18" t="n"/>
      <c r="I645" s="18" t="n"/>
      <c r="J645" s="14" t="n"/>
      <c r="K645" s="19">
        <f>IF(AND(ISNUMBER(F645),ISNUMBER(G645)),(G645-F645)*1440,"")</f>
        <v/>
      </c>
      <c r="L645" s="19">
        <f>IF(AND(ISNUMBER(H645),ISNUMBER(I645)),(I645-H645)*1440,"")</f>
        <v/>
      </c>
      <c r="M645" s="15">
        <f>IF(ISNUMBER(F645),HOUR(F645),"")</f>
        <v/>
      </c>
    </row>
    <row r="646" ht="15.75" customHeight="1" s="36">
      <c r="A646" s="2" t="n"/>
      <c r="B646" s="12" t="n"/>
      <c r="C646" s="14" t="n"/>
      <c r="D646" s="14" t="n"/>
      <c r="E646" s="14" t="n"/>
      <c r="F646" s="18" t="n"/>
      <c r="G646" s="18" t="n"/>
      <c r="H646" s="18" t="n"/>
      <c r="I646" s="18" t="n"/>
      <c r="J646" s="14" t="n"/>
      <c r="K646" s="19">
        <f>IF(AND(ISNUMBER(F646),ISNUMBER(G646)),(G646-F646)*1440,"")</f>
        <v/>
      </c>
      <c r="L646" s="19">
        <f>IF(AND(ISNUMBER(H646),ISNUMBER(I646)),(I646-H646)*1440,"")</f>
        <v/>
      </c>
      <c r="M646" s="15">
        <f>IF(ISNUMBER(F646),HOUR(F646),"")</f>
        <v/>
      </c>
    </row>
    <row r="647" ht="15.75" customHeight="1" s="36">
      <c r="A647" s="2" t="n"/>
      <c r="B647" s="12" t="n"/>
      <c r="C647" s="14" t="n"/>
      <c r="D647" s="14" t="n"/>
      <c r="E647" s="14" t="n"/>
      <c r="F647" s="18" t="n"/>
      <c r="G647" s="18" t="n"/>
      <c r="H647" s="18" t="n"/>
      <c r="I647" s="18" t="n"/>
      <c r="J647" s="14" t="n"/>
      <c r="K647" s="19">
        <f>IF(AND(ISNUMBER(F647),ISNUMBER(G647)),(G647-F647)*1440,"")</f>
        <v/>
      </c>
      <c r="L647" s="19">
        <f>IF(AND(ISNUMBER(H647),ISNUMBER(I647)),(I647-H647)*1440,"")</f>
        <v/>
      </c>
      <c r="M647" s="15">
        <f>IF(ISNUMBER(F647),HOUR(F647),"")</f>
        <v/>
      </c>
    </row>
    <row r="648" ht="15.75" customHeight="1" s="36">
      <c r="A648" s="2" t="n"/>
      <c r="B648" s="12" t="n"/>
      <c r="C648" s="14" t="n"/>
      <c r="D648" s="14" t="n"/>
      <c r="E648" s="14" t="n"/>
      <c r="F648" s="18" t="n"/>
      <c r="G648" s="18" t="n"/>
      <c r="H648" s="18" t="n"/>
      <c r="I648" s="18" t="n"/>
      <c r="J648" s="14" t="n"/>
      <c r="K648" s="19">
        <f>IF(AND(ISNUMBER(F648),ISNUMBER(G648)),(G648-F648)*1440,"")</f>
        <v/>
      </c>
      <c r="L648" s="19">
        <f>IF(AND(ISNUMBER(H648),ISNUMBER(I648)),(I648-H648)*1440,"")</f>
        <v/>
      </c>
      <c r="M648" s="15">
        <f>IF(ISNUMBER(F648),HOUR(F648),"")</f>
        <v/>
      </c>
    </row>
    <row r="649" ht="15.75" customHeight="1" s="36">
      <c r="A649" s="2" t="n"/>
      <c r="B649" s="12" t="n"/>
      <c r="C649" s="14" t="n"/>
      <c r="D649" s="14" t="n"/>
      <c r="E649" s="14" t="n"/>
      <c r="F649" s="18" t="n"/>
      <c r="G649" s="18" t="n"/>
      <c r="H649" s="18" t="n"/>
      <c r="I649" s="18" t="n"/>
      <c r="J649" s="14" t="n"/>
      <c r="K649" s="19">
        <f>IF(AND(ISNUMBER(F649),ISNUMBER(G649)),(G649-F649)*1440,"")</f>
        <v/>
      </c>
      <c r="L649" s="19">
        <f>IF(AND(ISNUMBER(H649),ISNUMBER(I649)),(I649-H649)*1440,"")</f>
        <v/>
      </c>
      <c r="M649" s="15">
        <f>IF(ISNUMBER(F649),HOUR(F649),"")</f>
        <v/>
      </c>
    </row>
    <row r="650" ht="15.75" customHeight="1" s="36">
      <c r="A650" s="2" t="n"/>
      <c r="B650" s="12" t="n"/>
      <c r="C650" s="14" t="n"/>
      <c r="D650" s="14" t="n"/>
      <c r="E650" s="14" t="n"/>
      <c r="F650" s="18" t="n"/>
      <c r="G650" s="18" t="n"/>
      <c r="H650" s="18" t="n"/>
      <c r="I650" s="18" t="n"/>
      <c r="J650" s="14" t="n"/>
      <c r="K650" s="19">
        <f>IF(AND(ISNUMBER(F650),ISNUMBER(G650)),(G650-F650)*1440,"")</f>
        <v/>
      </c>
      <c r="L650" s="19">
        <f>IF(AND(ISNUMBER(H650),ISNUMBER(I650)),(I650-H650)*1440,"")</f>
        <v/>
      </c>
      <c r="M650" s="15">
        <f>IF(ISNUMBER(F650),HOUR(F650),"")</f>
        <v/>
      </c>
    </row>
    <row r="651" ht="15.75" customHeight="1" s="36">
      <c r="A651" s="2" t="n"/>
      <c r="B651" s="12" t="n"/>
      <c r="C651" s="14" t="n"/>
      <c r="D651" s="14" t="n"/>
      <c r="E651" s="14" t="n"/>
      <c r="F651" s="18" t="n"/>
      <c r="G651" s="18" t="n"/>
      <c r="H651" s="18" t="n"/>
      <c r="I651" s="18" t="n"/>
      <c r="J651" s="14" t="n"/>
      <c r="K651" s="19">
        <f>IF(AND(ISNUMBER(F651),ISNUMBER(G651)),(G651-F651)*1440,"")</f>
        <v/>
      </c>
      <c r="L651" s="19">
        <f>IF(AND(ISNUMBER(H651),ISNUMBER(I651)),(I651-H651)*1440,"")</f>
        <v/>
      </c>
      <c r="M651" s="15">
        <f>IF(ISNUMBER(F651),HOUR(F651),"")</f>
        <v/>
      </c>
    </row>
    <row r="652" ht="15.75" customHeight="1" s="36">
      <c r="A652" s="2" t="n"/>
      <c r="B652" s="12" t="n"/>
      <c r="C652" s="14" t="n"/>
      <c r="D652" s="14" t="n"/>
      <c r="E652" s="14" t="n"/>
      <c r="F652" s="18" t="n"/>
      <c r="G652" s="18" t="n"/>
      <c r="H652" s="18" t="n"/>
      <c r="I652" s="18" t="n"/>
      <c r="J652" s="14" t="n"/>
      <c r="K652" s="19">
        <f>IF(AND(ISNUMBER(F652),ISNUMBER(G652)),(G652-F652)*1440,"")</f>
        <v/>
      </c>
      <c r="L652" s="19">
        <f>IF(AND(ISNUMBER(H652),ISNUMBER(I652)),(I652-H652)*1440,"")</f>
        <v/>
      </c>
      <c r="M652" s="15">
        <f>IF(ISNUMBER(F652),HOUR(F652),"")</f>
        <v/>
      </c>
    </row>
    <row r="653" ht="15.75" customHeight="1" s="36">
      <c r="A653" s="2" t="n"/>
      <c r="B653" s="12" t="n"/>
      <c r="C653" s="14" t="n"/>
      <c r="D653" s="14" t="n"/>
      <c r="E653" s="14" t="n"/>
      <c r="F653" s="18" t="n"/>
      <c r="G653" s="18" t="n"/>
      <c r="H653" s="18" t="n"/>
      <c r="I653" s="18" t="n"/>
      <c r="J653" s="14" t="n"/>
      <c r="K653" s="19">
        <f>IF(AND(ISNUMBER(F653),ISNUMBER(G653)),(G653-F653)*1440,"")</f>
        <v/>
      </c>
      <c r="L653" s="19">
        <f>IF(AND(ISNUMBER(H653),ISNUMBER(I653)),(I653-H653)*1440,"")</f>
        <v/>
      </c>
      <c r="M653" s="15">
        <f>IF(ISNUMBER(F653),HOUR(F653),"")</f>
        <v/>
      </c>
    </row>
    <row r="654" ht="15.75" customHeight="1" s="36">
      <c r="A654" s="2" t="n"/>
      <c r="B654" s="12" t="n"/>
      <c r="C654" s="14" t="n"/>
      <c r="D654" s="14" t="n"/>
      <c r="E654" s="14" t="n"/>
      <c r="F654" s="18" t="n"/>
      <c r="G654" s="18" t="n"/>
      <c r="H654" s="18" t="n"/>
      <c r="I654" s="18" t="n"/>
      <c r="J654" s="14" t="n"/>
      <c r="K654" s="19">
        <f>IF(AND(ISNUMBER(F654),ISNUMBER(G654)),(G654-F654)*1440,"")</f>
        <v/>
      </c>
      <c r="L654" s="19">
        <f>IF(AND(ISNUMBER(H654),ISNUMBER(I654)),(I654-H654)*1440,"")</f>
        <v/>
      </c>
      <c r="M654" s="15">
        <f>IF(ISNUMBER(F654),HOUR(F654),"")</f>
        <v/>
      </c>
    </row>
    <row r="655" ht="15.75" customHeight="1" s="36">
      <c r="A655" s="2" t="n"/>
      <c r="B655" s="12" t="n"/>
      <c r="C655" s="14" t="n"/>
      <c r="D655" s="14" t="n"/>
      <c r="E655" s="14" t="n"/>
      <c r="F655" s="18" t="n"/>
      <c r="G655" s="18" t="n"/>
      <c r="H655" s="18" t="n"/>
      <c r="I655" s="18" t="n"/>
      <c r="J655" s="14" t="n"/>
      <c r="K655" s="19">
        <f>IF(AND(ISNUMBER(F655),ISNUMBER(G655)),(G655-F655)*1440,"")</f>
        <v/>
      </c>
      <c r="L655" s="19">
        <f>IF(AND(ISNUMBER(H655),ISNUMBER(I655)),(I655-H655)*1440,"")</f>
        <v/>
      </c>
      <c r="M655" s="15">
        <f>IF(ISNUMBER(F655),HOUR(F655),"")</f>
        <v/>
      </c>
    </row>
    <row r="656" ht="15.75" customHeight="1" s="36">
      <c r="A656" s="2" t="n"/>
      <c r="B656" s="12" t="n"/>
      <c r="C656" s="14" t="n"/>
      <c r="D656" s="14" t="n"/>
      <c r="E656" s="14" t="n"/>
      <c r="F656" s="18" t="n"/>
      <c r="G656" s="18" t="n"/>
      <c r="H656" s="18" t="n"/>
      <c r="I656" s="18" t="n"/>
      <c r="J656" s="14" t="n"/>
      <c r="K656" s="19">
        <f>IF(AND(ISNUMBER(F656),ISNUMBER(G656)),(G656-F656)*1440,"")</f>
        <v/>
      </c>
      <c r="L656" s="19">
        <f>IF(AND(ISNUMBER(H656),ISNUMBER(I656)),(I656-H656)*1440,"")</f>
        <v/>
      </c>
      <c r="M656" s="15">
        <f>IF(ISNUMBER(F656),HOUR(F656),"")</f>
        <v/>
      </c>
    </row>
    <row r="657" ht="15.75" customHeight="1" s="36">
      <c r="A657" s="2" t="n"/>
      <c r="B657" s="12" t="n"/>
      <c r="C657" s="14" t="n"/>
      <c r="D657" s="14" t="n"/>
      <c r="E657" s="14" t="n"/>
      <c r="F657" s="18" t="n"/>
      <c r="G657" s="18" t="n"/>
      <c r="H657" s="18" t="n"/>
      <c r="I657" s="18" t="n"/>
      <c r="J657" s="14" t="n"/>
      <c r="K657" s="19">
        <f>IF(AND(ISNUMBER(F657),ISNUMBER(G657)),(G657-F657)*1440,"")</f>
        <v/>
      </c>
      <c r="L657" s="19">
        <f>IF(AND(ISNUMBER(H657),ISNUMBER(I657)),(I657-H657)*1440,"")</f>
        <v/>
      </c>
      <c r="M657" s="15">
        <f>IF(ISNUMBER(F657),HOUR(F657),"")</f>
        <v/>
      </c>
    </row>
    <row r="658" ht="15.75" customHeight="1" s="36">
      <c r="A658" s="2" t="n"/>
      <c r="B658" s="12" t="n"/>
      <c r="C658" s="14" t="n"/>
      <c r="D658" s="14" t="n"/>
      <c r="E658" s="14" t="n"/>
      <c r="F658" s="18" t="n"/>
      <c r="G658" s="18" t="n"/>
      <c r="H658" s="18" t="n"/>
      <c r="I658" s="18" t="n"/>
      <c r="J658" s="14" t="n"/>
      <c r="K658" s="19">
        <f>IF(AND(ISNUMBER(F658),ISNUMBER(G658)),(G658-F658)*1440,"")</f>
        <v/>
      </c>
      <c r="L658" s="19">
        <f>IF(AND(ISNUMBER(H658),ISNUMBER(I658)),(I658-H658)*1440,"")</f>
        <v/>
      </c>
      <c r="M658" s="15">
        <f>IF(ISNUMBER(F658),HOUR(F658),"")</f>
        <v/>
      </c>
    </row>
    <row r="659" ht="15.75" customHeight="1" s="36">
      <c r="A659" s="2" t="n"/>
      <c r="B659" s="12" t="n"/>
      <c r="C659" s="14" t="n"/>
      <c r="D659" s="14" t="n"/>
      <c r="E659" s="14" t="n"/>
      <c r="F659" s="18" t="n"/>
      <c r="G659" s="18" t="n"/>
      <c r="H659" s="18" t="n"/>
      <c r="I659" s="18" t="n"/>
      <c r="J659" s="14" t="n"/>
      <c r="K659" s="19">
        <f>IF(AND(ISNUMBER(F659),ISNUMBER(G659)),(G659-F659)*1440,"")</f>
        <v/>
      </c>
      <c r="L659" s="19">
        <f>IF(AND(ISNUMBER(H659),ISNUMBER(I659)),(I659-H659)*1440,"")</f>
        <v/>
      </c>
      <c r="M659" s="15">
        <f>IF(ISNUMBER(F659),HOUR(F659),"")</f>
        <v/>
      </c>
    </row>
    <row r="660" ht="15.75" customHeight="1" s="36">
      <c r="A660" s="2" t="n"/>
      <c r="B660" s="12" t="n"/>
      <c r="C660" s="14" t="n"/>
      <c r="D660" s="14" t="n"/>
      <c r="E660" s="14" t="n"/>
      <c r="F660" s="18" t="n"/>
      <c r="G660" s="18" t="n"/>
      <c r="H660" s="18" t="n"/>
      <c r="I660" s="18" t="n"/>
      <c r="J660" s="14" t="n"/>
      <c r="K660" s="19">
        <f>IF(AND(ISNUMBER(F660),ISNUMBER(G660)),(G660-F660)*1440,"")</f>
        <v/>
      </c>
      <c r="L660" s="19">
        <f>IF(AND(ISNUMBER(H660),ISNUMBER(I660)),(I660-H660)*1440,"")</f>
        <v/>
      </c>
      <c r="M660" s="15">
        <f>IF(ISNUMBER(F660),HOUR(F660),"")</f>
        <v/>
      </c>
    </row>
    <row r="661" ht="15.75" customHeight="1" s="36">
      <c r="A661" s="2" t="n"/>
      <c r="B661" s="12" t="n"/>
      <c r="C661" s="14" t="n"/>
      <c r="D661" s="14" t="n"/>
      <c r="E661" s="14" t="n"/>
      <c r="F661" s="18" t="n"/>
      <c r="G661" s="18" t="n"/>
      <c r="H661" s="18" t="n"/>
      <c r="I661" s="18" t="n"/>
      <c r="J661" s="14" t="n"/>
      <c r="K661" s="19">
        <f>IF(AND(ISNUMBER(F661),ISNUMBER(G661)),(G661-F661)*1440,"")</f>
        <v/>
      </c>
      <c r="L661" s="19">
        <f>IF(AND(ISNUMBER(H661),ISNUMBER(I661)),(I661-H661)*1440,"")</f>
        <v/>
      </c>
      <c r="M661" s="15">
        <f>IF(ISNUMBER(F661),HOUR(F661),"")</f>
        <v/>
      </c>
    </row>
    <row r="662" ht="15.75" customHeight="1" s="36">
      <c r="A662" s="2" t="n"/>
      <c r="B662" s="12" t="n"/>
      <c r="C662" s="14" t="n"/>
      <c r="D662" s="14" t="n"/>
      <c r="E662" s="14" t="n"/>
      <c r="F662" s="18" t="n"/>
      <c r="G662" s="18" t="n"/>
      <c r="H662" s="18" t="n"/>
      <c r="I662" s="18" t="n"/>
      <c r="J662" s="14" t="n"/>
      <c r="K662" s="19">
        <f>IF(AND(ISNUMBER(F662),ISNUMBER(G662)),(G662-F662)*1440,"")</f>
        <v/>
      </c>
      <c r="L662" s="19">
        <f>IF(AND(ISNUMBER(H662),ISNUMBER(I662)),(I662-H662)*1440,"")</f>
        <v/>
      </c>
      <c r="M662" s="15">
        <f>IF(ISNUMBER(F662),HOUR(F662),"")</f>
        <v/>
      </c>
    </row>
    <row r="663" ht="15.75" customHeight="1" s="36">
      <c r="A663" s="2" t="n"/>
      <c r="B663" s="12" t="n"/>
      <c r="C663" s="14" t="n"/>
      <c r="D663" s="14" t="n"/>
      <c r="E663" s="14" t="n"/>
      <c r="F663" s="18" t="n"/>
      <c r="G663" s="18" t="n"/>
      <c r="H663" s="18" t="n"/>
      <c r="I663" s="18" t="n"/>
      <c r="J663" s="14" t="n"/>
      <c r="K663" s="19">
        <f>IF(AND(ISNUMBER(F663),ISNUMBER(G663)),(G663-F663)*1440,"")</f>
        <v/>
      </c>
      <c r="L663" s="19">
        <f>IF(AND(ISNUMBER(H663),ISNUMBER(I663)),(I663-H663)*1440,"")</f>
        <v/>
      </c>
      <c r="M663" s="15">
        <f>IF(ISNUMBER(F663),HOUR(F663),"")</f>
        <v/>
      </c>
    </row>
    <row r="664" ht="15.75" customHeight="1" s="36">
      <c r="A664" s="2" t="n"/>
      <c r="B664" s="12" t="n"/>
      <c r="C664" s="14" t="n"/>
      <c r="D664" s="14" t="n"/>
      <c r="E664" s="14" t="n"/>
      <c r="F664" s="18" t="n"/>
      <c r="G664" s="18" t="n"/>
      <c r="H664" s="18" t="n"/>
      <c r="I664" s="18" t="n"/>
      <c r="J664" s="14" t="n"/>
      <c r="K664" s="19">
        <f>IF(AND(ISNUMBER(F664),ISNUMBER(G664)),(G664-F664)*1440,"")</f>
        <v/>
      </c>
      <c r="L664" s="19">
        <f>IF(AND(ISNUMBER(H664),ISNUMBER(I664)),(I664-H664)*1440,"")</f>
        <v/>
      </c>
      <c r="M664" s="15">
        <f>IF(ISNUMBER(F664),HOUR(F664),"")</f>
        <v/>
      </c>
    </row>
    <row r="665" ht="15.75" customHeight="1" s="36">
      <c r="A665" s="2" t="n"/>
      <c r="B665" s="12" t="n"/>
      <c r="C665" s="14" t="n"/>
      <c r="D665" s="14" t="n"/>
      <c r="E665" s="14" t="n"/>
      <c r="F665" s="18" t="n"/>
      <c r="G665" s="18" t="n"/>
      <c r="H665" s="18" t="n"/>
      <c r="I665" s="18" t="n"/>
      <c r="J665" s="14" t="n"/>
      <c r="K665" s="19">
        <f>IF(AND(ISNUMBER(F665),ISNUMBER(G665)),(G665-F665)*1440,"")</f>
        <v/>
      </c>
      <c r="L665" s="19">
        <f>IF(AND(ISNUMBER(H665),ISNUMBER(I665)),(I665-H665)*1440,"")</f>
        <v/>
      </c>
      <c r="M665" s="15">
        <f>IF(ISNUMBER(F665),HOUR(F665),"")</f>
        <v/>
      </c>
    </row>
    <row r="666" ht="15.75" customHeight="1" s="36">
      <c r="A666" s="2" t="n"/>
      <c r="B666" s="12" t="n"/>
      <c r="C666" s="14" t="n"/>
      <c r="D666" s="14" t="n"/>
      <c r="E666" s="14" t="n"/>
      <c r="F666" s="18" t="n"/>
      <c r="G666" s="18" t="n"/>
      <c r="H666" s="18" t="n"/>
      <c r="I666" s="18" t="n"/>
      <c r="J666" s="14" t="n"/>
      <c r="K666" s="19">
        <f>IF(AND(ISNUMBER(F666),ISNUMBER(G666)),(G666-F666)*1440,"")</f>
        <v/>
      </c>
      <c r="L666" s="19">
        <f>IF(AND(ISNUMBER(H666),ISNUMBER(I666)),(I666-H666)*1440,"")</f>
        <v/>
      </c>
      <c r="M666" s="15">
        <f>IF(ISNUMBER(F666),HOUR(F666),"")</f>
        <v/>
      </c>
    </row>
    <row r="667" ht="15.75" customHeight="1" s="36">
      <c r="A667" s="2" t="n"/>
      <c r="B667" s="12" t="n"/>
      <c r="C667" s="14" t="n"/>
      <c r="D667" s="14" t="n"/>
      <c r="E667" s="14" t="n"/>
      <c r="F667" s="18" t="n"/>
      <c r="G667" s="18" t="n"/>
      <c r="H667" s="18" t="n"/>
      <c r="I667" s="18" t="n"/>
      <c r="J667" s="14" t="n"/>
      <c r="K667" s="19">
        <f>IF(AND(ISNUMBER(F667),ISNUMBER(G667)),(G667-F667)*1440,"")</f>
        <v/>
      </c>
      <c r="L667" s="19">
        <f>IF(AND(ISNUMBER(H667),ISNUMBER(I667)),(I667-H667)*1440,"")</f>
        <v/>
      </c>
      <c r="M667" s="15">
        <f>IF(ISNUMBER(F667),HOUR(F667),"")</f>
        <v/>
      </c>
    </row>
    <row r="668" ht="15.75" customHeight="1" s="36">
      <c r="A668" s="2" t="n"/>
      <c r="B668" s="12" t="n"/>
      <c r="C668" s="14" t="n"/>
      <c r="D668" s="14" t="n"/>
      <c r="E668" s="14" t="n"/>
      <c r="F668" s="18" t="n"/>
      <c r="G668" s="18" t="n"/>
      <c r="H668" s="18" t="n"/>
      <c r="I668" s="18" t="n"/>
      <c r="J668" s="14" t="n"/>
      <c r="K668" s="19">
        <f>IF(AND(ISNUMBER(F668),ISNUMBER(G668)),(G668-F668)*1440,"")</f>
        <v/>
      </c>
      <c r="L668" s="19">
        <f>IF(AND(ISNUMBER(H668),ISNUMBER(I668)),(I668-H668)*1440,"")</f>
        <v/>
      </c>
      <c r="M668" s="15">
        <f>IF(ISNUMBER(F668),HOUR(F668),"")</f>
        <v/>
      </c>
    </row>
    <row r="669" ht="15.75" customHeight="1" s="36">
      <c r="A669" s="2" t="n"/>
      <c r="B669" s="12" t="n"/>
      <c r="C669" s="14" t="n"/>
      <c r="D669" s="14" t="n"/>
      <c r="E669" s="14" t="n"/>
      <c r="F669" s="18" t="n"/>
      <c r="G669" s="18" t="n"/>
      <c r="H669" s="18" t="n"/>
      <c r="I669" s="18" t="n"/>
      <c r="J669" s="14" t="n"/>
      <c r="K669" s="19">
        <f>IF(AND(ISNUMBER(F669),ISNUMBER(G669)),(G669-F669)*1440,"")</f>
        <v/>
      </c>
      <c r="L669" s="19">
        <f>IF(AND(ISNUMBER(H669),ISNUMBER(I669)),(I669-H669)*1440,"")</f>
        <v/>
      </c>
      <c r="M669" s="15">
        <f>IF(ISNUMBER(F669),HOUR(F669),"")</f>
        <v/>
      </c>
    </row>
    <row r="670" ht="15.75" customHeight="1" s="36">
      <c r="A670" s="2" t="n"/>
      <c r="B670" s="12" t="n"/>
      <c r="C670" s="14" t="n"/>
      <c r="D670" s="14" t="n"/>
      <c r="E670" s="14" t="n"/>
      <c r="F670" s="18" t="n"/>
      <c r="G670" s="18" t="n"/>
      <c r="H670" s="18" t="n"/>
      <c r="I670" s="18" t="n"/>
      <c r="J670" s="14" t="n"/>
      <c r="K670" s="19">
        <f>IF(AND(ISNUMBER(F670),ISNUMBER(G670)),(G670-F670)*1440,"")</f>
        <v/>
      </c>
      <c r="L670" s="19">
        <f>IF(AND(ISNUMBER(H670),ISNUMBER(I670)),(I670-H670)*1440,"")</f>
        <v/>
      </c>
      <c r="M670" s="15">
        <f>IF(ISNUMBER(F670),HOUR(F670),"")</f>
        <v/>
      </c>
    </row>
    <row r="671" ht="15.75" customHeight="1" s="36">
      <c r="A671" s="2" t="n"/>
      <c r="B671" s="12" t="n"/>
      <c r="C671" s="14" t="n"/>
      <c r="D671" s="14" t="n"/>
      <c r="E671" s="14" t="n"/>
      <c r="F671" s="18" t="n"/>
      <c r="G671" s="18" t="n"/>
      <c r="H671" s="18" t="n"/>
      <c r="I671" s="18" t="n"/>
      <c r="J671" s="14" t="n"/>
      <c r="K671" s="19">
        <f>IF(AND(ISNUMBER(F671),ISNUMBER(G671)),(G671-F671)*1440,"")</f>
        <v/>
      </c>
      <c r="L671" s="19">
        <f>IF(AND(ISNUMBER(H671),ISNUMBER(I671)),(I671-H671)*1440,"")</f>
        <v/>
      </c>
      <c r="M671" s="15">
        <f>IF(ISNUMBER(F671),HOUR(F671),"")</f>
        <v/>
      </c>
    </row>
    <row r="672" ht="15.75" customHeight="1" s="36">
      <c r="A672" s="2" t="n"/>
      <c r="B672" s="12" t="n"/>
      <c r="C672" s="14" t="n"/>
      <c r="D672" s="14" t="n"/>
      <c r="E672" s="14" t="n"/>
      <c r="F672" s="18" t="n"/>
      <c r="G672" s="18" t="n"/>
      <c r="H672" s="18" t="n"/>
      <c r="I672" s="18" t="n"/>
      <c r="J672" s="14" t="n"/>
      <c r="K672" s="19">
        <f>IF(AND(ISNUMBER(F672),ISNUMBER(G672)),(G672-F672)*1440,"")</f>
        <v/>
      </c>
      <c r="L672" s="19">
        <f>IF(AND(ISNUMBER(H672),ISNUMBER(I672)),(I672-H672)*1440,"")</f>
        <v/>
      </c>
      <c r="M672" s="15">
        <f>IF(ISNUMBER(F672),HOUR(F672),"")</f>
        <v/>
      </c>
    </row>
    <row r="673" ht="15.75" customHeight="1" s="36">
      <c r="A673" s="2" t="n"/>
      <c r="B673" s="12" t="n"/>
      <c r="C673" s="14" t="n"/>
      <c r="D673" s="14" t="n"/>
      <c r="E673" s="14" t="n"/>
      <c r="F673" s="18" t="n"/>
      <c r="G673" s="18" t="n"/>
      <c r="H673" s="18" t="n"/>
      <c r="I673" s="18" t="n"/>
      <c r="J673" s="14" t="n"/>
      <c r="K673" s="19">
        <f>IF(AND(ISNUMBER(F673),ISNUMBER(G673)),(G673-F673)*1440,"")</f>
        <v/>
      </c>
      <c r="L673" s="19">
        <f>IF(AND(ISNUMBER(H673),ISNUMBER(I673)),(I673-H673)*1440,"")</f>
        <v/>
      </c>
      <c r="M673" s="15">
        <f>IF(ISNUMBER(F673),HOUR(F673),"")</f>
        <v/>
      </c>
    </row>
    <row r="674" ht="15.75" customHeight="1" s="36">
      <c r="A674" s="2" t="n"/>
      <c r="B674" s="12" t="n"/>
      <c r="C674" s="14" t="n"/>
      <c r="D674" s="14" t="n"/>
      <c r="E674" s="14" t="n"/>
      <c r="F674" s="18" t="n"/>
      <c r="G674" s="18" t="n"/>
      <c r="H674" s="18" t="n"/>
      <c r="I674" s="18" t="n"/>
      <c r="J674" s="14" t="n"/>
      <c r="K674" s="19">
        <f>IF(AND(ISNUMBER(F674),ISNUMBER(G674)),(G674-F674)*1440,"")</f>
        <v/>
      </c>
      <c r="L674" s="19">
        <f>IF(AND(ISNUMBER(H674),ISNUMBER(I674)),(I674-H674)*1440,"")</f>
        <v/>
      </c>
      <c r="M674" s="15">
        <f>IF(ISNUMBER(F674),HOUR(F674),"")</f>
        <v/>
      </c>
    </row>
    <row r="675" ht="15.75" customHeight="1" s="36">
      <c r="A675" s="2" t="n"/>
      <c r="B675" s="12" t="n"/>
      <c r="C675" s="14" t="n"/>
      <c r="D675" s="14" t="n"/>
      <c r="E675" s="14" t="n"/>
      <c r="F675" s="18" t="n"/>
      <c r="G675" s="18" t="n"/>
      <c r="H675" s="18" t="n"/>
      <c r="I675" s="18" t="n"/>
      <c r="J675" s="14" t="n"/>
      <c r="K675" s="19">
        <f>IF(AND(ISNUMBER(F675),ISNUMBER(G675)),(G675-F675)*1440,"")</f>
        <v/>
      </c>
      <c r="L675" s="19">
        <f>IF(AND(ISNUMBER(H675),ISNUMBER(I675)),(I675-H675)*1440,"")</f>
        <v/>
      </c>
      <c r="M675" s="15">
        <f>IF(ISNUMBER(F675),HOUR(F675),"")</f>
        <v/>
      </c>
    </row>
    <row r="676" ht="15.75" customHeight="1" s="36">
      <c r="A676" s="2" t="n"/>
      <c r="B676" s="12" t="n"/>
      <c r="C676" s="14" t="n"/>
      <c r="D676" s="14" t="n"/>
      <c r="E676" s="14" t="n"/>
      <c r="F676" s="18" t="n"/>
      <c r="G676" s="18" t="n"/>
      <c r="H676" s="18" t="n"/>
      <c r="I676" s="18" t="n"/>
      <c r="J676" s="14" t="n"/>
      <c r="K676" s="19">
        <f>IF(AND(ISNUMBER(F676),ISNUMBER(G676)),(G676-F676)*1440,"")</f>
        <v/>
      </c>
      <c r="L676" s="19">
        <f>IF(AND(ISNUMBER(H676),ISNUMBER(I676)),(I676-H676)*1440,"")</f>
        <v/>
      </c>
      <c r="M676" s="15">
        <f>IF(ISNUMBER(F676),HOUR(F676),"")</f>
        <v/>
      </c>
    </row>
    <row r="677" ht="15.75" customHeight="1" s="36">
      <c r="A677" s="2" t="n"/>
      <c r="B677" s="12" t="n"/>
      <c r="C677" s="14" t="n"/>
      <c r="D677" s="14" t="n"/>
      <c r="E677" s="14" t="n"/>
      <c r="F677" s="18" t="n"/>
      <c r="G677" s="18" t="n"/>
      <c r="H677" s="18" t="n"/>
      <c r="I677" s="18" t="n"/>
      <c r="J677" s="14" t="n"/>
      <c r="K677" s="19">
        <f>IF(AND(ISNUMBER(F677),ISNUMBER(G677)),(G677-F677)*1440,"")</f>
        <v/>
      </c>
      <c r="L677" s="19">
        <f>IF(AND(ISNUMBER(H677),ISNUMBER(I677)),(I677-H677)*1440,"")</f>
        <v/>
      </c>
      <c r="M677" s="15">
        <f>IF(ISNUMBER(F677),HOUR(F677),"")</f>
        <v/>
      </c>
    </row>
    <row r="678" ht="15.75" customHeight="1" s="36">
      <c r="A678" s="2" t="n"/>
      <c r="B678" s="12" t="n"/>
      <c r="C678" s="14" t="n"/>
      <c r="D678" s="14" t="n"/>
      <c r="E678" s="14" t="n"/>
      <c r="F678" s="18" t="n"/>
      <c r="G678" s="18" t="n"/>
      <c r="H678" s="18" t="n"/>
      <c r="I678" s="18" t="n"/>
      <c r="J678" s="14" t="n"/>
      <c r="K678" s="19">
        <f>IF(AND(ISNUMBER(F678),ISNUMBER(G678)),(G678-F678)*1440,"")</f>
        <v/>
      </c>
      <c r="L678" s="19">
        <f>IF(AND(ISNUMBER(H678),ISNUMBER(I678)),(I678-H678)*1440,"")</f>
        <v/>
      </c>
      <c r="M678" s="15">
        <f>IF(ISNUMBER(F678),HOUR(F678),"")</f>
        <v/>
      </c>
    </row>
    <row r="679" ht="15.75" customHeight="1" s="36">
      <c r="A679" s="2" t="n"/>
      <c r="B679" s="12" t="n"/>
      <c r="C679" s="14" t="n"/>
      <c r="D679" s="14" t="n"/>
      <c r="E679" s="14" t="n"/>
      <c r="F679" s="18" t="n"/>
      <c r="G679" s="18" t="n"/>
      <c r="H679" s="18" t="n"/>
      <c r="I679" s="18" t="n"/>
      <c r="J679" s="14" t="n"/>
      <c r="K679" s="19">
        <f>IF(AND(ISNUMBER(F679),ISNUMBER(G679)),(G679-F679)*1440,"")</f>
        <v/>
      </c>
      <c r="L679" s="19">
        <f>IF(AND(ISNUMBER(H679),ISNUMBER(I679)),(I679-H679)*1440,"")</f>
        <v/>
      </c>
      <c r="M679" s="15">
        <f>IF(ISNUMBER(F679),HOUR(F679),"")</f>
        <v/>
      </c>
    </row>
    <row r="680" ht="15.75" customHeight="1" s="36">
      <c r="A680" s="2" t="n"/>
      <c r="B680" s="12" t="n"/>
      <c r="C680" s="14" t="n"/>
      <c r="D680" s="14" t="n"/>
      <c r="E680" s="14" t="n"/>
      <c r="F680" s="18" t="n"/>
      <c r="G680" s="18" t="n"/>
      <c r="H680" s="18" t="n"/>
      <c r="I680" s="18" t="n"/>
      <c r="J680" s="14" t="n"/>
      <c r="K680" s="19">
        <f>IF(AND(ISNUMBER(F680),ISNUMBER(G680)),(G680-F680)*1440,"")</f>
        <v/>
      </c>
      <c r="L680" s="19">
        <f>IF(AND(ISNUMBER(H680),ISNUMBER(I680)),(I680-H680)*1440,"")</f>
        <v/>
      </c>
      <c r="M680" s="15">
        <f>IF(ISNUMBER(F680),HOUR(F680),"")</f>
        <v/>
      </c>
    </row>
    <row r="681" ht="15.75" customHeight="1" s="36">
      <c r="A681" s="2" t="n"/>
      <c r="B681" s="12" t="n"/>
      <c r="C681" s="14" t="n"/>
      <c r="D681" s="14" t="n"/>
      <c r="E681" s="14" t="n"/>
      <c r="F681" s="18" t="n"/>
      <c r="G681" s="18" t="n"/>
      <c r="H681" s="18" t="n"/>
      <c r="I681" s="18" t="n"/>
      <c r="J681" s="14" t="n"/>
      <c r="K681" s="19">
        <f>IF(AND(ISNUMBER(F681),ISNUMBER(G681)),(G681-F681)*1440,"")</f>
        <v/>
      </c>
      <c r="L681" s="19">
        <f>IF(AND(ISNUMBER(H681),ISNUMBER(I681)),(I681-H681)*1440,"")</f>
        <v/>
      </c>
      <c r="M681" s="15">
        <f>IF(ISNUMBER(F681),HOUR(F681),"")</f>
        <v/>
      </c>
    </row>
    <row r="682" ht="15.75" customHeight="1" s="36">
      <c r="A682" s="2" t="n"/>
      <c r="B682" s="12" t="n"/>
      <c r="C682" s="14" t="n"/>
      <c r="D682" s="14" t="n"/>
      <c r="E682" s="14" t="n"/>
      <c r="F682" s="18" t="n"/>
      <c r="G682" s="18" t="n"/>
      <c r="H682" s="18" t="n"/>
      <c r="I682" s="18" t="n"/>
      <c r="J682" s="14" t="n"/>
      <c r="K682" s="19">
        <f>IF(AND(ISNUMBER(F682),ISNUMBER(G682)),(G682-F682)*1440,"")</f>
        <v/>
      </c>
      <c r="L682" s="19">
        <f>IF(AND(ISNUMBER(H682),ISNUMBER(I682)),(I682-H682)*1440,"")</f>
        <v/>
      </c>
      <c r="M682" s="15">
        <f>IF(ISNUMBER(F682),HOUR(F682),"")</f>
        <v/>
      </c>
    </row>
    <row r="683" ht="15.75" customHeight="1" s="36">
      <c r="A683" s="2" t="n"/>
      <c r="B683" s="12" t="n"/>
      <c r="C683" s="14" t="n"/>
      <c r="D683" s="14" t="n"/>
      <c r="E683" s="14" t="n"/>
      <c r="F683" s="18" t="n"/>
      <c r="G683" s="18" t="n"/>
      <c r="H683" s="18" t="n"/>
      <c r="I683" s="18" t="n"/>
      <c r="J683" s="14" t="n"/>
      <c r="K683" s="19">
        <f>IF(AND(ISNUMBER(F683),ISNUMBER(G683)),(G683-F683)*1440,"")</f>
        <v/>
      </c>
      <c r="L683" s="19">
        <f>IF(AND(ISNUMBER(H683),ISNUMBER(I683)),(I683-H683)*1440,"")</f>
        <v/>
      </c>
      <c r="M683" s="15">
        <f>IF(ISNUMBER(F683),HOUR(F683),"")</f>
        <v/>
      </c>
    </row>
    <row r="684" ht="15.75" customHeight="1" s="36">
      <c r="A684" s="2" t="n"/>
      <c r="B684" s="12" t="n"/>
      <c r="C684" s="14" t="n"/>
      <c r="D684" s="14" t="n"/>
      <c r="E684" s="14" t="n"/>
      <c r="F684" s="18" t="n"/>
      <c r="G684" s="18" t="n"/>
      <c r="H684" s="18" t="n"/>
      <c r="I684" s="18" t="n"/>
      <c r="J684" s="14" t="n"/>
      <c r="K684" s="19">
        <f>IF(AND(ISNUMBER(F684),ISNUMBER(G684)),(G684-F684)*1440,"")</f>
        <v/>
      </c>
      <c r="L684" s="19">
        <f>IF(AND(ISNUMBER(H684),ISNUMBER(I684)),(I684-H684)*1440,"")</f>
        <v/>
      </c>
      <c r="M684" s="15">
        <f>IF(ISNUMBER(F684),HOUR(F684),"")</f>
        <v/>
      </c>
    </row>
    <row r="685" ht="15.75" customHeight="1" s="36">
      <c r="A685" s="2" t="n"/>
      <c r="B685" s="12" t="n"/>
      <c r="C685" s="14" t="n"/>
      <c r="D685" s="14" t="n"/>
      <c r="E685" s="14" t="n"/>
      <c r="F685" s="18" t="n"/>
      <c r="G685" s="18" t="n"/>
      <c r="H685" s="18" t="n"/>
      <c r="I685" s="18" t="n"/>
      <c r="J685" s="14" t="n"/>
      <c r="K685" s="19">
        <f>IF(AND(ISNUMBER(F685),ISNUMBER(G685)),(G685-F685)*1440,"")</f>
        <v/>
      </c>
      <c r="L685" s="19">
        <f>IF(AND(ISNUMBER(H685),ISNUMBER(I685)),(I685-H685)*1440,"")</f>
        <v/>
      </c>
      <c r="M685" s="15">
        <f>IF(ISNUMBER(F685),HOUR(F685),"")</f>
        <v/>
      </c>
    </row>
    <row r="686" ht="15.75" customHeight="1" s="36">
      <c r="A686" s="2" t="n"/>
      <c r="B686" s="12" t="n"/>
      <c r="C686" s="14" t="n"/>
      <c r="D686" s="14" t="n"/>
      <c r="E686" s="14" t="n"/>
      <c r="F686" s="18" t="n"/>
      <c r="G686" s="18" t="n"/>
      <c r="H686" s="18" t="n"/>
      <c r="I686" s="18" t="n"/>
      <c r="J686" s="14" t="n"/>
      <c r="K686" s="19">
        <f>IF(AND(ISNUMBER(F686),ISNUMBER(G686)),(G686-F686)*1440,"")</f>
        <v/>
      </c>
      <c r="L686" s="19">
        <f>IF(AND(ISNUMBER(H686),ISNUMBER(I686)),(I686-H686)*1440,"")</f>
        <v/>
      </c>
      <c r="M686" s="15">
        <f>IF(ISNUMBER(F686),HOUR(F686),"")</f>
        <v/>
      </c>
    </row>
    <row r="687" ht="15.75" customHeight="1" s="36">
      <c r="A687" s="2" t="n"/>
      <c r="B687" s="12" t="n"/>
      <c r="C687" s="14" t="n"/>
      <c r="D687" s="14" t="n"/>
      <c r="E687" s="14" t="n"/>
      <c r="F687" s="18" t="n"/>
      <c r="G687" s="18" t="n"/>
      <c r="H687" s="18" t="n"/>
      <c r="I687" s="18" t="n"/>
      <c r="J687" s="14" t="n"/>
      <c r="K687" s="19">
        <f>IF(AND(ISNUMBER(F687),ISNUMBER(G687)),(G687-F687)*1440,"")</f>
        <v/>
      </c>
      <c r="L687" s="19">
        <f>IF(AND(ISNUMBER(H687),ISNUMBER(I687)),(I687-H687)*1440,"")</f>
        <v/>
      </c>
      <c r="M687" s="15">
        <f>IF(ISNUMBER(F687),HOUR(F687),"")</f>
        <v/>
      </c>
    </row>
    <row r="688" ht="15.75" customHeight="1" s="36">
      <c r="A688" s="2" t="n"/>
      <c r="B688" s="12" t="n"/>
      <c r="C688" s="14" t="n"/>
      <c r="D688" s="14" t="n"/>
      <c r="E688" s="14" t="n"/>
      <c r="F688" s="18" t="n"/>
      <c r="G688" s="18" t="n"/>
      <c r="H688" s="18" t="n"/>
      <c r="I688" s="18" t="n"/>
      <c r="J688" s="14" t="n"/>
      <c r="K688" s="19">
        <f>IF(AND(ISNUMBER(F688),ISNUMBER(G688)),(G688-F688)*1440,"")</f>
        <v/>
      </c>
      <c r="L688" s="19">
        <f>IF(AND(ISNUMBER(H688),ISNUMBER(I688)),(I688-H688)*1440,"")</f>
        <v/>
      </c>
      <c r="M688" s="15">
        <f>IF(ISNUMBER(F688),HOUR(F688),"")</f>
        <v/>
      </c>
    </row>
    <row r="689" ht="15.75" customHeight="1" s="36">
      <c r="A689" s="2" t="n"/>
      <c r="B689" s="12" t="n"/>
      <c r="C689" s="14" t="n"/>
      <c r="D689" s="14" t="n"/>
      <c r="E689" s="14" t="n"/>
      <c r="F689" s="18" t="n"/>
      <c r="G689" s="18" t="n"/>
      <c r="H689" s="18" t="n"/>
      <c r="I689" s="18" t="n"/>
      <c r="J689" s="14" t="n"/>
      <c r="K689" s="19">
        <f>IF(AND(ISNUMBER(F689),ISNUMBER(G689)),(G689-F689)*1440,"")</f>
        <v/>
      </c>
      <c r="L689" s="19">
        <f>IF(AND(ISNUMBER(H689),ISNUMBER(I689)),(I689-H689)*1440,"")</f>
        <v/>
      </c>
      <c r="M689" s="15">
        <f>IF(ISNUMBER(F689),HOUR(F689),"")</f>
        <v/>
      </c>
    </row>
    <row r="690" ht="15.75" customHeight="1" s="36">
      <c r="A690" s="2" t="n"/>
      <c r="B690" s="12" t="n"/>
      <c r="C690" s="14" t="n"/>
      <c r="D690" s="14" t="n"/>
      <c r="E690" s="14" t="n"/>
      <c r="F690" s="18" t="n"/>
      <c r="G690" s="18" t="n"/>
      <c r="H690" s="18" t="n"/>
      <c r="I690" s="18" t="n"/>
      <c r="J690" s="14" t="n"/>
      <c r="K690" s="19">
        <f>IF(AND(ISNUMBER(F690),ISNUMBER(G690)),(G690-F690)*1440,"")</f>
        <v/>
      </c>
      <c r="L690" s="19">
        <f>IF(AND(ISNUMBER(H690),ISNUMBER(I690)),(I690-H690)*1440,"")</f>
        <v/>
      </c>
      <c r="M690" s="15">
        <f>IF(ISNUMBER(F690),HOUR(F690),"")</f>
        <v/>
      </c>
    </row>
    <row r="691" ht="15.75" customHeight="1" s="36">
      <c r="A691" s="2" t="n"/>
      <c r="B691" s="12" t="n"/>
      <c r="C691" s="14" t="n"/>
      <c r="D691" s="14" t="n"/>
      <c r="E691" s="14" t="n"/>
      <c r="F691" s="18" t="n"/>
      <c r="G691" s="18" t="n"/>
      <c r="H691" s="18" t="n"/>
      <c r="I691" s="18" t="n"/>
      <c r="J691" s="14" t="n"/>
      <c r="K691" s="19">
        <f>IF(AND(ISNUMBER(F691),ISNUMBER(G691)),(G691-F691)*1440,"")</f>
        <v/>
      </c>
      <c r="L691" s="19">
        <f>IF(AND(ISNUMBER(H691),ISNUMBER(I691)),(I691-H691)*1440,"")</f>
        <v/>
      </c>
      <c r="M691" s="15">
        <f>IF(ISNUMBER(F691),HOUR(F691),"")</f>
        <v/>
      </c>
    </row>
    <row r="692" ht="15.75" customHeight="1" s="36">
      <c r="A692" s="2" t="n"/>
      <c r="B692" s="12" t="n"/>
      <c r="C692" s="14" t="n"/>
      <c r="D692" s="14" t="n"/>
      <c r="E692" s="14" t="n"/>
      <c r="F692" s="18" t="n"/>
      <c r="G692" s="18" t="n"/>
      <c r="H692" s="18" t="n"/>
      <c r="I692" s="18" t="n"/>
      <c r="J692" s="14" t="n"/>
      <c r="K692" s="19">
        <f>IF(AND(ISNUMBER(F692),ISNUMBER(G692)),(G692-F692)*1440,"")</f>
        <v/>
      </c>
      <c r="L692" s="19">
        <f>IF(AND(ISNUMBER(H692),ISNUMBER(I692)),(I692-H692)*1440,"")</f>
        <v/>
      </c>
      <c r="M692" s="15">
        <f>IF(ISNUMBER(F692),HOUR(F692),"")</f>
        <v/>
      </c>
    </row>
    <row r="693" ht="15.75" customHeight="1" s="36">
      <c r="A693" s="2" t="n"/>
      <c r="B693" s="12" t="n"/>
      <c r="C693" s="14" t="n"/>
      <c r="D693" s="14" t="n"/>
      <c r="E693" s="14" t="n"/>
      <c r="F693" s="18" t="n"/>
      <c r="G693" s="18" t="n"/>
      <c r="H693" s="18" t="n"/>
      <c r="I693" s="18" t="n"/>
      <c r="J693" s="14" t="n"/>
      <c r="K693" s="19">
        <f>IF(AND(ISNUMBER(F693),ISNUMBER(G693)),(G693-F693)*1440,"")</f>
        <v/>
      </c>
      <c r="L693" s="19">
        <f>IF(AND(ISNUMBER(H693),ISNUMBER(I693)),(I693-H693)*1440,"")</f>
        <v/>
      </c>
      <c r="M693" s="15">
        <f>IF(ISNUMBER(F693),HOUR(F693),"")</f>
        <v/>
      </c>
    </row>
    <row r="694" ht="15.75" customHeight="1" s="36">
      <c r="A694" s="2" t="n"/>
      <c r="B694" s="12" t="n"/>
      <c r="C694" s="14" t="n"/>
      <c r="D694" s="14" t="n"/>
      <c r="E694" s="14" t="n"/>
      <c r="F694" s="18" t="n"/>
      <c r="G694" s="18" t="n"/>
      <c r="H694" s="18" t="n"/>
      <c r="I694" s="18" t="n"/>
      <c r="J694" s="14" t="n"/>
      <c r="K694" s="19">
        <f>IF(AND(ISNUMBER(F694),ISNUMBER(G694)),(G694-F694)*1440,"")</f>
        <v/>
      </c>
      <c r="L694" s="19">
        <f>IF(AND(ISNUMBER(H694),ISNUMBER(I694)),(I694-H694)*1440,"")</f>
        <v/>
      </c>
      <c r="M694" s="15">
        <f>IF(ISNUMBER(F694),HOUR(F694),"")</f>
        <v/>
      </c>
    </row>
    <row r="695" ht="15.75" customHeight="1" s="36">
      <c r="A695" s="2" t="n"/>
      <c r="B695" s="12" t="n"/>
      <c r="C695" s="14" t="n"/>
      <c r="D695" s="14" t="n"/>
      <c r="E695" s="14" t="n"/>
      <c r="F695" s="18" t="n"/>
      <c r="G695" s="18" t="n"/>
      <c r="H695" s="18" t="n"/>
      <c r="I695" s="18" t="n"/>
      <c r="J695" s="14" t="n"/>
      <c r="K695" s="19">
        <f>IF(AND(ISNUMBER(F695),ISNUMBER(G695)),(G695-F695)*1440,"")</f>
        <v/>
      </c>
      <c r="L695" s="19">
        <f>IF(AND(ISNUMBER(H695),ISNUMBER(I695)),(I695-H695)*1440,"")</f>
        <v/>
      </c>
      <c r="M695" s="15">
        <f>IF(ISNUMBER(F695),HOUR(F695),"")</f>
        <v/>
      </c>
    </row>
    <row r="696" ht="15.75" customHeight="1" s="36">
      <c r="A696" s="2" t="n"/>
      <c r="B696" s="12" t="n"/>
      <c r="C696" s="14" t="n"/>
      <c r="D696" s="14" t="n"/>
      <c r="E696" s="14" t="n"/>
      <c r="F696" s="18" t="n"/>
      <c r="G696" s="18" t="n"/>
      <c r="H696" s="18" t="n"/>
      <c r="I696" s="18" t="n"/>
      <c r="J696" s="14" t="n"/>
      <c r="K696" s="19">
        <f>IF(AND(ISNUMBER(F696),ISNUMBER(G696)),(G696-F696)*1440,"")</f>
        <v/>
      </c>
      <c r="L696" s="19">
        <f>IF(AND(ISNUMBER(H696),ISNUMBER(I696)),(I696-H696)*1440,"")</f>
        <v/>
      </c>
      <c r="M696" s="15">
        <f>IF(ISNUMBER(F696),HOUR(F696),"")</f>
        <v/>
      </c>
    </row>
    <row r="697" ht="15.75" customHeight="1" s="36">
      <c r="A697" s="2" t="n"/>
      <c r="B697" s="12" t="n"/>
      <c r="C697" s="14" t="n"/>
      <c r="D697" s="14" t="n"/>
      <c r="E697" s="14" t="n"/>
      <c r="F697" s="18" t="n"/>
      <c r="G697" s="18" t="n"/>
      <c r="H697" s="18" t="n"/>
      <c r="I697" s="18" t="n"/>
      <c r="J697" s="14" t="n"/>
      <c r="K697" s="19">
        <f>IF(AND(ISNUMBER(F697),ISNUMBER(G697)),(G697-F697)*1440,"")</f>
        <v/>
      </c>
      <c r="L697" s="19">
        <f>IF(AND(ISNUMBER(H697),ISNUMBER(I697)),(I697-H697)*1440,"")</f>
        <v/>
      </c>
      <c r="M697" s="15">
        <f>IF(ISNUMBER(F697),HOUR(F697),"")</f>
        <v/>
      </c>
    </row>
    <row r="698" ht="15.75" customHeight="1" s="36">
      <c r="A698" s="2" t="n"/>
      <c r="B698" s="12" t="n"/>
      <c r="C698" s="14" t="n"/>
      <c r="D698" s="14" t="n"/>
      <c r="E698" s="14" t="n"/>
      <c r="F698" s="18" t="n"/>
      <c r="G698" s="18" t="n"/>
      <c r="H698" s="18" t="n"/>
      <c r="I698" s="18" t="n"/>
      <c r="J698" s="14" t="n"/>
      <c r="K698" s="19">
        <f>IF(AND(ISNUMBER(F698),ISNUMBER(G698)),(G698-F698)*1440,"")</f>
        <v/>
      </c>
      <c r="L698" s="19">
        <f>IF(AND(ISNUMBER(H698),ISNUMBER(I698)),(I698-H698)*1440,"")</f>
        <v/>
      </c>
      <c r="M698" s="15">
        <f>IF(ISNUMBER(F698),HOUR(F698),"")</f>
        <v/>
      </c>
    </row>
    <row r="699" ht="15.75" customHeight="1" s="36">
      <c r="A699" s="2" t="n"/>
      <c r="B699" s="12" t="n"/>
      <c r="C699" s="14" t="n"/>
      <c r="D699" s="14" t="n"/>
      <c r="E699" s="14" t="n"/>
      <c r="F699" s="18" t="n"/>
      <c r="G699" s="18" t="n"/>
      <c r="H699" s="18" t="n"/>
      <c r="I699" s="18" t="n"/>
      <c r="J699" s="14" t="n"/>
      <c r="K699" s="19">
        <f>IF(AND(ISNUMBER(F699),ISNUMBER(G699)),(G699-F699)*1440,"")</f>
        <v/>
      </c>
      <c r="L699" s="19">
        <f>IF(AND(ISNUMBER(H699),ISNUMBER(I699)),(I699-H699)*1440,"")</f>
        <v/>
      </c>
      <c r="M699" s="15">
        <f>IF(ISNUMBER(F699),HOUR(F699),"")</f>
        <v/>
      </c>
    </row>
    <row r="700" ht="15.75" customHeight="1" s="36">
      <c r="A700" s="2" t="n"/>
      <c r="B700" s="12" t="n"/>
      <c r="C700" s="14" t="n"/>
      <c r="D700" s="14" t="n"/>
      <c r="E700" s="14" t="n"/>
      <c r="F700" s="18" t="n"/>
      <c r="G700" s="18" t="n"/>
      <c r="H700" s="18" t="n"/>
      <c r="I700" s="18" t="n"/>
      <c r="J700" s="14" t="n"/>
      <c r="K700" s="19">
        <f>IF(AND(ISNUMBER(F700),ISNUMBER(G700)),(G700-F700)*1440,"")</f>
        <v/>
      </c>
      <c r="L700" s="19">
        <f>IF(AND(ISNUMBER(H700),ISNUMBER(I700)),(I700-H700)*1440,"")</f>
        <v/>
      </c>
      <c r="M700" s="15">
        <f>IF(ISNUMBER(F700),HOUR(F700),"")</f>
        <v/>
      </c>
    </row>
    <row r="701" ht="15.75" customHeight="1" s="36">
      <c r="A701" s="2" t="n"/>
      <c r="B701" s="12" t="n"/>
      <c r="C701" s="14" t="n"/>
      <c r="D701" s="14" t="n"/>
      <c r="E701" s="14" t="n"/>
      <c r="F701" s="18" t="n"/>
      <c r="G701" s="18" t="n"/>
      <c r="H701" s="18" t="n"/>
      <c r="I701" s="18" t="n"/>
      <c r="J701" s="14" t="n"/>
      <c r="K701" s="19">
        <f>IF(AND(ISNUMBER(F701),ISNUMBER(G701)),(G701-F701)*1440,"")</f>
        <v/>
      </c>
      <c r="L701" s="19">
        <f>IF(AND(ISNUMBER(H701),ISNUMBER(I701)),(I701-H701)*1440,"")</f>
        <v/>
      </c>
      <c r="M701" s="15">
        <f>IF(ISNUMBER(F701),HOUR(F701),"")</f>
        <v/>
      </c>
    </row>
    <row r="702" ht="15.75" customHeight="1" s="36">
      <c r="A702" s="2" t="n"/>
      <c r="B702" s="12" t="n"/>
      <c r="C702" s="14" t="n"/>
      <c r="D702" s="14" t="n"/>
      <c r="E702" s="14" t="n"/>
      <c r="F702" s="18" t="n"/>
      <c r="G702" s="18" t="n"/>
      <c r="H702" s="18" t="n"/>
      <c r="I702" s="18" t="n"/>
      <c r="J702" s="14" t="n"/>
      <c r="K702" s="19">
        <f>IF(AND(ISNUMBER(F702),ISNUMBER(G702)),(G702-F702)*1440,"")</f>
        <v/>
      </c>
      <c r="L702" s="19">
        <f>IF(AND(ISNUMBER(H702),ISNUMBER(I702)),(I702-H702)*1440,"")</f>
        <v/>
      </c>
      <c r="M702" s="15">
        <f>IF(ISNUMBER(F702),HOUR(F702),"")</f>
        <v/>
      </c>
    </row>
    <row r="703" ht="15.75" customHeight="1" s="36">
      <c r="A703" s="2" t="n"/>
      <c r="B703" s="12" t="n"/>
      <c r="C703" s="14" t="n"/>
      <c r="D703" s="14" t="n"/>
      <c r="E703" s="14" t="n"/>
      <c r="F703" s="18" t="n"/>
      <c r="G703" s="18" t="n"/>
      <c r="H703" s="18" t="n"/>
      <c r="I703" s="18" t="n"/>
      <c r="J703" s="14" t="n"/>
      <c r="K703" s="19">
        <f>IF(AND(ISNUMBER(F703),ISNUMBER(G703)),(G703-F703)*1440,"")</f>
        <v/>
      </c>
      <c r="L703" s="19">
        <f>IF(AND(ISNUMBER(H703),ISNUMBER(I703)),(I703-H703)*1440,"")</f>
        <v/>
      </c>
      <c r="M703" s="15">
        <f>IF(ISNUMBER(F703),HOUR(F703),"")</f>
        <v/>
      </c>
    </row>
    <row r="704" ht="15.75" customHeight="1" s="36">
      <c r="A704" s="2" t="n"/>
      <c r="B704" s="12" t="n"/>
      <c r="C704" s="14" t="n"/>
      <c r="D704" s="14" t="n"/>
      <c r="E704" s="14" t="n"/>
      <c r="F704" s="18" t="n"/>
      <c r="G704" s="18" t="n"/>
      <c r="H704" s="18" t="n"/>
      <c r="I704" s="18" t="n"/>
      <c r="J704" s="14" t="n"/>
      <c r="K704" s="19">
        <f>IF(AND(ISNUMBER(F704),ISNUMBER(G704)),(G704-F704)*1440,"")</f>
        <v/>
      </c>
      <c r="L704" s="19">
        <f>IF(AND(ISNUMBER(H704),ISNUMBER(I704)),(I704-H704)*1440,"")</f>
        <v/>
      </c>
      <c r="M704" s="15">
        <f>IF(ISNUMBER(F704),HOUR(F704),"")</f>
        <v/>
      </c>
    </row>
    <row r="705" ht="15.75" customHeight="1" s="36">
      <c r="A705" s="2" t="n"/>
      <c r="B705" s="12" t="n"/>
      <c r="C705" s="14" t="n"/>
      <c r="D705" s="14" t="n"/>
      <c r="E705" s="14" t="n"/>
      <c r="F705" s="18" t="n"/>
      <c r="G705" s="18" t="n"/>
      <c r="H705" s="18" t="n"/>
      <c r="I705" s="18" t="n"/>
      <c r="J705" s="14" t="n"/>
      <c r="K705" s="19">
        <f>IF(AND(ISNUMBER(F705),ISNUMBER(G705)),(G705-F705)*1440,"")</f>
        <v/>
      </c>
      <c r="L705" s="19">
        <f>IF(AND(ISNUMBER(H705),ISNUMBER(I705)),(I705-H705)*1440,"")</f>
        <v/>
      </c>
      <c r="M705" s="15">
        <f>IF(ISNUMBER(F705),HOUR(F705),"")</f>
        <v/>
      </c>
    </row>
    <row r="706" ht="15.75" customHeight="1" s="36">
      <c r="A706" s="2" t="n"/>
      <c r="B706" s="12" t="n"/>
      <c r="C706" s="14" t="n"/>
      <c r="D706" s="14" t="n"/>
      <c r="E706" s="14" t="n"/>
      <c r="F706" s="18" t="n"/>
      <c r="G706" s="18" t="n"/>
      <c r="H706" s="18" t="n"/>
      <c r="I706" s="18" t="n"/>
      <c r="J706" s="14" t="n"/>
      <c r="K706" s="19">
        <f>IF(AND(ISNUMBER(F706),ISNUMBER(G706)),(G706-F706)*1440,"")</f>
        <v/>
      </c>
      <c r="L706" s="19">
        <f>IF(AND(ISNUMBER(H706),ISNUMBER(I706)),(I706-H706)*1440,"")</f>
        <v/>
      </c>
      <c r="M706" s="15">
        <f>IF(ISNUMBER(F706),HOUR(F706),"")</f>
        <v/>
      </c>
    </row>
    <row r="707" ht="15.75" customHeight="1" s="36">
      <c r="A707" s="2" t="n"/>
      <c r="B707" s="12" t="n"/>
      <c r="C707" s="14" t="n"/>
      <c r="D707" s="14" t="n"/>
      <c r="E707" s="14" t="n"/>
      <c r="F707" s="18" t="n"/>
      <c r="G707" s="18" t="n"/>
      <c r="H707" s="18" t="n"/>
      <c r="I707" s="18" t="n"/>
      <c r="J707" s="14" t="n"/>
      <c r="K707" s="19">
        <f>IF(AND(ISNUMBER(F707),ISNUMBER(G707)),(G707-F707)*1440,"")</f>
        <v/>
      </c>
      <c r="L707" s="19">
        <f>IF(AND(ISNUMBER(H707),ISNUMBER(I707)),(I707-H707)*1440,"")</f>
        <v/>
      </c>
      <c r="M707" s="15">
        <f>IF(ISNUMBER(F707),HOUR(F707),"")</f>
        <v/>
      </c>
    </row>
    <row r="708" ht="15.75" customHeight="1" s="36">
      <c r="A708" s="2" t="n"/>
      <c r="B708" s="12" t="n"/>
      <c r="C708" s="14" t="n"/>
      <c r="D708" s="14" t="n"/>
      <c r="E708" s="14" t="n"/>
      <c r="F708" s="18" t="n"/>
      <c r="G708" s="18" t="n"/>
      <c r="H708" s="18" t="n"/>
      <c r="I708" s="18" t="n"/>
      <c r="J708" s="14" t="n"/>
      <c r="K708" s="19">
        <f>IF(AND(ISNUMBER(F708),ISNUMBER(G708)),(G708-F708)*1440,"")</f>
        <v/>
      </c>
      <c r="L708" s="19">
        <f>IF(AND(ISNUMBER(H708),ISNUMBER(I708)),(I708-H708)*1440,"")</f>
        <v/>
      </c>
      <c r="M708" s="15">
        <f>IF(ISNUMBER(F708),HOUR(F708),"")</f>
        <v/>
      </c>
    </row>
    <row r="709" ht="15.75" customHeight="1" s="36">
      <c r="A709" s="2" t="n"/>
      <c r="B709" s="12" t="n"/>
      <c r="C709" s="14" t="n"/>
      <c r="D709" s="14" t="n"/>
      <c r="E709" s="14" t="n"/>
      <c r="F709" s="18" t="n"/>
      <c r="G709" s="18" t="n"/>
      <c r="H709" s="18" t="n"/>
      <c r="I709" s="18" t="n"/>
      <c r="J709" s="14" t="n"/>
      <c r="K709" s="19">
        <f>IF(AND(ISNUMBER(F709),ISNUMBER(G709)),(G709-F709)*1440,"")</f>
        <v/>
      </c>
      <c r="L709" s="19">
        <f>IF(AND(ISNUMBER(H709),ISNUMBER(I709)),(I709-H709)*1440,"")</f>
        <v/>
      </c>
      <c r="M709" s="15">
        <f>IF(ISNUMBER(F709),HOUR(F709),"")</f>
        <v/>
      </c>
    </row>
    <row r="710" ht="15.75" customHeight="1" s="36">
      <c r="A710" s="2" t="n"/>
      <c r="B710" s="12" t="n"/>
      <c r="C710" s="14" t="n"/>
      <c r="D710" s="14" t="n"/>
      <c r="E710" s="14" t="n"/>
      <c r="F710" s="18" t="n"/>
      <c r="G710" s="18" t="n"/>
      <c r="H710" s="18" t="n"/>
      <c r="I710" s="18" t="n"/>
      <c r="J710" s="14" t="n"/>
      <c r="K710" s="19">
        <f>IF(AND(ISNUMBER(F710),ISNUMBER(G710)),(G710-F710)*1440,"")</f>
        <v/>
      </c>
      <c r="L710" s="19">
        <f>IF(AND(ISNUMBER(H710),ISNUMBER(I710)),(I710-H710)*1440,"")</f>
        <v/>
      </c>
      <c r="M710" s="15">
        <f>IF(ISNUMBER(F710),HOUR(F710),"")</f>
        <v/>
      </c>
    </row>
    <row r="711" ht="15.75" customHeight="1" s="36">
      <c r="A711" s="2" t="n"/>
      <c r="B711" s="12" t="n"/>
      <c r="C711" s="14" t="n"/>
      <c r="D711" s="14" t="n"/>
      <c r="E711" s="14" t="n"/>
      <c r="F711" s="18" t="n"/>
      <c r="G711" s="18" t="n"/>
      <c r="H711" s="18" t="n"/>
      <c r="I711" s="18" t="n"/>
      <c r="J711" s="14" t="n"/>
      <c r="K711" s="19">
        <f>IF(AND(ISNUMBER(F711),ISNUMBER(G711)),(G711-F711)*1440,"")</f>
        <v/>
      </c>
      <c r="L711" s="19">
        <f>IF(AND(ISNUMBER(H711),ISNUMBER(I711)),(I711-H711)*1440,"")</f>
        <v/>
      </c>
      <c r="M711" s="15">
        <f>IF(ISNUMBER(F711),HOUR(F711),"")</f>
        <v/>
      </c>
    </row>
    <row r="712" ht="15.75" customHeight="1" s="36">
      <c r="A712" s="2" t="n"/>
      <c r="B712" s="12" t="n"/>
      <c r="C712" s="14" t="n"/>
      <c r="D712" s="14" t="n"/>
      <c r="E712" s="14" t="n"/>
      <c r="F712" s="18" t="n"/>
      <c r="G712" s="18" t="n"/>
      <c r="H712" s="18" t="n"/>
      <c r="I712" s="18" t="n"/>
      <c r="J712" s="14" t="n"/>
      <c r="K712" s="19">
        <f>IF(AND(ISNUMBER(F712),ISNUMBER(G712)),(G712-F712)*1440,"")</f>
        <v/>
      </c>
      <c r="L712" s="19">
        <f>IF(AND(ISNUMBER(H712),ISNUMBER(I712)),(I712-H712)*1440,"")</f>
        <v/>
      </c>
      <c r="M712" s="15">
        <f>IF(ISNUMBER(F712),HOUR(F712),"")</f>
        <v/>
      </c>
    </row>
    <row r="713" ht="15.75" customHeight="1" s="36">
      <c r="A713" s="2" t="n"/>
      <c r="B713" s="12" t="n"/>
      <c r="C713" s="14" t="n"/>
      <c r="D713" s="14" t="n"/>
      <c r="E713" s="14" t="n"/>
      <c r="F713" s="18" t="n"/>
      <c r="G713" s="18" t="n"/>
      <c r="H713" s="18" t="n"/>
      <c r="I713" s="18" t="n"/>
      <c r="J713" s="14" t="n"/>
      <c r="K713" s="19">
        <f>IF(AND(ISNUMBER(F713),ISNUMBER(G713)),(G713-F713)*1440,"")</f>
        <v/>
      </c>
      <c r="L713" s="19">
        <f>IF(AND(ISNUMBER(H713),ISNUMBER(I713)),(I713-H713)*1440,"")</f>
        <v/>
      </c>
      <c r="M713" s="15">
        <f>IF(ISNUMBER(F713),HOUR(F713),"")</f>
        <v/>
      </c>
    </row>
    <row r="714" ht="15.75" customHeight="1" s="36">
      <c r="A714" s="2" t="n"/>
      <c r="B714" s="12" t="n"/>
      <c r="C714" s="14" t="n"/>
      <c r="D714" s="14" t="n"/>
      <c r="E714" s="14" t="n"/>
      <c r="F714" s="18" t="n"/>
      <c r="G714" s="18" t="n"/>
      <c r="H714" s="18" t="n"/>
      <c r="I714" s="18" t="n"/>
      <c r="J714" s="14" t="n"/>
      <c r="K714" s="19">
        <f>IF(AND(ISNUMBER(F714),ISNUMBER(G714)),(G714-F714)*1440,"")</f>
        <v/>
      </c>
      <c r="L714" s="19">
        <f>IF(AND(ISNUMBER(H714),ISNUMBER(I714)),(I714-H714)*1440,"")</f>
        <v/>
      </c>
      <c r="M714" s="15">
        <f>IF(ISNUMBER(F714),HOUR(F714),"")</f>
        <v/>
      </c>
    </row>
    <row r="715" ht="15.75" customHeight="1" s="36">
      <c r="A715" s="2" t="n"/>
      <c r="B715" s="12" t="n"/>
      <c r="C715" s="14" t="n"/>
      <c r="D715" s="14" t="n"/>
      <c r="E715" s="14" t="n"/>
      <c r="F715" s="18" t="n"/>
      <c r="G715" s="18" t="n"/>
      <c r="H715" s="18" t="n"/>
      <c r="I715" s="18" t="n"/>
      <c r="J715" s="14" t="n"/>
      <c r="K715" s="19">
        <f>IF(AND(ISNUMBER(F715),ISNUMBER(G715)),(G715-F715)*1440,"")</f>
        <v/>
      </c>
      <c r="L715" s="19">
        <f>IF(AND(ISNUMBER(H715),ISNUMBER(I715)),(I715-H715)*1440,"")</f>
        <v/>
      </c>
      <c r="M715" s="15">
        <f>IF(ISNUMBER(F715),HOUR(F715),"")</f>
        <v/>
      </c>
    </row>
    <row r="716" ht="15.75" customHeight="1" s="36">
      <c r="A716" s="2" t="n"/>
      <c r="B716" s="12" t="n"/>
      <c r="C716" s="14" t="n"/>
      <c r="D716" s="14" t="n"/>
      <c r="E716" s="14" t="n"/>
      <c r="F716" s="18" t="n"/>
      <c r="G716" s="18" t="n"/>
      <c r="H716" s="18" t="n"/>
      <c r="I716" s="18" t="n"/>
      <c r="J716" s="14" t="n"/>
      <c r="K716" s="19">
        <f>IF(AND(ISNUMBER(F716),ISNUMBER(G716)),(G716-F716)*1440,"")</f>
        <v/>
      </c>
      <c r="L716" s="19">
        <f>IF(AND(ISNUMBER(H716),ISNUMBER(I716)),(I716-H716)*1440,"")</f>
        <v/>
      </c>
      <c r="M716" s="15">
        <f>IF(ISNUMBER(F716),HOUR(F716),"")</f>
        <v/>
      </c>
    </row>
    <row r="717" ht="15.75" customHeight="1" s="36">
      <c r="A717" s="2" t="n"/>
      <c r="B717" s="12" t="n"/>
      <c r="C717" s="14" t="n"/>
      <c r="D717" s="14" t="n"/>
      <c r="E717" s="14" t="n"/>
      <c r="F717" s="18" t="n"/>
      <c r="G717" s="18" t="n"/>
      <c r="H717" s="18" t="n"/>
      <c r="I717" s="18" t="n"/>
      <c r="J717" s="14" t="n"/>
      <c r="K717" s="19">
        <f>IF(AND(ISNUMBER(F717),ISNUMBER(G717)),(G717-F717)*1440,"")</f>
        <v/>
      </c>
      <c r="L717" s="19">
        <f>IF(AND(ISNUMBER(H717),ISNUMBER(I717)),(I717-H717)*1440,"")</f>
        <v/>
      </c>
      <c r="M717" s="15">
        <f>IF(ISNUMBER(F717),HOUR(F717),"")</f>
        <v/>
      </c>
    </row>
    <row r="718" ht="15.75" customHeight="1" s="36">
      <c r="A718" s="2" t="n"/>
      <c r="B718" s="12" t="n"/>
      <c r="C718" s="14" t="n"/>
      <c r="D718" s="14" t="n"/>
      <c r="E718" s="14" t="n"/>
      <c r="F718" s="18" t="n"/>
      <c r="G718" s="18" t="n"/>
      <c r="H718" s="18" t="n"/>
      <c r="I718" s="18" t="n"/>
      <c r="J718" s="14" t="n"/>
      <c r="K718" s="19">
        <f>IF(AND(ISNUMBER(F718),ISNUMBER(G718)),(G718-F718)*1440,"")</f>
        <v/>
      </c>
      <c r="L718" s="19">
        <f>IF(AND(ISNUMBER(H718),ISNUMBER(I718)),(I718-H718)*1440,"")</f>
        <v/>
      </c>
      <c r="M718" s="15">
        <f>IF(ISNUMBER(F718),HOUR(F718),"")</f>
        <v/>
      </c>
    </row>
    <row r="719" ht="15.75" customHeight="1" s="36">
      <c r="A719" s="2" t="n"/>
      <c r="B719" s="12" t="n"/>
      <c r="C719" s="14" t="n"/>
      <c r="D719" s="14" t="n"/>
      <c r="E719" s="14" t="n"/>
      <c r="F719" s="18" t="n"/>
      <c r="G719" s="18" t="n"/>
      <c r="H719" s="18" t="n"/>
      <c r="I719" s="18" t="n"/>
      <c r="J719" s="14" t="n"/>
      <c r="K719" s="19">
        <f>IF(AND(ISNUMBER(F719),ISNUMBER(G719)),(G719-F719)*1440,"")</f>
        <v/>
      </c>
      <c r="L719" s="19">
        <f>IF(AND(ISNUMBER(H719),ISNUMBER(I719)),(I719-H719)*1440,"")</f>
        <v/>
      </c>
      <c r="M719" s="15">
        <f>IF(ISNUMBER(F719),HOUR(F719),"")</f>
        <v/>
      </c>
    </row>
    <row r="720" ht="15.75" customHeight="1" s="36">
      <c r="A720" s="2" t="n"/>
      <c r="B720" s="12" t="n"/>
      <c r="C720" s="14" t="n"/>
      <c r="D720" s="14" t="n"/>
      <c r="E720" s="14" t="n"/>
      <c r="F720" s="18" t="n"/>
      <c r="G720" s="18" t="n"/>
      <c r="H720" s="18" t="n"/>
      <c r="I720" s="18" t="n"/>
      <c r="J720" s="14" t="n"/>
      <c r="K720" s="19">
        <f>IF(AND(ISNUMBER(F720),ISNUMBER(G720)),(G720-F720)*1440,"")</f>
        <v/>
      </c>
      <c r="L720" s="19">
        <f>IF(AND(ISNUMBER(H720),ISNUMBER(I720)),(I720-H720)*1440,"")</f>
        <v/>
      </c>
      <c r="M720" s="15">
        <f>IF(ISNUMBER(F720),HOUR(F720),"")</f>
        <v/>
      </c>
    </row>
    <row r="721" ht="15.75" customHeight="1" s="36">
      <c r="A721" s="2" t="n"/>
      <c r="B721" s="12" t="n"/>
      <c r="C721" s="14" t="n"/>
      <c r="D721" s="14" t="n"/>
      <c r="E721" s="14" t="n"/>
      <c r="F721" s="18" t="n"/>
      <c r="G721" s="18" t="n"/>
      <c r="H721" s="18" t="n"/>
      <c r="I721" s="18" t="n"/>
      <c r="J721" s="14" t="n"/>
      <c r="K721" s="19">
        <f>IF(AND(ISNUMBER(F721),ISNUMBER(G721)),(G721-F721)*1440,"")</f>
        <v/>
      </c>
      <c r="L721" s="19">
        <f>IF(AND(ISNUMBER(H721),ISNUMBER(I721)),(I721-H721)*1440,"")</f>
        <v/>
      </c>
      <c r="M721" s="15">
        <f>IF(ISNUMBER(F721),HOUR(F721),"")</f>
        <v/>
      </c>
    </row>
    <row r="722" ht="15.75" customHeight="1" s="36">
      <c r="A722" s="2" t="n"/>
      <c r="B722" s="12" t="n"/>
      <c r="C722" s="14" t="n"/>
      <c r="D722" s="14" t="n"/>
      <c r="E722" s="14" t="n"/>
      <c r="F722" s="18" t="n"/>
      <c r="G722" s="18" t="n"/>
      <c r="H722" s="18" t="n"/>
      <c r="I722" s="18" t="n"/>
      <c r="J722" s="14" t="n"/>
      <c r="K722" s="19">
        <f>IF(AND(ISNUMBER(F722),ISNUMBER(G722)),(G722-F722)*1440,"")</f>
        <v/>
      </c>
      <c r="L722" s="19">
        <f>IF(AND(ISNUMBER(H722),ISNUMBER(I722)),(I722-H722)*1440,"")</f>
        <v/>
      </c>
      <c r="M722" s="15">
        <f>IF(ISNUMBER(F722),HOUR(F722),"")</f>
        <v/>
      </c>
    </row>
    <row r="723" ht="15.75" customHeight="1" s="36">
      <c r="A723" s="2" t="n"/>
      <c r="B723" s="12" t="n"/>
      <c r="C723" s="14" t="n"/>
      <c r="D723" s="14" t="n"/>
      <c r="E723" s="14" t="n"/>
      <c r="F723" s="18" t="n"/>
      <c r="G723" s="18" t="n"/>
      <c r="H723" s="18" t="n"/>
      <c r="I723" s="18" t="n"/>
      <c r="J723" s="14" t="n"/>
      <c r="K723" s="19">
        <f>IF(AND(ISNUMBER(F723),ISNUMBER(G723)),(G723-F723)*1440,"")</f>
        <v/>
      </c>
      <c r="L723" s="19">
        <f>IF(AND(ISNUMBER(H723),ISNUMBER(I723)),(I723-H723)*1440,"")</f>
        <v/>
      </c>
      <c r="M723" s="15">
        <f>IF(ISNUMBER(F723),HOUR(F723),"")</f>
        <v/>
      </c>
    </row>
    <row r="724" ht="15.75" customHeight="1" s="36">
      <c r="A724" s="2" t="n"/>
      <c r="B724" s="12" t="n"/>
      <c r="C724" s="14" t="n"/>
      <c r="D724" s="14" t="n"/>
      <c r="E724" s="14" t="n"/>
      <c r="F724" s="18" t="n"/>
      <c r="G724" s="18" t="n"/>
      <c r="H724" s="18" t="n"/>
      <c r="I724" s="18" t="n"/>
      <c r="J724" s="14" t="n"/>
      <c r="K724" s="19">
        <f>IF(AND(ISNUMBER(F724),ISNUMBER(G724)),(G724-F724)*1440,"")</f>
        <v/>
      </c>
      <c r="L724" s="19">
        <f>IF(AND(ISNUMBER(H724),ISNUMBER(I724)),(I724-H724)*1440,"")</f>
        <v/>
      </c>
      <c r="M724" s="15">
        <f>IF(ISNUMBER(F724),HOUR(F724),"")</f>
        <v/>
      </c>
    </row>
    <row r="725" ht="15.75" customHeight="1" s="36">
      <c r="A725" s="2" t="n"/>
      <c r="B725" s="12" t="n"/>
      <c r="C725" s="14" t="n"/>
      <c r="D725" s="14" t="n"/>
      <c r="E725" s="14" t="n"/>
      <c r="F725" s="18" t="n"/>
      <c r="G725" s="18" t="n"/>
      <c r="H725" s="18" t="n"/>
      <c r="I725" s="18" t="n"/>
      <c r="J725" s="14" t="n"/>
      <c r="K725" s="19">
        <f>IF(AND(ISNUMBER(F725),ISNUMBER(G725)),(G725-F725)*1440,"")</f>
        <v/>
      </c>
      <c r="L725" s="19">
        <f>IF(AND(ISNUMBER(H725),ISNUMBER(I725)),(I725-H725)*1440,"")</f>
        <v/>
      </c>
      <c r="M725" s="15">
        <f>IF(ISNUMBER(F725),HOUR(F725),"")</f>
        <v/>
      </c>
    </row>
    <row r="726" ht="15.75" customHeight="1" s="36">
      <c r="A726" s="2" t="n"/>
      <c r="B726" s="12" t="n"/>
      <c r="C726" s="14" t="n"/>
      <c r="D726" s="14" t="n"/>
      <c r="E726" s="14" t="n"/>
      <c r="F726" s="18" t="n"/>
      <c r="G726" s="18" t="n"/>
      <c r="H726" s="18" t="n"/>
      <c r="I726" s="18" t="n"/>
      <c r="J726" s="14" t="n"/>
      <c r="K726" s="19">
        <f>IF(AND(ISNUMBER(F726),ISNUMBER(G726)),(G726-F726)*1440,"")</f>
        <v/>
      </c>
      <c r="L726" s="19">
        <f>IF(AND(ISNUMBER(H726),ISNUMBER(I726)),(I726-H726)*1440,"")</f>
        <v/>
      </c>
      <c r="M726" s="15">
        <f>IF(ISNUMBER(F726),HOUR(F726),"")</f>
        <v/>
      </c>
    </row>
    <row r="727" ht="15.75" customHeight="1" s="36">
      <c r="A727" s="2" t="n"/>
      <c r="B727" s="12" t="n"/>
      <c r="C727" s="14" t="n"/>
      <c r="D727" s="14" t="n"/>
      <c r="E727" s="14" t="n"/>
      <c r="F727" s="18" t="n"/>
      <c r="G727" s="18" t="n"/>
      <c r="H727" s="18" t="n"/>
      <c r="I727" s="18" t="n"/>
      <c r="J727" s="14" t="n"/>
      <c r="K727" s="19">
        <f>IF(AND(ISNUMBER(F727),ISNUMBER(G727)),(G727-F727)*1440,"")</f>
        <v/>
      </c>
      <c r="L727" s="19">
        <f>IF(AND(ISNUMBER(H727),ISNUMBER(I727)),(I727-H727)*1440,"")</f>
        <v/>
      </c>
      <c r="M727" s="15">
        <f>IF(ISNUMBER(F727),HOUR(F727),"")</f>
        <v/>
      </c>
    </row>
    <row r="728" ht="15.75" customHeight="1" s="36">
      <c r="A728" s="2" t="n"/>
      <c r="B728" s="12" t="n"/>
      <c r="C728" s="14" t="n"/>
      <c r="D728" s="14" t="n"/>
      <c r="E728" s="14" t="n"/>
      <c r="F728" s="18" t="n"/>
      <c r="G728" s="18" t="n"/>
      <c r="H728" s="18" t="n"/>
      <c r="I728" s="18" t="n"/>
      <c r="J728" s="14" t="n"/>
      <c r="K728" s="19">
        <f>IF(AND(ISNUMBER(F728),ISNUMBER(G728)),(G728-F728)*1440,"")</f>
        <v/>
      </c>
      <c r="L728" s="19">
        <f>IF(AND(ISNUMBER(H728),ISNUMBER(I728)),(I728-H728)*1440,"")</f>
        <v/>
      </c>
      <c r="M728" s="15">
        <f>IF(ISNUMBER(F728),HOUR(F728),"")</f>
        <v/>
      </c>
    </row>
    <row r="729" ht="15.75" customHeight="1" s="36">
      <c r="A729" s="2" t="n"/>
      <c r="B729" s="12" t="n"/>
      <c r="C729" s="14" t="n"/>
      <c r="D729" s="14" t="n"/>
      <c r="E729" s="14" t="n"/>
      <c r="F729" s="18" t="n"/>
      <c r="G729" s="18" t="n"/>
      <c r="H729" s="18" t="n"/>
      <c r="I729" s="18" t="n"/>
      <c r="J729" s="14" t="n"/>
      <c r="K729" s="19">
        <f>IF(AND(ISNUMBER(F729),ISNUMBER(G729)),(G729-F729)*1440,"")</f>
        <v/>
      </c>
      <c r="L729" s="19">
        <f>IF(AND(ISNUMBER(H729),ISNUMBER(I729)),(I729-H729)*1440,"")</f>
        <v/>
      </c>
      <c r="M729" s="15">
        <f>IF(ISNUMBER(F729),HOUR(F729),"")</f>
        <v/>
      </c>
    </row>
    <row r="730" ht="15.75" customHeight="1" s="36">
      <c r="A730" s="2" t="n"/>
      <c r="B730" s="12" t="n"/>
      <c r="C730" s="14" t="n"/>
      <c r="D730" s="14" t="n"/>
      <c r="E730" s="14" t="n"/>
      <c r="F730" s="18" t="n"/>
      <c r="G730" s="18" t="n"/>
      <c r="H730" s="18" t="n"/>
      <c r="I730" s="18" t="n"/>
      <c r="J730" s="14" t="n"/>
      <c r="K730" s="19">
        <f>IF(AND(ISNUMBER(F730),ISNUMBER(G730)),(G730-F730)*1440,"")</f>
        <v/>
      </c>
      <c r="L730" s="19">
        <f>IF(AND(ISNUMBER(H730),ISNUMBER(I730)),(I730-H730)*1440,"")</f>
        <v/>
      </c>
      <c r="M730" s="15">
        <f>IF(ISNUMBER(F730),HOUR(F730),"")</f>
        <v/>
      </c>
    </row>
    <row r="731" ht="15.75" customHeight="1" s="36">
      <c r="A731" s="2" t="n"/>
      <c r="B731" s="12" t="n"/>
      <c r="C731" s="14" t="n"/>
      <c r="D731" s="14" t="n"/>
      <c r="E731" s="14" t="n"/>
      <c r="F731" s="18" t="n"/>
      <c r="G731" s="18" t="n"/>
      <c r="H731" s="18" t="n"/>
      <c r="I731" s="18" t="n"/>
      <c r="J731" s="14" t="n"/>
      <c r="K731" s="19">
        <f>IF(AND(ISNUMBER(F731),ISNUMBER(G731)),(G731-F731)*1440,"")</f>
        <v/>
      </c>
      <c r="L731" s="19">
        <f>IF(AND(ISNUMBER(H731),ISNUMBER(I731)),(I731-H731)*1440,"")</f>
        <v/>
      </c>
      <c r="M731" s="15">
        <f>IF(ISNUMBER(F731),HOUR(F731),"")</f>
        <v/>
      </c>
    </row>
    <row r="732" ht="15.75" customHeight="1" s="36">
      <c r="A732" s="2" t="n"/>
      <c r="B732" s="12" t="n"/>
      <c r="C732" s="14" t="n"/>
      <c r="D732" s="14" t="n"/>
      <c r="E732" s="14" t="n"/>
      <c r="F732" s="18" t="n"/>
      <c r="G732" s="18" t="n"/>
      <c r="H732" s="18" t="n"/>
      <c r="I732" s="18" t="n"/>
      <c r="J732" s="14" t="n"/>
      <c r="K732" s="19">
        <f>IF(AND(ISNUMBER(F732),ISNUMBER(G732)),(G732-F732)*1440,"")</f>
        <v/>
      </c>
      <c r="L732" s="19">
        <f>IF(AND(ISNUMBER(H732),ISNUMBER(I732)),(I732-H732)*1440,"")</f>
        <v/>
      </c>
      <c r="M732" s="15">
        <f>IF(ISNUMBER(F732),HOUR(F732),"")</f>
        <v/>
      </c>
    </row>
    <row r="733" ht="15.75" customHeight="1" s="36">
      <c r="A733" s="2" t="n"/>
      <c r="B733" s="12" t="n"/>
      <c r="C733" s="14" t="n"/>
      <c r="D733" s="14" t="n"/>
      <c r="E733" s="14" t="n"/>
      <c r="F733" s="18" t="n"/>
      <c r="G733" s="18" t="n"/>
      <c r="H733" s="18" t="n"/>
      <c r="I733" s="18" t="n"/>
      <c r="J733" s="14" t="n"/>
      <c r="K733" s="19">
        <f>IF(AND(ISNUMBER(F733),ISNUMBER(G733)),(G733-F733)*1440,"")</f>
        <v/>
      </c>
      <c r="L733" s="19">
        <f>IF(AND(ISNUMBER(H733),ISNUMBER(I733)),(I733-H733)*1440,"")</f>
        <v/>
      </c>
      <c r="M733" s="15">
        <f>IF(ISNUMBER(F733),HOUR(F733),"")</f>
        <v/>
      </c>
    </row>
    <row r="734" ht="15.75" customHeight="1" s="36">
      <c r="A734" s="2" t="n"/>
      <c r="B734" s="12" t="n"/>
      <c r="C734" s="14" t="n"/>
      <c r="D734" s="14" t="n"/>
      <c r="E734" s="14" t="n"/>
      <c r="F734" s="18" t="n"/>
      <c r="G734" s="18" t="n"/>
      <c r="H734" s="18" t="n"/>
      <c r="I734" s="18" t="n"/>
      <c r="J734" s="14" t="n"/>
      <c r="K734" s="19">
        <f>IF(AND(ISNUMBER(F734),ISNUMBER(G734)),(G734-F734)*1440,"")</f>
        <v/>
      </c>
      <c r="L734" s="19">
        <f>IF(AND(ISNUMBER(H734),ISNUMBER(I734)),(I734-H734)*1440,"")</f>
        <v/>
      </c>
      <c r="M734" s="15">
        <f>IF(ISNUMBER(F734),HOUR(F734),"")</f>
        <v/>
      </c>
    </row>
    <row r="735" ht="15.75" customHeight="1" s="36">
      <c r="A735" s="2" t="n"/>
      <c r="B735" s="12" t="n"/>
      <c r="C735" s="14" t="n"/>
      <c r="D735" s="14" t="n"/>
      <c r="E735" s="14" t="n"/>
      <c r="F735" s="18" t="n"/>
      <c r="G735" s="18" t="n"/>
      <c r="H735" s="18" t="n"/>
      <c r="I735" s="18" t="n"/>
      <c r="J735" s="14" t="n"/>
      <c r="K735" s="19">
        <f>IF(AND(ISNUMBER(F735),ISNUMBER(G735)),(G735-F735)*1440,"")</f>
        <v/>
      </c>
      <c r="L735" s="19">
        <f>IF(AND(ISNUMBER(H735),ISNUMBER(I735)),(I735-H735)*1440,"")</f>
        <v/>
      </c>
      <c r="M735" s="15">
        <f>IF(ISNUMBER(F735),HOUR(F735),"")</f>
        <v/>
      </c>
    </row>
    <row r="736" ht="15.75" customHeight="1" s="36">
      <c r="A736" s="2" t="n"/>
      <c r="B736" s="12" t="n"/>
      <c r="C736" s="14" t="n"/>
      <c r="D736" s="14" t="n"/>
      <c r="E736" s="14" t="n"/>
      <c r="F736" s="18" t="n"/>
      <c r="G736" s="18" t="n"/>
      <c r="H736" s="18" t="n"/>
      <c r="I736" s="18" t="n"/>
      <c r="J736" s="14" t="n"/>
      <c r="K736" s="19">
        <f>IF(AND(ISNUMBER(F736),ISNUMBER(G736)),(G736-F736)*1440,"")</f>
        <v/>
      </c>
      <c r="L736" s="19">
        <f>IF(AND(ISNUMBER(H736),ISNUMBER(I736)),(I736-H736)*1440,"")</f>
        <v/>
      </c>
      <c r="M736" s="15">
        <f>IF(ISNUMBER(F736),HOUR(F736),"")</f>
        <v/>
      </c>
    </row>
    <row r="737" ht="15.75" customHeight="1" s="36">
      <c r="A737" s="2" t="n"/>
      <c r="B737" s="12" t="n"/>
      <c r="C737" s="14" t="n"/>
      <c r="D737" s="14" t="n"/>
      <c r="E737" s="14" t="n"/>
      <c r="F737" s="18" t="n"/>
      <c r="G737" s="18" t="n"/>
      <c r="H737" s="18" t="n"/>
      <c r="I737" s="18" t="n"/>
      <c r="J737" s="14" t="n"/>
      <c r="K737" s="19">
        <f>IF(AND(ISNUMBER(F737),ISNUMBER(G737)),(G737-F737)*1440,"")</f>
        <v/>
      </c>
      <c r="L737" s="19">
        <f>IF(AND(ISNUMBER(H737),ISNUMBER(I737)),(I737-H737)*1440,"")</f>
        <v/>
      </c>
      <c r="M737" s="15">
        <f>IF(ISNUMBER(F737),HOUR(F737),"")</f>
        <v/>
      </c>
    </row>
    <row r="738" ht="15.75" customHeight="1" s="36">
      <c r="A738" s="2" t="n"/>
      <c r="B738" s="12" t="n"/>
      <c r="C738" s="14" t="n"/>
      <c r="D738" s="14" t="n"/>
      <c r="E738" s="14" t="n"/>
      <c r="F738" s="18" t="n"/>
      <c r="G738" s="18" t="n"/>
      <c r="H738" s="18" t="n"/>
      <c r="I738" s="18" t="n"/>
      <c r="J738" s="14" t="n"/>
      <c r="K738" s="19">
        <f>IF(AND(ISNUMBER(F738),ISNUMBER(G738)),(G738-F738)*1440,"")</f>
        <v/>
      </c>
      <c r="L738" s="19">
        <f>IF(AND(ISNUMBER(H738),ISNUMBER(I738)),(I738-H738)*1440,"")</f>
        <v/>
      </c>
      <c r="M738" s="15">
        <f>IF(ISNUMBER(F738),HOUR(F738),"")</f>
        <v/>
      </c>
    </row>
    <row r="739" ht="15.75" customHeight="1" s="36">
      <c r="A739" s="2" t="n"/>
      <c r="B739" s="12" t="n"/>
      <c r="C739" s="14" t="n"/>
      <c r="D739" s="14" t="n"/>
      <c r="E739" s="14" t="n"/>
      <c r="F739" s="18" t="n"/>
      <c r="G739" s="18" t="n"/>
      <c r="H739" s="18" t="n"/>
      <c r="I739" s="18" t="n"/>
      <c r="J739" s="14" t="n"/>
      <c r="K739" s="19">
        <f>IF(AND(ISNUMBER(F739),ISNUMBER(G739)),(G739-F739)*1440,"")</f>
        <v/>
      </c>
      <c r="L739" s="19">
        <f>IF(AND(ISNUMBER(H739),ISNUMBER(I739)),(I739-H739)*1440,"")</f>
        <v/>
      </c>
      <c r="M739" s="15">
        <f>IF(ISNUMBER(F739),HOUR(F739),"")</f>
        <v/>
      </c>
    </row>
    <row r="740" ht="15.75" customHeight="1" s="36">
      <c r="A740" s="2" t="n"/>
      <c r="B740" s="12" t="n"/>
      <c r="C740" s="14" t="n"/>
      <c r="D740" s="14" t="n"/>
      <c r="E740" s="14" t="n"/>
      <c r="F740" s="18" t="n"/>
      <c r="G740" s="18" t="n"/>
      <c r="H740" s="18" t="n"/>
      <c r="I740" s="18" t="n"/>
      <c r="J740" s="14" t="n"/>
      <c r="K740" s="19">
        <f>IF(AND(ISNUMBER(F740),ISNUMBER(G740)),(G740-F740)*1440,"")</f>
        <v/>
      </c>
      <c r="L740" s="19">
        <f>IF(AND(ISNUMBER(H740),ISNUMBER(I740)),(I740-H740)*1440,"")</f>
        <v/>
      </c>
      <c r="M740" s="15">
        <f>IF(ISNUMBER(F740),HOUR(F740),"")</f>
        <v/>
      </c>
    </row>
    <row r="741" ht="15.75" customHeight="1" s="36">
      <c r="A741" s="2" t="n"/>
      <c r="B741" s="12" t="n"/>
      <c r="C741" s="14" t="n"/>
      <c r="D741" s="14" t="n"/>
      <c r="E741" s="14" t="n"/>
      <c r="F741" s="18" t="n"/>
      <c r="G741" s="18" t="n"/>
      <c r="H741" s="18" t="n"/>
      <c r="I741" s="18" t="n"/>
      <c r="J741" s="14" t="n"/>
      <c r="K741" s="19">
        <f>IF(AND(ISNUMBER(F741),ISNUMBER(G741)),(G741-F741)*1440,"")</f>
        <v/>
      </c>
      <c r="L741" s="19">
        <f>IF(AND(ISNUMBER(H741),ISNUMBER(I741)),(I741-H741)*1440,"")</f>
        <v/>
      </c>
      <c r="M741" s="15">
        <f>IF(ISNUMBER(F741),HOUR(F741),"")</f>
        <v/>
      </c>
    </row>
    <row r="742" ht="15.75" customHeight="1" s="36">
      <c r="A742" s="2" t="n"/>
      <c r="B742" s="12" t="n"/>
      <c r="C742" s="14" t="n"/>
      <c r="D742" s="14" t="n"/>
      <c r="E742" s="14" t="n"/>
      <c r="F742" s="18" t="n"/>
      <c r="G742" s="18" t="n"/>
      <c r="H742" s="18" t="n"/>
      <c r="I742" s="18" t="n"/>
      <c r="J742" s="14" t="n"/>
      <c r="K742" s="19">
        <f>IF(AND(ISNUMBER(F742),ISNUMBER(G742)),(G742-F742)*1440,"")</f>
        <v/>
      </c>
      <c r="L742" s="19">
        <f>IF(AND(ISNUMBER(H742),ISNUMBER(I742)),(I742-H742)*1440,"")</f>
        <v/>
      </c>
      <c r="M742" s="15">
        <f>IF(ISNUMBER(F742),HOUR(F742),"")</f>
        <v/>
      </c>
    </row>
    <row r="743" ht="15.75" customHeight="1" s="36">
      <c r="A743" s="2" t="n"/>
      <c r="B743" s="12" t="n"/>
      <c r="C743" s="14" t="n"/>
      <c r="D743" s="14" t="n"/>
      <c r="E743" s="14" t="n"/>
      <c r="F743" s="18" t="n"/>
      <c r="G743" s="18" t="n"/>
      <c r="H743" s="18" t="n"/>
      <c r="I743" s="18" t="n"/>
      <c r="J743" s="14" t="n"/>
      <c r="K743" s="19">
        <f>IF(AND(ISNUMBER(F743),ISNUMBER(G743)),(G743-F743)*1440,"")</f>
        <v/>
      </c>
      <c r="L743" s="19">
        <f>IF(AND(ISNUMBER(H743),ISNUMBER(I743)),(I743-H743)*1440,"")</f>
        <v/>
      </c>
      <c r="M743" s="15">
        <f>IF(ISNUMBER(F743),HOUR(F743),"")</f>
        <v/>
      </c>
    </row>
    <row r="744" ht="15.75" customHeight="1" s="36">
      <c r="A744" s="2" t="n"/>
      <c r="B744" s="12" t="n"/>
      <c r="C744" s="14" t="n"/>
      <c r="D744" s="14" t="n"/>
      <c r="E744" s="14" t="n"/>
      <c r="F744" s="18" t="n"/>
      <c r="G744" s="18" t="n"/>
      <c r="H744" s="18" t="n"/>
      <c r="I744" s="18" t="n"/>
      <c r="J744" s="14" t="n"/>
      <c r="K744" s="19">
        <f>IF(AND(ISNUMBER(F744),ISNUMBER(G744)),(G744-F744)*1440,"")</f>
        <v/>
      </c>
      <c r="L744" s="19">
        <f>IF(AND(ISNUMBER(H744),ISNUMBER(I744)),(I744-H744)*1440,"")</f>
        <v/>
      </c>
      <c r="M744" s="15">
        <f>IF(ISNUMBER(F744),HOUR(F744),"")</f>
        <v/>
      </c>
    </row>
    <row r="745" ht="15.75" customHeight="1" s="36">
      <c r="A745" s="2" t="n"/>
      <c r="B745" s="12" t="n"/>
      <c r="C745" s="14" t="n"/>
      <c r="D745" s="14" t="n"/>
      <c r="E745" s="14" t="n"/>
      <c r="F745" s="18" t="n"/>
      <c r="G745" s="18" t="n"/>
      <c r="H745" s="18" t="n"/>
      <c r="I745" s="18" t="n"/>
      <c r="J745" s="14" t="n"/>
      <c r="K745" s="19">
        <f>IF(AND(ISNUMBER(F745),ISNUMBER(G745)),(G745-F745)*1440,"")</f>
        <v/>
      </c>
      <c r="L745" s="19">
        <f>IF(AND(ISNUMBER(H745),ISNUMBER(I745)),(I745-H745)*1440,"")</f>
        <v/>
      </c>
      <c r="M745" s="15">
        <f>IF(ISNUMBER(F745),HOUR(F745),"")</f>
        <v/>
      </c>
    </row>
    <row r="746" ht="15.75" customHeight="1" s="36">
      <c r="A746" s="2" t="n"/>
      <c r="B746" s="12" t="n"/>
      <c r="C746" s="14" t="n"/>
      <c r="D746" s="14" t="n"/>
      <c r="E746" s="14" t="n"/>
      <c r="F746" s="18" t="n"/>
      <c r="G746" s="18" t="n"/>
      <c r="H746" s="18" t="n"/>
      <c r="I746" s="18" t="n"/>
      <c r="J746" s="14" t="n"/>
      <c r="K746" s="19">
        <f>IF(AND(ISNUMBER(F746),ISNUMBER(G746)),(G746-F746)*1440,"")</f>
        <v/>
      </c>
      <c r="L746" s="19">
        <f>IF(AND(ISNUMBER(H746),ISNUMBER(I746)),(I746-H746)*1440,"")</f>
        <v/>
      </c>
      <c r="M746" s="15">
        <f>IF(ISNUMBER(F746),HOUR(F746),"")</f>
        <v/>
      </c>
    </row>
    <row r="747" ht="15.75" customHeight="1" s="36">
      <c r="A747" s="2" t="n"/>
      <c r="B747" s="12" t="n"/>
      <c r="C747" s="14" t="n"/>
      <c r="D747" s="14" t="n"/>
      <c r="E747" s="14" t="n"/>
      <c r="F747" s="18" t="n"/>
      <c r="G747" s="18" t="n"/>
      <c r="H747" s="18" t="n"/>
      <c r="I747" s="18" t="n"/>
      <c r="J747" s="14" t="n"/>
      <c r="K747" s="19">
        <f>IF(AND(ISNUMBER(F747),ISNUMBER(G747)),(G747-F747)*1440,"")</f>
        <v/>
      </c>
      <c r="L747" s="19">
        <f>IF(AND(ISNUMBER(H747),ISNUMBER(I747)),(I747-H747)*1440,"")</f>
        <v/>
      </c>
      <c r="M747" s="15">
        <f>IF(ISNUMBER(F747),HOUR(F747),"")</f>
        <v/>
      </c>
    </row>
    <row r="748" ht="15.75" customHeight="1" s="36">
      <c r="A748" s="2" t="n"/>
      <c r="B748" s="12" t="n"/>
      <c r="C748" s="14" t="n"/>
      <c r="D748" s="14" t="n"/>
      <c r="E748" s="14" t="n"/>
      <c r="F748" s="18" t="n"/>
      <c r="G748" s="18" t="n"/>
      <c r="H748" s="18" t="n"/>
      <c r="I748" s="18" t="n"/>
      <c r="J748" s="14" t="n"/>
      <c r="K748" s="19">
        <f>IF(AND(ISNUMBER(F748),ISNUMBER(G748)),(G748-F748)*1440,"")</f>
        <v/>
      </c>
      <c r="L748" s="19">
        <f>IF(AND(ISNUMBER(H748),ISNUMBER(I748)),(I748-H748)*1440,"")</f>
        <v/>
      </c>
      <c r="M748" s="15">
        <f>IF(ISNUMBER(F748),HOUR(F748),"")</f>
        <v/>
      </c>
    </row>
    <row r="749" ht="15.75" customHeight="1" s="36">
      <c r="A749" s="2" t="n"/>
      <c r="B749" s="12" t="n"/>
      <c r="C749" s="14" t="n"/>
      <c r="D749" s="14" t="n"/>
      <c r="E749" s="14" t="n"/>
      <c r="F749" s="18" t="n"/>
      <c r="G749" s="18" t="n"/>
      <c r="H749" s="18" t="n"/>
      <c r="I749" s="18" t="n"/>
      <c r="J749" s="14" t="n"/>
      <c r="K749" s="19">
        <f>IF(AND(ISNUMBER(F749),ISNUMBER(G749)),(G749-F749)*1440,"")</f>
        <v/>
      </c>
      <c r="L749" s="19">
        <f>IF(AND(ISNUMBER(H749),ISNUMBER(I749)),(I749-H749)*1440,"")</f>
        <v/>
      </c>
      <c r="M749" s="15">
        <f>IF(ISNUMBER(F749),HOUR(F749),"")</f>
        <v/>
      </c>
    </row>
    <row r="750" ht="15.75" customHeight="1" s="36">
      <c r="A750" s="2" t="n"/>
      <c r="B750" s="12" t="n"/>
      <c r="C750" s="14" t="n"/>
      <c r="D750" s="14" t="n"/>
      <c r="E750" s="14" t="n"/>
      <c r="F750" s="18" t="n"/>
      <c r="G750" s="18" t="n"/>
      <c r="H750" s="18" t="n"/>
      <c r="I750" s="18" t="n"/>
      <c r="J750" s="14" t="n"/>
      <c r="K750" s="19">
        <f>IF(AND(ISNUMBER(F750),ISNUMBER(G750)),(G750-F750)*1440,"")</f>
        <v/>
      </c>
      <c r="L750" s="19">
        <f>IF(AND(ISNUMBER(H750),ISNUMBER(I750)),(I750-H750)*1440,"")</f>
        <v/>
      </c>
      <c r="M750" s="15">
        <f>IF(ISNUMBER(F750),HOUR(F750),"")</f>
        <v/>
      </c>
    </row>
    <row r="751" ht="15.75" customHeight="1" s="36">
      <c r="A751" s="2" t="n"/>
      <c r="B751" s="12" t="n"/>
      <c r="C751" s="14" t="n"/>
      <c r="D751" s="14" t="n"/>
      <c r="E751" s="14" t="n"/>
      <c r="F751" s="18" t="n"/>
      <c r="G751" s="18" t="n"/>
      <c r="H751" s="18" t="n"/>
      <c r="I751" s="18" t="n"/>
      <c r="J751" s="14" t="n"/>
      <c r="K751" s="19">
        <f>IF(AND(ISNUMBER(F751),ISNUMBER(G751)),(G751-F751)*1440,"")</f>
        <v/>
      </c>
      <c r="L751" s="19">
        <f>IF(AND(ISNUMBER(H751),ISNUMBER(I751)),(I751-H751)*1440,"")</f>
        <v/>
      </c>
      <c r="M751" s="15">
        <f>IF(ISNUMBER(F751),HOUR(F751),"")</f>
        <v/>
      </c>
    </row>
    <row r="752" ht="15.75" customHeight="1" s="36">
      <c r="A752" s="2" t="n"/>
      <c r="B752" s="12" t="n"/>
      <c r="C752" s="14" t="n"/>
      <c r="D752" s="14" t="n"/>
      <c r="E752" s="14" t="n"/>
      <c r="F752" s="18" t="n"/>
      <c r="G752" s="18" t="n"/>
      <c r="H752" s="18" t="n"/>
      <c r="I752" s="18" t="n"/>
      <c r="J752" s="14" t="n"/>
      <c r="K752" s="19">
        <f>IF(AND(ISNUMBER(F752),ISNUMBER(G752)),(G752-F752)*1440,"")</f>
        <v/>
      </c>
      <c r="L752" s="19">
        <f>IF(AND(ISNUMBER(H752),ISNUMBER(I752)),(I752-H752)*1440,"")</f>
        <v/>
      </c>
      <c r="M752" s="15">
        <f>IF(ISNUMBER(F752),HOUR(F752),"")</f>
        <v/>
      </c>
    </row>
    <row r="753" ht="15.75" customHeight="1" s="36">
      <c r="A753" s="2" t="n"/>
      <c r="B753" s="12" t="n"/>
      <c r="C753" s="14" t="n"/>
      <c r="D753" s="14" t="n"/>
      <c r="E753" s="14" t="n"/>
      <c r="F753" s="18" t="n"/>
      <c r="G753" s="18" t="n"/>
      <c r="H753" s="18" t="n"/>
      <c r="I753" s="18" t="n"/>
      <c r="J753" s="14" t="n"/>
      <c r="K753" s="19">
        <f>IF(AND(ISNUMBER(F753),ISNUMBER(G753)),(G753-F753)*1440,"")</f>
        <v/>
      </c>
      <c r="L753" s="19">
        <f>IF(AND(ISNUMBER(H753),ISNUMBER(I753)),(I753-H753)*1440,"")</f>
        <v/>
      </c>
      <c r="M753" s="15">
        <f>IF(ISNUMBER(F753),HOUR(F753),"")</f>
        <v/>
      </c>
    </row>
    <row r="754" ht="15.75" customHeight="1" s="36">
      <c r="A754" s="2" t="n"/>
      <c r="B754" s="12" t="n"/>
      <c r="C754" s="14" t="n"/>
      <c r="D754" s="14" t="n"/>
      <c r="E754" s="14" t="n"/>
      <c r="F754" s="18" t="n"/>
      <c r="G754" s="18" t="n"/>
      <c r="H754" s="18" t="n"/>
      <c r="I754" s="18" t="n"/>
      <c r="J754" s="14" t="n"/>
      <c r="K754" s="19">
        <f>IF(AND(ISNUMBER(F754),ISNUMBER(G754)),(G754-F754)*1440,"")</f>
        <v/>
      </c>
      <c r="L754" s="19">
        <f>IF(AND(ISNUMBER(H754),ISNUMBER(I754)),(I754-H754)*1440,"")</f>
        <v/>
      </c>
      <c r="M754" s="15">
        <f>IF(ISNUMBER(F754),HOUR(F754),"")</f>
        <v/>
      </c>
    </row>
    <row r="755" ht="15.75" customHeight="1" s="36">
      <c r="A755" s="2" t="n"/>
      <c r="B755" s="12" t="n"/>
      <c r="C755" s="14" t="n"/>
      <c r="D755" s="14" t="n"/>
      <c r="E755" s="14" t="n"/>
      <c r="F755" s="18" t="n"/>
      <c r="G755" s="18" t="n"/>
      <c r="H755" s="18" t="n"/>
      <c r="I755" s="18" t="n"/>
      <c r="J755" s="14" t="n"/>
      <c r="K755" s="19">
        <f>IF(AND(ISNUMBER(F755),ISNUMBER(G755)),(G755-F755)*1440,"")</f>
        <v/>
      </c>
      <c r="L755" s="19">
        <f>IF(AND(ISNUMBER(H755),ISNUMBER(I755)),(I755-H755)*1440,"")</f>
        <v/>
      </c>
      <c r="M755" s="15">
        <f>IF(ISNUMBER(F755),HOUR(F755),"")</f>
        <v/>
      </c>
    </row>
    <row r="756" ht="15.75" customHeight="1" s="36">
      <c r="A756" s="2" t="n"/>
      <c r="B756" s="12" t="n"/>
      <c r="C756" s="14" t="n"/>
      <c r="D756" s="14" t="n"/>
      <c r="E756" s="14" t="n"/>
      <c r="F756" s="18" t="n"/>
      <c r="G756" s="18" t="n"/>
      <c r="H756" s="18" t="n"/>
      <c r="I756" s="18" t="n"/>
      <c r="J756" s="14" t="n"/>
      <c r="K756" s="19">
        <f>IF(AND(ISNUMBER(F756),ISNUMBER(G756)),(G756-F756)*1440,"")</f>
        <v/>
      </c>
      <c r="L756" s="19">
        <f>IF(AND(ISNUMBER(H756),ISNUMBER(I756)),(I756-H756)*1440,"")</f>
        <v/>
      </c>
      <c r="M756" s="15">
        <f>IF(ISNUMBER(F756),HOUR(F756),"")</f>
        <v/>
      </c>
    </row>
    <row r="757" ht="15.75" customHeight="1" s="36">
      <c r="A757" s="2" t="n"/>
      <c r="B757" s="12" t="n"/>
      <c r="C757" s="14" t="n"/>
      <c r="D757" s="14" t="n"/>
      <c r="E757" s="14" t="n"/>
      <c r="F757" s="18" t="n"/>
      <c r="G757" s="18" t="n"/>
      <c r="H757" s="18" t="n"/>
      <c r="I757" s="18" t="n"/>
      <c r="J757" s="14" t="n"/>
      <c r="K757" s="19">
        <f>IF(AND(ISNUMBER(F757),ISNUMBER(G757)),(G757-F757)*1440,"")</f>
        <v/>
      </c>
      <c r="L757" s="19">
        <f>IF(AND(ISNUMBER(H757),ISNUMBER(I757)),(I757-H757)*1440,"")</f>
        <v/>
      </c>
      <c r="M757" s="15">
        <f>IF(ISNUMBER(F757),HOUR(F757),"")</f>
        <v/>
      </c>
    </row>
    <row r="758" ht="15.75" customHeight="1" s="36">
      <c r="A758" s="2" t="n"/>
      <c r="B758" s="12" t="n"/>
      <c r="C758" s="14" t="n"/>
      <c r="D758" s="14" t="n"/>
      <c r="E758" s="14" t="n"/>
      <c r="F758" s="18" t="n"/>
      <c r="G758" s="18" t="n"/>
      <c r="H758" s="18" t="n"/>
      <c r="I758" s="18" t="n"/>
      <c r="J758" s="14" t="n"/>
      <c r="K758" s="19">
        <f>IF(AND(ISNUMBER(F758),ISNUMBER(G758)),(G758-F758)*1440,"")</f>
        <v/>
      </c>
      <c r="L758" s="19">
        <f>IF(AND(ISNUMBER(H758),ISNUMBER(I758)),(I758-H758)*1440,"")</f>
        <v/>
      </c>
      <c r="M758" s="15">
        <f>IF(ISNUMBER(F758),HOUR(F758),"")</f>
        <v/>
      </c>
    </row>
    <row r="759" ht="15.75" customHeight="1" s="36">
      <c r="A759" s="2" t="n"/>
      <c r="B759" s="12" t="n"/>
      <c r="C759" s="14" t="n"/>
      <c r="D759" s="14" t="n"/>
      <c r="E759" s="14" t="n"/>
      <c r="F759" s="18" t="n"/>
      <c r="G759" s="18" t="n"/>
      <c r="H759" s="18" t="n"/>
      <c r="I759" s="18" t="n"/>
      <c r="J759" s="14" t="n"/>
      <c r="K759" s="19">
        <f>IF(AND(ISNUMBER(F759),ISNUMBER(G759)),(G759-F759)*1440,"")</f>
        <v/>
      </c>
      <c r="L759" s="19">
        <f>IF(AND(ISNUMBER(H759),ISNUMBER(I759)),(I759-H759)*1440,"")</f>
        <v/>
      </c>
      <c r="M759" s="15">
        <f>IF(ISNUMBER(F759),HOUR(F759),"")</f>
        <v/>
      </c>
    </row>
    <row r="760" ht="15.75" customHeight="1" s="36">
      <c r="A760" s="2" t="n"/>
      <c r="B760" s="12" t="n"/>
      <c r="C760" s="14" t="n"/>
      <c r="D760" s="14" t="n"/>
      <c r="E760" s="14" t="n"/>
      <c r="F760" s="18" t="n"/>
      <c r="G760" s="18" t="n"/>
      <c r="H760" s="18" t="n"/>
      <c r="I760" s="18" t="n"/>
      <c r="J760" s="14" t="n"/>
      <c r="K760" s="19">
        <f>IF(AND(ISNUMBER(F760),ISNUMBER(G760)),(G760-F760)*1440,"")</f>
        <v/>
      </c>
      <c r="L760" s="19">
        <f>IF(AND(ISNUMBER(H760),ISNUMBER(I760)),(I760-H760)*1440,"")</f>
        <v/>
      </c>
      <c r="M760" s="15">
        <f>IF(ISNUMBER(F760),HOUR(F760),"")</f>
        <v/>
      </c>
    </row>
    <row r="761" ht="15.75" customHeight="1" s="36">
      <c r="A761" s="2" t="n"/>
      <c r="B761" s="12" t="n"/>
      <c r="C761" s="14" t="n"/>
      <c r="D761" s="14" t="n"/>
      <c r="E761" s="14" t="n"/>
      <c r="F761" s="18" t="n"/>
      <c r="G761" s="18" t="n"/>
      <c r="H761" s="18" t="n"/>
      <c r="I761" s="18" t="n"/>
      <c r="J761" s="14" t="n"/>
      <c r="K761" s="19">
        <f>IF(AND(ISNUMBER(F761),ISNUMBER(G761)),(G761-F761)*1440,"")</f>
        <v/>
      </c>
      <c r="L761" s="19">
        <f>IF(AND(ISNUMBER(H761),ISNUMBER(I761)),(I761-H761)*1440,"")</f>
        <v/>
      </c>
      <c r="M761" s="15">
        <f>IF(ISNUMBER(F761),HOUR(F761),"")</f>
        <v/>
      </c>
    </row>
    <row r="762" ht="15.75" customHeight="1" s="36">
      <c r="A762" s="2" t="n"/>
      <c r="B762" s="12" t="n"/>
      <c r="C762" s="14" t="n"/>
      <c r="D762" s="14" t="n"/>
      <c r="E762" s="14" t="n"/>
      <c r="F762" s="18" t="n"/>
      <c r="G762" s="18" t="n"/>
      <c r="H762" s="18" t="n"/>
      <c r="I762" s="18" t="n"/>
      <c r="J762" s="14" t="n"/>
      <c r="K762" s="19">
        <f>IF(AND(ISNUMBER(F762),ISNUMBER(G762)),(G762-F762)*1440,"")</f>
        <v/>
      </c>
      <c r="L762" s="19">
        <f>IF(AND(ISNUMBER(H762),ISNUMBER(I762)),(I762-H762)*1440,"")</f>
        <v/>
      </c>
      <c r="M762" s="15">
        <f>IF(ISNUMBER(F762),HOUR(F762),"")</f>
        <v/>
      </c>
    </row>
    <row r="763" ht="15.75" customHeight="1" s="36">
      <c r="A763" s="2" t="n"/>
      <c r="B763" s="12" t="n"/>
      <c r="C763" s="14" t="n"/>
      <c r="D763" s="14" t="n"/>
      <c r="E763" s="14" t="n"/>
      <c r="F763" s="18" t="n"/>
      <c r="G763" s="18" t="n"/>
      <c r="H763" s="18" t="n"/>
      <c r="I763" s="18" t="n"/>
      <c r="J763" s="14" t="n"/>
      <c r="K763" s="19">
        <f>IF(AND(ISNUMBER(F763),ISNUMBER(G763)),(G763-F763)*1440,"")</f>
        <v/>
      </c>
      <c r="L763" s="19">
        <f>IF(AND(ISNUMBER(H763),ISNUMBER(I763)),(I763-H763)*1440,"")</f>
        <v/>
      </c>
      <c r="M763" s="15">
        <f>IF(ISNUMBER(F763),HOUR(F763),"")</f>
        <v/>
      </c>
    </row>
    <row r="764" ht="15.75" customHeight="1" s="36">
      <c r="A764" s="2" t="n"/>
      <c r="B764" s="12" t="n"/>
      <c r="C764" s="14" t="n"/>
      <c r="D764" s="14" t="n"/>
      <c r="E764" s="14" t="n"/>
      <c r="F764" s="18" t="n"/>
      <c r="G764" s="18" t="n"/>
      <c r="H764" s="18" t="n"/>
      <c r="I764" s="18" t="n"/>
      <c r="J764" s="14" t="n"/>
      <c r="K764" s="19">
        <f>IF(AND(ISNUMBER(F764),ISNUMBER(G764)),(G764-F764)*1440,"")</f>
        <v/>
      </c>
      <c r="L764" s="19">
        <f>IF(AND(ISNUMBER(H764),ISNUMBER(I764)),(I764-H764)*1440,"")</f>
        <v/>
      </c>
      <c r="M764" s="15">
        <f>IF(ISNUMBER(F764),HOUR(F764),"")</f>
        <v/>
      </c>
    </row>
    <row r="765" ht="15.75" customHeight="1" s="36">
      <c r="A765" s="2" t="n"/>
      <c r="B765" s="12" t="n"/>
      <c r="C765" s="14" t="n"/>
      <c r="D765" s="14" t="n"/>
      <c r="E765" s="14" t="n"/>
      <c r="F765" s="18" t="n"/>
      <c r="G765" s="18" t="n"/>
      <c r="H765" s="18" t="n"/>
      <c r="I765" s="18" t="n"/>
      <c r="J765" s="14" t="n"/>
      <c r="K765" s="19">
        <f>IF(AND(ISNUMBER(F765),ISNUMBER(G765)),(G765-F765)*1440,"")</f>
        <v/>
      </c>
      <c r="L765" s="19">
        <f>IF(AND(ISNUMBER(H765),ISNUMBER(I765)),(I765-H765)*1440,"")</f>
        <v/>
      </c>
      <c r="M765" s="15">
        <f>IF(ISNUMBER(F765),HOUR(F765),"")</f>
        <v/>
      </c>
    </row>
    <row r="766" ht="15.75" customHeight="1" s="36">
      <c r="A766" s="2" t="n"/>
      <c r="B766" s="12" t="n"/>
      <c r="C766" s="14" t="n"/>
      <c r="D766" s="14" t="n"/>
      <c r="E766" s="14" t="n"/>
      <c r="F766" s="18" t="n"/>
      <c r="G766" s="18" t="n"/>
      <c r="H766" s="18" t="n"/>
      <c r="I766" s="18" t="n"/>
      <c r="J766" s="14" t="n"/>
      <c r="K766" s="19">
        <f>IF(AND(ISNUMBER(F766),ISNUMBER(G766)),(G766-F766)*1440,"")</f>
        <v/>
      </c>
      <c r="L766" s="19">
        <f>IF(AND(ISNUMBER(H766),ISNUMBER(I766)),(I766-H766)*1440,"")</f>
        <v/>
      </c>
      <c r="M766" s="15">
        <f>IF(ISNUMBER(F766),HOUR(F766),"")</f>
        <v/>
      </c>
    </row>
    <row r="767" ht="15.75" customHeight="1" s="36">
      <c r="A767" s="2" t="n"/>
      <c r="B767" s="12" t="n"/>
      <c r="C767" s="14" t="n"/>
      <c r="D767" s="14" t="n"/>
      <c r="E767" s="14" t="n"/>
      <c r="F767" s="18" t="n"/>
      <c r="G767" s="18" t="n"/>
      <c r="H767" s="18" t="n"/>
      <c r="I767" s="18" t="n"/>
      <c r="J767" s="14" t="n"/>
      <c r="K767" s="19">
        <f>IF(AND(ISNUMBER(F767),ISNUMBER(G767)),(G767-F767)*1440,"")</f>
        <v/>
      </c>
      <c r="L767" s="19">
        <f>IF(AND(ISNUMBER(H767),ISNUMBER(I767)),(I767-H767)*1440,"")</f>
        <v/>
      </c>
      <c r="M767" s="15">
        <f>IF(ISNUMBER(F767),HOUR(F767),"")</f>
        <v/>
      </c>
    </row>
    <row r="768" ht="15.75" customHeight="1" s="36">
      <c r="A768" s="2" t="n"/>
      <c r="B768" s="12" t="n"/>
      <c r="C768" s="14" t="n"/>
      <c r="D768" s="14" t="n"/>
      <c r="E768" s="14" t="n"/>
      <c r="F768" s="18" t="n"/>
      <c r="G768" s="18" t="n"/>
      <c r="H768" s="18" t="n"/>
      <c r="I768" s="18" t="n"/>
      <c r="J768" s="14" t="n"/>
      <c r="K768" s="19">
        <f>IF(AND(ISNUMBER(F768),ISNUMBER(G768)),(G768-F768)*1440,"")</f>
        <v/>
      </c>
      <c r="L768" s="19">
        <f>IF(AND(ISNUMBER(H768),ISNUMBER(I768)),(I768-H768)*1440,"")</f>
        <v/>
      </c>
      <c r="M768" s="15">
        <f>IF(ISNUMBER(F768),HOUR(F768),"")</f>
        <v/>
      </c>
    </row>
    <row r="769" ht="15.75" customHeight="1" s="36">
      <c r="A769" s="2" t="n"/>
      <c r="B769" s="12" t="n"/>
      <c r="C769" s="14" t="n"/>
      <c r="D769" s="14" t="n"/>
      <c r="E769" s="14" t="n"/>
      <c r="F769" s="18" t="n"/>
      <c r="G769" s="18" t="n"/>
      <c r="H769" s="18" t="n"/>
      <c r="I769" s="18" t="n"/>
      <c r="J769" s="14" t="n"/>
      <c r="K769" s="19">
        <f>IF(AND(ISNUMBER(F769),ISNUMBER(G769)),(G769-F769)*1440,"")</f>
        <v/>
      </c>
      <c r="L769" s="19">
        <f>IF(AND(ISNUMBER(H769),ISNUMBER(I769)),(I769-H769)*1440,"")</f>
        <v/>
      </c>
      <c r="M769" s="15">
        <f>IF(ISNUMBER(F769),HOUR(F769),"")</f>
        <v/>
      </c>
    </row>
    <row r="770" ht="15.75" customHeight="1" s="36">
      <c r="A770" s="2" t="n"/>
      <c r="B770" s="12" t="n"/>
      <c r="C770" s="14" t="n"/>
      <c r="D770" s="14" t="n"/>
      <c r="E770" s="14" t="n"/>
      <c r="F770" s="18" t="n"/>
      <c r="G770" s="18" t="n"/>
      <c r="H770" s="18" t="n"/>
      <c r="I770" s="18" t="n"/>
      <c r="J770" s="14" t="n"/>
      <c r="K770" s="19">
        <f>IF(AND(ISNUMBER(F770),ISNUMBER(G770)),(G770-F770)*1440,"")</f>
        <v/>
      </c>
      <c r="L770" s="19">
        <f>IF(AND(ISNUMBER(H770),ISNUMBER(I770)),(I770-H770)*1440,"")</f>
        <v/>
      </c>
      <c r="M770" s="15">
        <f>IF(ISNUMBER(F770),HOUR(F770),"")</f>
        <v/>
      </c>
    </row>
    <row r="771" ht="15.75" customHeight="1" s="36">
      <c r="A771" s="2" t="n"/>
      <c r="B771" s="12" t="n"/>
      <c r="C771" s="14" t="n"/>
      <c r="D771" s="14" t="n"/>
      <c r="E771" s="14" t="n"/>
      <c r="F771" s="18" t="n"/>
      <c r="G771" s="18" t="n"/>
      <c r="H771" s="18" t="n"/>
      <c r="I771" s="18" t="n"/>
      <c r="J771" s="14" t="n"/>
      <c r="K771" s="19">
        <f>IF(AND(ISNUMBER(F771),ISNUMBER(G771)),(G771-F771)*1440,"")</f>
        <v/>
      </c>
      <c r="L771" s="19">
        <f>IF(AND(ISNUMBER(H771),ISNUMBER(I771)),(I771-H771)*1440,"")</f>
        <v/>
      </c>
      <c r="M771" s="15">
        <f>IF(ISNUMBER(F771),HOUR(F771),"")</f>
        <v/>
      </c>
    </row>
    <row r="772" ht="15.75" customHeight="1" s="36">
      <c r="A772" s="2" t="n"/>
      <c r="B772" s="12" t="n"/>
      <c r="C772" s="14" t="n"/>
      <c r="D772" s="14" t="n"/>
      <c r="E772" s="14" t="n"/>
      <c r="F772" s="18" t="n"/>
      <c r="G772" s="18" t="n"/>
      <c r="H772" s="18" t="n"/>
      <c r="I772" s="18" t="n"/>
      <c r="J772" s="14" t="n"/>
      <c r="K772" s="19">
        <f>IF(AND(ISNUMBER(F772),ISNUMBER(G772)),(G772-F772)*1440,"")</f>
        <v/>
      </c>
      <c r="L772" s="19">
        <f>IF(AND(ISNUMBER(H772),ISNUMBER(I772)),(I772-H772)*1440,"")</f>
        <v/>
      </c>
      <c r="M772" s="15">
        <f>IF(ISNUMBER(F772),HOUR(F772),"")</f>
        <v/>
      </c>
    </row>
    <row r="773" ht="15.75" customHeight="1" s="36">
      <c r="A773" s="2" t="n"/>
      <c r="B773" s="12" t="n"/>
      <c r="C773" s="14" t="n"/>
      <c r="D773" s="14" t="n"/>
      <c r="E773" s="14" t="n"/>
      <c r="F773" s="18" t="n"/>
      <c r="G773" s="18" t="n"/>
      <c r="H773" s="18" t="n"/>
      <c r="I773" s="18" t="n"/>
      <c r="J773" s="14" t="n"/>
      <c r="K773" s="19">
        <f>IF(AND(ISNUMBER(F773),ISNUMBER(G773)),(G773-F773)*1440,"")</f>
        <v/>
      </c>
      <c r="L773" s="19">
        <f>IF(AND(ISNUMBER(H773),ISNUMBER(I773)),(I773-H773)*1440,"")</f>
        <v/>
      </c>
      <c r="M773" s="15">
        <f>IF(ISNUMBER(F773),HOUR(F773),"")</f>
        <v/>
      </c>
    </row>
    <row r="774" ht="15.75" customHeight="1" s="36">
      <c r="A774" s="2" t="n"/>
      <c r="B774" s="12" t="n"/>
      <c r="C774" s="14" t="n"/>
      <c r="D774" s="14" t="n"/>
      <c r="E774" s="14" t="n"/>
      <c r="F774" s="18" t="n"/>
      <c r="G774" s="18" t="n"/>
      <c r="H774" s="18" t="n"/>
      <c r="I774" s="18" t="n"/>
      <c r="J774" s="14" t="n"/>
      <c r="K774" s="19">
        <f>IF(AND(ISNUMBER(F774),ISNUMBER(G774)),(G774-F774)*1440,"")</f>
        <v/>
      </c>
      <c r="L774" s="19">
        <f>IF(AND(ISNUMBER(H774),ISNUMBER(I774)),(I774-H774)*1440,"")</f>
        <v/>
      </c>
      <c r="M774" s="15">
        <f>IF(ISNUMBER(F774),HOUR(F774),"")</f>
        <v/>
      </c>
    </row>
    <row r="775" ht="15.75" customHeight="1" s="36">
      <c r="A775" s="2" t="n"/>
      <c r="B775" s="12" t="n"/>
      <c r="C775" s="14" t="n"/>
      <c r="D775" s="14" t="n"/>
      <c r="E775" s="14" t="n"/>
      <c r="F775" s="18" t="n"/>
      <c r="G775" s="18" t="n"/>
      <c r="H775" s="18" t="n"/>
      <c r="I775" s="18" t="n"/>
      <c r="J775" s="14" t="n"/>
      <c r="K775" s="19">
        <f>IF(AND(ISNUMBER(F775),ISNUMBER(G775)),(G775-F775)*1440,"")</f>
        <v/>
      </c>
      <c r="L775" s="19">
        <f>IF(AND(ISNUMBER(H775),ISNUMBER(I775)),(I775-H775)*1440,"")</f>
        <v/>
      </c>
      <c r="M775" s="15">
        <f>IF(ISNUMBER(F775),HOUR(F775),"")</f>
        <v/>
      </c>
    </row>
    <row r="776" ht="15.75" customHeight="1" s="36">
      <c r="A776" s="2" t="n"/>
      <c r="B776" s="12" t="n"/>
      <c r="C776" s="14" t="n"/>
      <c r="D776" s="14" t="n"/>
      <c r="E776" s="14" t="n"/>
      <c r="F776" s="18" t="n"/>
      <c r="G776" s="18" t="n"/>
      <c r="H776" s="18" t="n"/>
      <c r="I776" s="18" t="n"/>
      <c r="J776" s="14" t="n"/>
      <c r="K776" s="19">
        <f>IF(AND(ISNUMBER(F776),ISNUMBER(G776)),(G776-F776)*1440,"")</f>
        <v/>
      </c>
      <c r="L776" s="19">
        <f>IF(AND(ISNUMBER(H776),ISNUMBER(I776)),(I776-H776)*1440,"")</f>
        <v/>
      </c>
      <c r="M776" s="15">
        <f>IF(ISNUMBER(F776),HOUR(F776),"")</f>
        <v/>
      </c>
    </row>
    <row r="777" ht="15.75" customHeight="1" s="36">
      <c r="A777" s="2" t="n"/>
      <c r="B777" s="12" t="n"/>
      <c r="C777" s="14" t="n"/>
      <c r="D777" s="14" t="n"/>
      <c r="E777" s="14" t="n"/>
      <c r="F777" s="18" t="n"/>
      <c r="G777" s="18" t="n"/>
      <c r="H777" s="18" t="n"/>
      <c r="I777" s="18" t="n"/>
      <c r="J777" s="14" t="n"/>
      <c r="K777" s="19">
        <f>IF(AND(ISNUMBER(F777),ISNUMBER(G777)),(G777-F777)*1440,"")</f>
        <v/>
      </c>
      <c r="L777" s="19">
        <f>IF(AND(ISNUMBER(H777),ISNUMBER(I777)),(I777-H777)*1440,"")</f>
        <v/>
      </c>
      <c r="M777" s="15">
        <f>IF(ISNUMBER(F777),HOUR(F777),"")</f>
        <v/>
      </c>
    </row>
    <row r="778" ht="15.75" customHeight="1" s="36">
      <c r="A778" s="2" t="n"/>
      <c r="B778" s="12" t="n"/>
      <c r="C778" s="14" t="n"/>
      <c r="D778" s="14" t="n"/>
      <c r="E778" s="14" t="n"/>
      <c r="F778" s="18" t="n"/>
      <c r="G778" s="18" t="n"/>
      <c r="H778" s="18" t="n"/>
      <c r="I778" s="18" t="n"/>
      <c r="J778" s="14" t="n"/>
      <c r="K778" s="19">
        <f>IF(AND(ISNUMBER(F778),ISNUMBER(G778)),(G778-F778)*1440,"")</f>
        <v/>
      </c>
      <c r="L778" s="19">
        <f>IF(AND(ISNUMBER(H778),ISNUMBER(I778)),(I778-H778)*1440,"")</f>
        <v/>
      </c>
      <c r="M778" s="15">
        <f>IF(ISNUMBER(F778),HOUR(F778),"")</f>
        <v/>
      </c>
    </row>
    <row r="779" ht="15.75" customHeight="1" s="36">
      <c r="A779" s="2" t="n"/>
      <c r="B779" s="12" t="n"/>
      <c r="C779" s="14" t="n"/>
      <c r="D779" s="14" t="n"/>
      <c r="E779" s="14" t="n"/>
      <c r="F779" s="18" t="n"/>
      <c r="G779" s="18" t="n"/>
      <c r="H779" s="18" t="n"/>
      <c r="I779" s="18" t="n"/>
      <c r="J779" s="14" t="n"/>
      <c r="K779" s="19">
        <f>IF(AND(ISNUMBER(F779),ISNUMBER(G779)),(G779-F779)*1440,"")</f>
        <v/>
      </c>
      <c r="L779" s="19">
        <f>IF(AND(ISNUMBER(H779),ISNUMBER(I779)),(I779-H779)*1440,"")</f>
        <v/>
      </c>
      <c r="M779" s="15">
        <f>IF(ISNUMBER(F779),HOUR(F779),"")</f>
        <v/>
      </c>
    </row>
    <row r="780" ht="15.75" customHeight="1" s="36">
      <c r="A780" s="2" t="n"/>
      <c r="B780" s="12" t="n"/>
      <c r="C780" s="14" t="n"/>
      <c r="D780" s="14" t="n"/>
      <c r="E780" s="14" t="n"/>
      <c r="F780" s="18" t="n"/>
      <c r="G780" s="18" t="n"/>
      <c r="H780" s="18" t="n"/>
      <c r="I780" s="18" t="n"/>
      <c r="J780" s="14" t="n"/>
      <c r="K780" s="19">
        <f>IF(AND(ISNUMBER(F780),ISNUMBER(G780)),(G780-F780)*1440,"")</f>
        <v/>
      </c>
      <c r="L780" s="19">
        <f>IF(AND(ISNUMBER(H780),ISNUMBER(I780)),(I780-H780)*1440,"")</f>
        <v/>
      </c>
      <c r="M780" s="15">
        <f>IF(ISNUMBER(F780),HOUR(F780),"")</f>
        <v/>
      </c>
    </row>
    <row r="781" ht="15.75" customHeight="1" s="36">
      <c r="A781" s="2" t="n"/>
      <c r="B781" s="12" t="n"/>
      <c r="C781" s="14" t="n"/>
      <c r="D781" s="14" t="n"/>
      <c r="E781" s="14" t="n"/>
      <c r="F781" s="18" t="n"/>
      <c r="G781" s="18" t="n"/>
      <c r="H781" s="18" t="n"/>
      <c r="I781" s="18" t="n"/>
      <c r="J781" s="14" t="n"/>
      <c r="K781" s="19">
        <f>IF(AND(ISNUMBER(F781),ISNUMBER(G781)),(G781-F781)*1440,"")</f>
        <v/>
      </c>
      <c r="L781" s="19">
        <f>IF(AND(ISNUMBER(H781),ISNUMBER(I781)),(I781-H781)*1440,"")</f>
        <v/>
      </c>
      <c r="M781" s="15">
        <f>IF(ISNUMBER(F781),HOUR(F781),"")</f>
        <v/>
      </c>
    </row>
    <row r="782" ht="15.75" customHeight="1" s="36">
      <c r="A782" s="2" t="n"/>
      <c r="B782" s="12" t="n"/>
      <c r="C782" s="14" t="n"/>
      <c r="D782" s="14" t="n"/>
      <c r="E782" s="14" t="n"/>
      <c r="F782" s="18" t="n"/>
      <c r="G782" s="18" t="n"/>
      <c r="H782" s="18" t="n"/>
      <c r="I782" s="18" t="n"/>
      <c r="J782" s="14" t="n"/>
      <c r="K782" s="19">
        <f>IF(AND(ISNUMBER(F782),ISNUMBER(G782)),(G782-F782)*1440,"")</f>
        <v/>
      </c>
      <c r="L782" s="19">
        <f>IF(AND(ISNUMBER(H782),ISNUMBER(I782)),(I782-H782)*1440,"")</f>
        <v/>
      </c>
      <c r="M782" s="15">
        <f>IF(ISNUMBER(F782),HOUR(F782),"")</f>
        <v/>
      </c>
    </row>
    <row r="783" ht="15.75" customHeight="1" s="36">
      <c r="A783" s="2" t="n"/>
      <c r="B783" s="12" t="n"/>
      <c r="C783" s="14" t="n"/>
      <c r="D783" s="14" t="n"/>
      <c r="E783" s="14" t="n"/>
      <c r="F783" s="18" t="n"/>
      <c r="G783" s="18" t="n"/>
      <c r="H783" s="18" t="n"/>
      <c r="I783" s="18" t="n"/>
      <c r="J783" s="14" t="n"/>
      <c r="K783" s="19">
        <f>IF(AND(ISNUMBER(F783),ISNUMBER(G783)),(G783-F783)*1440,"")</f>
        <v/>
      </c>
      <c r="L783" s="19">
        <f>IF(AND(ISNUMBER(H783),ISNUMBER(I783)),(I783-H783)*1440,"")</f>
        <v/>
      </c>
      <c r="M783" s="15">
        <f>IF(ISNUMBER(F783),HOUR(F783),"")</f>
        <v/>
      </c>
    </row>
    <row r="784" ht="15.75" customHeight="1" s="36">
      <c r="A784" s="2" t="n"/>
      <c r="B784" s="12" t="n"/>
      <c r="C784" s="14" t="n"/>
      <c r="D784" s="14" t="n"/>
      <c r="E784" s="14" t="n"/>
      <c r="F784" s="18" t="n"/>
      <c r="G784" s="18" t="n"/>
      <c r="H784" s="18" t="n"/>
      <c r="I784" s="18" t="n"/>
      <c r="J784" s="14" t="n"/>
      <c r="K784" s="19">
        <f>IF(AND(ISNUMBER(F784),ISNUMBER(G784)),(G784-F784)*1440,"")</f>
        <v/>
      </c>
      <c r="L784" s="19">
        <f>IF(AND(ISNUMBER(H784),ISNUMBER(I784)),(I784-H784)*1440,"")</f>
        <v/>
      </c>
      <c r="M784" s="15">
        <f>IF(ISNUMBER(F784),HOUR(F784),"")</f>
        <v/>
      </c>
    </row>
    <row r="785" ht="15.75" customHeight="1" s="36">
      <c r="A785" s="2" t="n"/>
      <c r="B785" s="12" t="n"/>
      <c r="C785" s="14" t="n"/>
      <c r="D785" s="14" t="n"/>
      <c r="E785" s="14" t="n"/>
      <c r="F785" s="18" t="n"/>
      <c r="G785" s="18" t="n"/>
      <c r="H785" s="18" t="n"/>
      <c r="I785" s="18" t="n"/>
      <c r="J785" s="14" t="n"/>
      <c r="K785" s="19">
        <f>IF(AND(ISNUMBER(F785),ISNUMBER(G785)),(G785-F785)*1440,"")</f>
        <v/>
      </c>
      <c r="L785" s="19">
        <f>IF(AND(ISNUMBER(H785),ISNUMBER(I785)),(I785-H785)*1440,"")</f>
        <v/>
      </c>
      <c r="M785" s="15">
        <f>IF(ISNUMBER(F785),HOUR(F785),"")</f>
        <v/>
      </c>
    </row>
    <row r="786" ht="15.75" customHeight="1" s="36">
      <c r="A786" s="2" t="n"/>
      <c r="B786" s="12" t="n"/>
      <c r="C786" s="14" t="n"/>
      <c r="D786" s="14" t="n"/>
      <c r="E786" s="14" t="n"/>
      <c r="F786" s="18" t="n"/>
      <c r="G786" s="18" t="n"/>
      <c r="H786" s="18" t="n"/>
      <c r="I786" s="18" t="n"/>
      <c r="J786" s="14" t="n"/>
      <c r="K786" s="19">
        <f>IF(AND(ISNUMBER(F786),ISNUMBER(G786)),(G786-F786)*1440,"")</f>
        <v/>
      </c>
      <c r="L786" s="19">
        <f>IF(AND(ISNUMBER(H786),ISNUMBER(I786)),(I786-H786)*1440,"")</f>
        <v/>
      </c>
      <c r="M786" s="15">
        <f>IF(ISNUMBER(F786),HOUR(F786),"")</f>
        <v/>
      </c>
    </row>
    <row r="787" ht="15.75" customHeight="1" s="36">
      <c r="A787" s="2" t="n"/>
      <c r="B787" s="12" t="n"/>
      <c r="C787" s="14" t="n"/>
      <c r="D787" s="14" t="n"/>
      <c r="E787" s="14" t="n"/>
      <c r="F787" s="18" t="n"/>
      <c r="G787" s="18" t="n"/>
      <c r="H787" s="18" t="n"/>
      <c r="I787" s="18" t="n"/>
      <c r="J787" s="14" t="n"/>
      <c r="K787" s="19">
        <f>IF(AND(ISNUMBER(F787),ISNUMBER(G787)),(G787-F787)*1440,"")</f>
        <v/>
      </c>
      <c r="L787" s="19">
        <f>IF(AND(ISNUMBER(H787),ISNUMBER(I787)),(I787-H787)*1440,"")</f>
        <v/>
      </c>
      <c r="M787" s="15">
        <f>IF(ISNUMBER(F787),HOUR(F787),"")</f>
        <v/>
      </c>
    </row>
    <row r="788" ht="15.75" customHeight="1" s="36">
      <c r="A788" s="2" t="n"/>
      <c r="B788" s="12" t="n"/>
      <c r="C788" s="14" t="n"/>
      <c r="D788" s="14" t="n"/>
      <c r="E788" s="14" t="n"/>
      <c r="F788" s="18" t="n"/>
      <c r="G788" s="18" t="n"/>
      <c r="H788" s="18" t="n"/>
      <c r="I788" s="18" t="n"/>
      <c r="J788" s="14" t="n"/>
      <c r="K788" s="19">
        <f>IF(AND(ISNUMBER(F788),ISNUMBER(G788)),(G788-F788)*1440,"")</f>
        <v/>
      </c>
      <c r="L788" s="19">
        <f>IF(AND(ISNUMBER(H788),ISNUMBER(I788)),(I788-H788)*1440,"")</f>
        <v/>
      </c>
      <c r="M788" s="15">
        <f>IF(ISNUMBER(F788),HOUR(F788),"")</f>
        <v/>
      </c>
    </row>
    <row r="789" ht="15.75" customHeight="1" s="36">
      <c r="A789" s="2" t="n"/>
      <c r="B789" s="12" t="n"/>
      <c r="C789" s="14" t="n"/>
      <c r="D789" s="14" t="n"/>
      <c r="E789" s="14" t="n"/>
      <c r="F789" s="18" t="n"/>
      <c r="G789" s="18" t="n"/>
      <c r="H789" s="18" t="n"/>
      <c r="I789" s="18" t="n"/>
      <c r="J789" s="14" t="n"/>
      <c r="K789" s="19">
        <f>IF(AND(ISNUMBER(F789),ISNUMBER(G789)),(G789-F789)*1440,"")</f>
        <v/>
      </c>
      <c r="L789" s="19">
        <f>IF(AND(ISNUMBER(H789),ISNUMBER(I789)),(I789-H789)*1440,"")</f>
        <v/>
      </c>
      <c r="M789" s="15">
        <f>IF(ISNUMBER(F789),HOUR(F789),"")</f>
        <v/>
      </c>
    </row>
    <row r="790" ht="15.75" customHeight="1" s="36">
      <c r="A790" s="2" t="n"/>
      <c r="B790" s="12" t="n"/>
      <c r="C790" s="14" t="n"/>
      <c r="D790" s="14" t="n"/>
      <c r="E790" s="14" t="n"/>
      <c r="F790" s="18" t="n"/>
      <c r="G790" s="18" t="n"/>
      <c r="H790" s="18" t="n"/>
      <c r="I790" s="18" t="n"/>
      <c r="J790" s="14" t="n"/>
      <c r="K790" s="19">
        <f>IF(AND(ISNUMBER(F790),ISNUMBER(G790)),(G790-F790)*1440,"")</f>
        <v/>
      </c>
      <c r="L790" s="19">
        <f>IF(AND(ISNUMBER(H790),ISNUMBER(I790)),(I790-H790)*1440,"")</f>
        <v/>
      </c>
      <c r="M790" s="15">
        <f>IF(ISNUMBER(F790),HOUR(F790),"")</f>
        <v/>
      </c>
    </row>
    <row r="791" ht="15.75" customHeight="1" s="36">
      <c r="A791" s="2" t="n"/>
      <c r="B791" s="12" t="n"/>
      <c r="C791" s="14" t="n"/>
      <c r="D791" s="14" t="n"/>
      <c r="E791" s="14" t="n"/>
      <c r="F791" s="18" t="n"/>
      <c r="G791" s="18" t="n"/>
      <c r="H791" s="18" t="n"/>
      <c r="I791" s="18" t="n"/>
      <c r="J791" s="14" t="n"/>
      <c r="K791" s="19">
        <f>IF(AND(ISNUMBER(F791),ISNUMBER(G791)),(G791-F791)*1440,"")</f>
        <v/>
      </c>
      <c r="L791" s="19">
        <f>IF(AND(ISNUMBER(H791),ISNUMBER(I791)),(I791-H791)*1440,"")</f>
        <v/>
      </c>
      <c r="M791" s="15">
        <f>IF(ISNUMBER(F791),HOUR(F791),"")</f>
        <v/>
      </c>
    </row>
    <row r="792" ht="15.75" customHeight="1" s="36">
      <c r="A792" s="2" t="n"/>
      <c r="B792" s="12" t="n"/>
      <c r="C792" s="14" t="n"/>
      <c r="D792" s="14" t="n"/>
      <c r="E792" s="14" t="n"/>
      <c r="F792" s="18" t="n"/>
      <c r="G792" s="18" t="n"/>
      <c r="H792" s="18" t="n"/>
      <c r="I792" s="18" t="n"/>
      <c r="J792" s="14" t="n"/>
      <c r="K792" s="19">
        <f>IF(AND(ISNUMBER(F792),ISNUMBER(G792)),(G792-F792)*1440,"")</f>
        <v/>
      </c>
      <c r="L792" s="19">
        <f>IF(AND(ISNUMBER(H792),ISNUMBER(I792)),(I792-H792)*1440,"")</f>
        <v/>
      </c>
      <c r="M792" s="15">
        <f>IF(ISNUMBER(F792),HOUR(F792),"")</f>
        <v/>
      </c>
    </row>
    <row r="793" ht="15.75" customHeight="1" s="36">
      <c r="A793" s="2" t="n"/>
      <c r="B793" s="12" t="n"/>
      <c r="C793" s="14" t="n"/>
      <c r="D793" s="14" t="n"/>
      <c r="E793" s="14" t="n"/>
      <c r="F793" s="18" t="n"/>
      <c r="G793" s="18" t="n"/>
      <c r="H793" s="18" t="n"/>
      <c r="I793" s="18" t="n"/>
      <c r="J793" s="14" t="n"/>
      <c r="K793" s="19">
        <f>IF(AND(ISNUMBER(F793),ISNUMBER(G793)),(G793-F793)*1440,"")</f>
        <v/>
      </c>
      <c r="L793" s="19">
        <f>IF(AND(ISNUMBER(H793),ISNUMBER(I793)),(I793-H793)*1440,"")</f>
        <v/>
      </c>
      <c r="M793" s="15">
        <f>IF(ISNUMBER(F793),HOUR(F793),"")</f>
        <v/>
      </c>
    </row>
    <row r="794" ht="15.75" customHeight="1" s="36">
      <c r="A794" s="2" t="n"/>
      <c r="B794" s="12" t="n"/>
      <c r="C794" s="14" t="n"/>
      <c r="D794" s="14" t="n"/>
      <c r="E794" s="14" t="n"/>
      <c r="F794" s="18" t="n"/>
      <c r="G794" s="18" t="n"/>
      <c r="H794" s="18" t="n"/>
      <c r="I794" s="18" t="n"/>
      <c r="J794" s="14" t="n"/>
      <c r="K794" s="19">
        <f>IF(AND(ISNUMBER(F794),ISNUMBER(G794)),(G794-F794)*1440,"")</f>
        <v/>
      </c>
      <c r="L794" s="19">
        <f>IF(AND(ISNUMBER(H794),ISNUMBER(I794)),(I794-H794)*1440,"")</f>
        <v/>
      </c>
      <c r="M794" s="15">
        <f>IF(ISNUMBER(F794),HOUR(F794),"")</f>
        <v/>
      </c>
    </row>
    <row r="795" ht="15.75" customHeight="1" s="36">
      <c r="A795" s="2" t="n"/>
      <c r="B795" s="12" t="n"/>
      <c r="C795" s="14" t="n"/>
      <c r="D795" s="14" t="n"/>
      <c r="E795" s="14" t="n"/>
      <c r="F795" s="18" t="n"/>
      <c r="G795" s="18" t="n"/>
      <c r="H795" s="18" t="n"/>
      <c r="I795" s="18" t="n"/>
      <c r="J795" s="14" t="n"/>
      <c r="K795" s="19">
        <f>IF(AND(ISNUMBER(F795),ISNUMBER(G795)),(G795-F795)*1440,"")</f>
        <v/>
      </c>
      <c r="L795" s="19">
        <f>IF(AND(ISNUMBER(H795),ISNUMBER(I795)),(I795-H795)*1440,"")</f>
        <v/>
      </c>
      <c r="M795" s="15">
        <f>IF(ISNUMBER(F795),HOUR(F795),"")</f>
        <v/>
      </c>
    </row>
    <row r="796" ht="15.75" customHeight="1" s="36">
      <c r="A796" s="2" t="n"/>
      <c r="B796" s="12" t="n"/>
      <c r="C796" s="14" t="n"/>
      <c r="D796" s="14" t="n"/>
      <c r="E796" s="14" t="n"/>
      <c r="F796" s="18" t="n"/>
      <c r="G796" s="18" t="n"/>
      <c r="H796" s="18" t="n"/>
      <c r="I796" s="18" t="n"/>
      <c r="J796" s="14" t="n"/>
      <c r="K796" s="19">
        <f>IF(AND(ISNUMBER(F796),ISNUMBER(G796)),(G796-F796)*1440,"")</f>
        <v/>
      </c>
      <c r="L796" s="19">
        <f>IF(AND(ISNUMBER(H796),ISNUMBER(I796)),(I796-H796)*1440,"")</f>
        <v/>
      </c>
      <c r="M796" s="15">
        <f>IF(ISNUMBER(F796),HOUR(F796),"")</f>
        <v/>
      </c>
    </row>
    <row r="797" ht="15.75" customHeight="1" s="36">
      <c r="A797" s="2" t="n"/>
      <c r="B797" s="12" t="n"/>
      <c r="C797" s="14" t="n"/>
      <c r="D797" s="14" t="n"/>
      <c r="E797" s="14" t="n"/>
      <c r="F797" s="18" t="n"/>
      <c r="G797" s="18" t="n"/>
      <c r="H797" s="18" t="n"/>
      <c r="I797" s="18" t="n"/>
      <c r="J797" s="14" t="n"/>
      <c r="K797" s="19">
        <f>IF(AND(ISNUMBER(F797),ISNUMBER(G797)),(G797-F797)*1440,"")</f>
        <v/>
      </c>
      <c r="L797" s="19">
        <f>IF(AND(ISNUMBER(H797),ISNUMBER(I797)),(I797-H797)*1440,"")</f>
        <v/>
      </c>
      <c r="M797" s="15">
        <f>IF(ISNUMBER(F797),HOUR(F797),"")</f>
        <v/>
      </c>
    </row>
    <row r="798" ht="15.75" customHeight="1" s="36">
      <c r="A798" s="2" t="n"/>
      <c r="B798" s="12" t="n"/>
      <c r="C798" s="14" t="n"/>
      <c r="D798" s="14" t="n"/>
      <c r="E798" s="14" t="n"/>
      <c r="F798" s="18" t="n"/>
      <c r="G798" s="18" t="n"/>
      <c r="H798" s="18" t="n"/>
      <c r="I798" s="18" t="n"/>
      <c r="J798" s="14" t="n"/>
      <c r="K798" s="19">
        <f>IF(AND(ISNUMBER(F798),ISNUMBER(G798)),(G798-F798)*1440,"")</f>
        <v/>
      </c>
      <c r="L798" s="19">
        <f>IF(AND(ISNUMBER(H798),ISNUMBER(I798)),(I798-H798)*1440,"")</f>
        <v/>
      </c>
      <c r="M798" s="15">
        <f>IF(ISNUMBER(F798),HOUR(F798),"")</f>
        <v/>
      </c>
    </row>
    <row r="799" ht="15.75" customHeight="1" s="36">
      <c r="A799" s="2" t="n"/>
      <c r="B799" s="12" t="n"/>
      <c r="C799" s="14" t="n"/>
      <c r="D799" s="14" t="n"/>
      <c r="E799" s="14" t="n"/>
      <c r="F799" s="18" t="n"/>
      <c r="G799" s="18" t="n"/>
      <c r="H799" s="18" t="n"/>
      <c r="I799" s="18" t="n"/>
      <c r="J799" s="14" t="n"/>
      <c r="K799" s="19">
        <f>IF(AND(ISNUMBER(F799),ISNUMBER(G799)),(G799-F799)*1440,"")</f>
        <v/>
      </c>
      <c r="L799" s="19">
        <f>IF(AND(ISNUMBER(H799),ISNUMBER(I799)),(I799-H799)*1440,"")</f>
        <v/>
      </c>
      <c r="M799" s="15">
        <f>IF(ISNUMBER(F799),HOUR(F799),"")</f>
        <v/>
      </c>
    </row>
    <row r="800" ht="15.75" customHeight="1" s="36">
      <c r="A800" s="2" t="n"/>
      <c r="B800" s="12" t="n"/>
      <c r="C800" s="14" t="n"/>
      <c r="D800" s="14" t="n"/>
      <c r="E800" s="14" t="n"/>
      <c r="F800" s="18" t="n"/>
      <c r="G800" s="18" t="n"/>
      <c r="H800" s="18" t="n"/>
      <c r="I800" s="18" t="n"/>
      <c r="J800" s="14" t="n"/>
      <c r="K800" s="19">
        <f>IF(AND(ISNUMBER(F800),ISNUMBER(G800)),(G800-F800)*1440,"")</f>
        <v/>
      </c>
      <c r="L800" s="19">
        <f>IF(AND(ISNUMBER(H800),ISNUMBER(I800)),(I800-H800)*1440,"")</f>
        <v/>
      </c>
      <c r="M800" s="15">
        <f>IF(ISNUMBER(F800),HOUR(F800),"")</f>
        <v/>
      </c>
    </row>
    <row r="801" ht="15.75" customHeight="1" s="36">
      <c r="A801" s="2" t="n"/>
      <c r="B801" s="12" t="n"/>
      <c r="C801" s="14" t="n"/>
      <c r="D801" s="14" t="n"/>
      <c r="E801" s="14" t="n"/>
      <c r="F801" s="18" t="n"/>
      <c r="G801" s="18" t="n"/>
      <c r="H801" s="18" t="n"/>
      <c r="I801" s="18" t="n"/>
      <c r="J801" s="14" t="n"/>
      <c r="K801" s="19">
        <f>IF(AND(ISNUMBER(F801),ISNUMBER(G801)),(G801-F801)*1440,"")</f>
        <v/>
      </c>
      <c r="L801" s="19">
        <f>IF(AND(ISNUMBER(H801),ISNUMBER(I801)),(I801-H801)*1440,"")</f>
        <v/>
      </c>
      <c r="M801" s="15">
        <f>IF(ISNUMBER(F801),HOUR(F801),"")</f>
        <v/>
      </c>
    </row>
    <row r="802" ht="15.75" customHeight="1" s="36">
      <c r="A802" s="2" t="n"/>
      <c r="B802" s="12" t="n"/>
      <c r="C802" s="14" t="n"/>
      <c r="D802" s="14" t="n"/>
      <c r="E802" s="14" t="n"/>
      <c r="F802" s="18" t="n"/>
      <c r="G802" s="18" t="n"/>
      <c r="H802" s="18" t="n"/>
      <c r="I802" s="18" t="n"/>
      <c r="J802" s="14" t="n"/>
      <c r="K802" s="19">
        <f>IF(AND(ISNUMBER(F802),ISNUMBER(G802)),(G802-F802)*1440,"")</f>
        <v/>
      </c>
      <c r="L802" s="19">
        <f>IF(AND(ISNUMBER(H802),ISNUMBER(I802)),(I802-H802)*1440,"")</f>
        <v/>
      </c>
      <c r="M802" s="15">
        <f>IF(ISNUMBER(F802),HOUR(F802),"")</f>
        <v/>
      </c>
    </row>
    <row r="803" ht="15.75" customHeight="1" s="36">
      <c r="A803" s="2" t="n"/>
      <c r="B803" s="12" t="n"/>
      <c r="C803" s="14" t="n"/>
      <c r="D803" s="14" t="n"/>
      <c r="E803" s="14" t="n"/>
      <c r="F803" s="18" t="n"/>
      <c r="G803" s="18" t="n"/>
      <c r="H803" s="18" t="n"/>
      <c r="I803" s="18" t="n"/>
      <c r="J803" s="14" t="n"/>
      <c r="K803" s="19">
        <f>IF(AND(ISNUMBER(F803),ISNUMBER(G803)),(G803-F803)*1440,"")</f>
        <v/>
      </c>
      <c r="L803" s="19">
        <f>IF(AND(ISNUMBER(H803),ISNUMBER(I803)),(I803-H803)*1440,"")</f>
        <v/>
      </c>
      <c r="M803" s="15">
        <f>IF(ISNUMBER(F803),HOUR(F803),"")</f>
        <v/>
      </c>
    </row>
    <row r="804" ht="15.75" customHeight="1" s="36">
      <c r="A804" s="2" t="n"/>
      <c r="B804" s="12" t="n"/>
      <c r="C804" s="14" t="n"/>
      <c r="D804" s="14" t="n"/>
      <c r="E804" s="14" t="n"/>
      <c r="F804" s="18" t="n"/>
      <c r="G804" s="18" t="n"/>
      <c r="H804" s="18" t="n"/>
      <c r="I804" s="18" t="n"/>
      <c r="J804" s="14" t="n"/>
      <c r="K804" s="19">
        <f>IF(AND(ISNUMBER(F804),ISNUMBER(G804)),(G804-F804)*1440,"")</f>
        <v/>
      </c>
      <c r="L804" s="19">
        <f>IF(AND(ISNUMBER(H804),ISNUMBER(I804)),(I804-H804)*1440,"")</f>
        <v/>
      </c>
      <c r="M804" s="15">
        <f>IF(ISNUMBER(F804),HOUR(F804),"")</f>
        <v/>
      </c>
    </row>
    <row r="805" ht="15.75" customHeight="1" s="36">
      <c r="A805" s="2" t="n"/>
      <c r="B805" s="12" t="n"/>
      <c r="C805" s="14" t="n"/>
      <c r="D805" s="14" t="n"/>
      <c r="E805" s="14" t="n"/>
      <c r="F805" s="18" t="n"/>
      <c r="G805" s="18" t="n"/>
      <c r="H805" s="18" t="n"/>
      <c r="I805" s="18" t="n"/>
      <c r="J805" s="14" t="n"/>
      <c r="K805" s="19">
        <f>IF(AND(ISNUMBER(F805),ISNUMBER(G805)),(G805-F805)*1440,"")</f>
        <v/>
      </c>
      <c r="L805" s="19">
        <f>IF(AND(ISNUMBER(H805),ISNUMBER(I805)),(I805-H805)*1440,"")</f>
        <v/>
      </c>
      <c r="M805" s="15">
        <f>IF(ISNUMBER(F805),HOUR(F805),"")</f>
        <v/>
      </c>
    </row>
    <row r="806" ht="15.75" customHeight="1" s="36">
      <c r="A806" s="2" t="n"/>
      <c r="B806" s="12" t="n"/>
      <c r="C806" s="14" t="n"/>
      <c r="D806" s="14" t="n"/>
      <c r="E806" s="14" t="n"/>
      <c r="F806" s="18" t="n"/>
      <c r="G806" s="18" t="n"/>
      <c r="H806" s="18" t="n"/>
      <c r="I806" s="18" t="n"/>
      <c r="J806" s="14" t="n"/>
      <c r="K806" s="19">
        <f>IF(AND(ISNUMBER(F806),ISNUMBER(G806)),(G806-F806)*1440,"")</f>
        <v/>
      </c>
      <c r="L806" s="19">
        <f>IF(AND(ISNUMBER(H806),ISNUMBER(I806)),(I806-H806)*1440,"")</f>
        <v/>
      </c>
      <c r="M806" s="15">
        <f>IF(ISNUMBER(F806),HOUR(F806),"")</f>
        <v/>
      </c>
    </row>
    <row r="807" ht="15.75" customHeight="1" s="36">
      <c r="A807" s="2" t="n"/>
      <c r="B807" s="12" t="n"/>
      <c r="C807" s="14" t="n"/>
      <c r="D807" s="14" t="n"/>
      <c r="E807" s="14" t="n"/>
      <c r="F807" s="18" t="n"/>
      <c r="G807" s="18" t="n"/>
      <c r="H807" s="18" t="n"/>
      <c r="I807" s="18" t="n"/>
      <c r="J807" s="14" t="n"/>
      <c r="K807" s="19">
        <f>IF(AND(ISNUMBER(F807),ISNUMBER(G807)),(G807-F807)*1440,"")</f>
        <v/>
      </c>
      <c r="L807" s="19">
        <f>IF(AND(ISNUMBER(H807),ISNUMBER(I807)),(I807-H807)*1440,"")</f>
        <v/>
      </c>
      <c r="M807" s="15">
        <f>IF(ISNUMBER(F807),HOUR(F807),"")</f>
        <v/>
      </c>
    </row>
    <row r="808" ht="15.75" customHeight="1" s="36">
      <c r="A808" s="2" t="n"/>
      <c r="B808" s="12" t="n"/>
      <c r="C808" s="14" t="n"/>
      <c r="D808" s="14" t="n"/>
      <c r="E808" s="14" t="n"/>
      <c r="F808" s="18" t="n"/>
      <c r="G808" s="18" t="n"/>
      <c r="H808" s="18" t="n"/>
      <c r="I808" s="18" t="n"/>
      <c r="J808" s="14" t="n"/>
      <c r="K808" s="19">
        <f>IF(AND(ISNUMBER(F808),ISNUMBER(G808)),(G808-F808)*1440,"")</f>
        <v/>
      </c>
      <c r="L808" s="19">
        <f>IF(AND(ISNUMBER(H808),ISNUMBER(I808)),(I808-H808)*1440,"")</f>
        <v/>
      </c>
      <c r="M808" s="15">
        <f>IF(ISNUMBER(F808),HOUR(F808),"")</f>
        <v/>
      </c>
    </row>
    <row r="809" ht="15.75" customHeight="1" s="36">
      <c r="A809" s="2" t="n"/>
      <c r="B809" s="12" t="n"/>
      <c r="C809" s="14" t="n"/>
      <c r="D809" s="14" t="n"/>
      <c r="E809" s="14" t="n"/>
      <c r="F809" s="18" t="n"/>
      <c r="G809" s="18" t="n"/>
      <c r="H809" s="18" t="n"/>
      <c r="I809" s="18" t="n"/>
      <c r="J809" s="14" t="n"/>
      <c r="K809" s="19">
        <f>IF(AND(ISNUMBER(F809),ISNUMBER(G809)),(G809-F809)*1440,"")</f>
        <v/>
      </c>
      <c r="L809" s="19">
        <f>IF(AND(ISNUMBER(H809),ISNUMBER(I809)),(I809-H809)*1440,"")</f>
        <v/>
      </c>
      <c r="M809" s="15">
        <f>IF(ISNUMBER(F809),HOUR(F809),"")</f>
        <v/>
      </c>
    </row>
    <row r="810" ht="15.75" customHeight="1" s="36">
      <c r="A810" s="2" t="n"/>
      <c r="B810" s="12" t="n"/>
      <c r="C810" s="14" t="n"/>
      <c r="D810" s="14" t="n"/>
      <c r="E810" s="14" t="n"/>
      <c r="F810" s="18" t="n"/>
      <c r="G810" s="18" t="n"/>
      <c r="H810" s="18" t="n"/>
      <c r="I810" s="18" t="n"/>
      <c r="J810" s="14" t="n"/>
      <c r="K810" s="19">
        <f>IF(AND(ISNUMBER(F810),ISNUMBER(G810)),(G810-F810)*1440,"")</f>
        <v/>
      </c>
      <c r="L810" s="19">
        <f>IF(AND(ISNUMBER(H810),ISNUMBER(I810)),(I810-H810)*1440,"")</f>
        <v/>
      </c>
      <c r="M810" s="15">
        <f>IF(ISNUMBER(F810),HOUR(F810),"")</f>
        <v/>
      </c>
    </row>
    <row r="811" ht="15.75" customHeight="1" s="36">
      <c r="A811" s="2" t="n"/>
      <c r="B811" s="12" t="n"/>
      <c r="C811" s="14" t="n"/>
      <c r="D811" s="14" t="n"/>
      <c r="E811" s="14" t="n"/>
      <c r="F811" s="18" t="n"/>
      <c r="G811" s="18" t="n"/>
      <c r="H811" s="18" t="n"/>
      <c r="I811" s="18" t="n"/>
      <c r="J811" s="14" t="n"/>
      <c r="K811" s="19">
        <f>IF(AND(ISNUMBER(F811),ISNUMBER(G811)),(G811-F811)*1440,"")</f>
        <v/>
      </c>
      <c r="L811" s="19">
        <f>IF(AND(ISNUMBER(H811),ISNUMBER(I811)),(I811-H811)*1440,"")</f>
        <v/>
      </c>
      <c r="M811" s="15">
        <f>IF(ISNUMBER(F811),HOUR(F811),"")</f>
        <v/>
      </c>
    </row>
    <row r="812" ht="15.75" customHeight="1" s="36">
      <c r="A812" s="2" t="n"/>
      <c r="B812" s="12" t="n"/>
      <c r="C812" s="14" t="n"/>
      <c r="D812" s="14" t="n"/>
      <c r="E812" s="14" t="n"/>
      <c r="F812" s="18" t="n"/>
      <c r="G812" s="18" t="n"/>
      <c r="H812" s="18" t="n"/>
      <c r="I812" s="18" t="n"/>
      <c r="J812" s="14" t="n"/>
      <c r="K812" s="19">
        <f>IF(AND(ISNUMBER(F812),ISNUMBER(G812)),(G812-F812)*1440,"")</f>
        <v/>
      </c>
      <c r="L812" s="19">
        <f>IF(AND(ISNUMBER(H812),ISNUMBER(I812)),(I812-H812)*1440,"")</f>
        <v/>
      </c>
      <c r="M812" s="15">
        <f>IF(ISNUMBER(F812),HOUR(F812),"")</f>
        <v/>
      </c>
    </row>
    <row r="813" ht="15.75" customHeight="1" s="36">
      <c r="A813" s="2" t="n"/>
      <c r="B813" s="12" t="n"/>
      <c r="C813" s="14" t="n"/>
      <c r="D813" s="14" t="n"/>
      <c r="E813" s="14" t="n"/>
      <c r="F813" s="18" t="n"/>
      <c r="G813" s="18" t="n"/>
      <c r="H813" s="18" t="n"/>
      <c r="I813" s="18" t="n"/>
      <c r="J813" s="14" t="n"/>
      <c r="K813" s="19">
        <f>IF(AND(ISNUMBER(F813),ISNUMBER(G813)),(G813-F813)*1440,"")</f>
        <v/>
      </c>
      <c r="L813" s="19">
        <f>IF(AND(ISNUMBER(H813),ISNUMBER(I813)),(I813-H813)*1440,"")</f>
        <v/>
      </c>
      <c r="M813" s="15">
        <f>IF(ISNUMBER(F813),HOUR(F813),"")</f>
        <v/>
      </c>
    </row>
    <row r="814" ht="15.75" customHeight="1" s="36">
      <c r="A814" s="2" t="n"/>
      <c r="B814" s="12" t="n"/>
      <c r="C814" s="14" t="n"/>
      <c r="D814" s="14" t="n"/>
      <c r="E814" s="14" t="n"/>
      <c r="F814" s="18" t="n"/>
      <c r="G814" s="18" t="n"/>
      <c r="H814" s="18" t="n"/>
      <c r="I814" s="18" t="n"/>
      <c r="J814" s="14" t="n"/>
      <c r="K814" s="19">
        <f>IF(AND(ISNUMBER(F814),ISNUMBER(G814)),(G814-F814)*1440,"")</f>
        <v/>
      </c>
      <c r="L814" s="19">
        <f>IF(AND(ISNUMBER(H814),ISNUMBER(I814)),(I814-H814)*1440,"")</f>
        <v/>
      </c>
      <c r="M814" s="15">
        <f>IF(ISNUMBER(F814),HOUR(F814),"")</f>
        <v/>
      </c>
    </row>
    <row r="815" ht="15.75" customHeight="1" s="36">
      <c r="A815" s="2" t="n"/>
      <c r="B815" s="12" t="n"/>
      <c r="C815" s="14" t="n"/>
      <c r="D815" s="14" t="n"/>
      <c r="E815" s="14" t="n"/>
      <c r="F815" s="18" t="n"/>
      <c r="G815" s="18" t="n"/>
      <c r="H815" s="18" t="n"/>
      <c r="I815" s="18" t="n"/>
      <c r="J815" s="14" t="n"/>
      <c r="K815" s="19">
        <f>IF(AND(ISNUMBER(F815),ISNUMBER(G815)),(G815-F815)*1440,"")</f>
        <v/>
      </c>
      <c r="L815" s="19">
        <f>IF(AND(ISNUMBER(H815),ISNUMBER(I815)),(I815-H815)*1440,"")</f>
        <v/>
      </c>
      <c r="M815" s="15">
        <f>IF(ISNUMBER(F815),HOUR(F815),"")</f>
        <v/>
      </c>
    </row>
    <row r="816" ht="15.75" customHeight="1" s="36">
      <c r="A816" s="2" t="n"/>
      <c r="B816" s="12" t="n"/>
      <c r="C816" s="14" t="n"/>
      <c r="D816" s="14" t="n"/>
      <c r="E816" s="14" t="n"/>
      <c r="F816" s="18" t="n"/>
      <c r="G816" s="18" t="n"/>
      <c r="H816" s="18" t="n"/>
      <c r="I816" s="18" t="n"/>
      <c r="J816" s="14" t="n"/>
      <c r="K816" s="19">
        <f>IF(AND(ISNUMBER(F816),ISNUMBER(G816)),(G816-F816)*1440,"")</f>
        <v/>
      </c>
      <c r="L816" s="19">
        <f>IF(AND(ISNUMBER(H816),ISNUMBER(I816)),(I816-H816)*1440,"")</f>
        <v/>
      </c>
      <c r="M816" s="15">
        <f>IF(ISNUMBER(F816),HOUR(F816),"")</f>
        <v/>
      </c>
    </row>
    <row r="817" ht="15.75" customHeight="1" s="36">
      <c r="A817" s="2" t="n"/>
      <c r="B817" s="12" t="n"/>
      <c r="C817" s="14" t="n"/>
      <c r="D817" s="14" t="n"/>
      <c r="E817" s="14" t="n"/>
      <c r="F817" s="18" t="n"/>
      <c r="G817" s="18" t="n"/>
      <c r="H817" s="18" t="n"/>
      <c r="I817" s="18" t="n"/>
      <c r="J817" s="14" t="n"/>
      <c r="K817" s="19">
        <f>IF(AND(ISNUMBER(F817),ISNUMBER(G817)),(G817-F817)*1440,"")</f>
        <v/>
      </c>
      <c r="L817" s="19">
        <f>IF(AND(ISNUMBER(H817),ISNUMBER(I817)),(I817-H817)*1440,"")</f>
        <v/>
      </c>
      <c r="M817" s="15">
        <f>IF(ISNUMBER(F817),HOUR(F817),"")</f>
        <v/>
      </c>
    </row>
    <row r="818" ht="15.75" customHeight="1" s="36">
      <c r="A818" s="2" t="n"/>
      <c r="B818" s="12" t="n"/>
      <c r="C818" s="14" t="n"/>
      <c r="D818" s="14" t="n"/>
      <c r="E818" s="14" t="n"/>
      <c r="F818" s="18" t="n"/>
      <c r="G818" s="18" t="n"/>
      <c r="H818" s="18" t="n"/>
      <c r="I818" s="18" t="n"/>
      <c r="J818" s="14" t="n"/>
      <c r="K818" s="19">
        <f>IF(AND(ISNUMBER(F818),ISNUMBER(G818)),(G818-F818)*1440,"")</f>
        <v/>
      </c>
      <c r="L818" s="19">
        <f>IF(AND(ISNUMBER(H818),ISNUMBER(I818)),(I818-H818)*1440,"")</f>
        <v/>
      </c>
      <c r="M818" s="15">
        <f>IF(ISNUMBER(F818),HOUR(F818),"")</f>
        <v/>
      </c>
    </row>
    <row r="819" ht="15.75" customHeight="1" s="36">
      <c r="A819" s="2" t="n"/>
      <c r="B819" s="12" t="n"/>
      <c r="C819" s="14" t="n"/>
      <c r="D819" s="14" t="n"/>
      <c r="E819" s="14" t="n"/>
      <c r="F819" s="18" t="n"/>
      <c r="G819" s="18" t="n"/>
      <c r="H819" s="18" t="n"/>
      <c r="I819" s="18" t="n"/>
      <c r="J819" s="14" t="n"/>
      <c r="K819" s="19">
        <f>IF(AND(ISNUMBER(F819),ISNUMBER(G819)),(G819-F819)*1440,"")</f>
        <v/>
      </c>
      <c r="L819" s="19">
        <f>IF(AND(ISNUMBER(H819),ISNUMBER(I819)),(I819-H819)*1440,"")</f>
        <v/>
      </c>
      <c r="M819" s="15">
        <f>IF(ISNUMBER(F819),HOUR(F819),"")</f>
        <v/>
      </c>
    </row>
    <row r="820" ht="15.75" customHeight="1" s="36">
      <c r="A820" s="2" t="n"/>
      <c r="B820" s="12" t="n"/>
      <c r="C820" s="14" t="n"/>
      <c r="D820" s="14" t="n"/>
      <c r="E820" s="14" t="n"/>
      <c r="F820" s="18" t="n"/>
      <c r="G820" s="18" t="n"/>
      <c r="H820" s="18" t="n"/>
      <c r="I820" s="18" t="n"/>
      <c r="J820" s="14" t="n"/>
      <c r="K820" s="19">
        <f>IF(AND(ISNUMBER(F820),ISNUMBER(G820)),(G820-F820)*1440,"")</f>
        <v/>
      </c>
      <c r="L820" s="19">
        <f>IF(AND(ISNUMBER(H820),ISNUMBER(I820)),(I820-H820)*1440,"")</f>
        <v/>
      </c>
      <c r="M820" s="15">
        <f>IF(ISNUMBER(F820),HOUR(F820),"")</f>
        <v/>
      </c>
    </row>
    <row r="821" ht="15.75" customHeight="1" s="36">
      <c r="A821" s="2" t="n"/>
      <c r="B821" s="12" t="n"/>
      <c r="C821" s="14" t="n"/>
      <c r="D821" s="14" t="n"/>
      <c r="E821" s="14" t="n"/>
      <c r="F821" s="18" t="n"/>
      <c r="G821" s="18" t="n"/>
      <c r="H821" s="18" t="n"/>
      <c r="I821" s="18" t="n"/>
      <c r="J821" s="14" t="n"/>
      <c r="K821" s="19">
        <f>IF(AND(ISNUMBER(F821),ISNUMBER(G821)),(G821-F821)*1440,"")</f>
        <v/>
      </c>
      <c r="L821" s="19">
        <f>IF(AND(ISNUMBER(H821),ISNUMBER(I821)),(I821-H821)*1440,"")</f>
        <v/>
      </c>
      <c r="M821" s="15">
        <f>IF(ISNUMBER(F821),HOUR(F821),"")</f>
        <v/>
      </c>
    </row>
    <row r="822" ht="15.75" customHeight="1" s="36">
      <c r="A822" s="2" t="n"/>
      <c r="B822" s="12" t="n"/>
      <c r="C822" s="14" t="n"/>
      <c r="D822" s="14" t="n"/>
      <c r="E822" s="14" t="n"/>
      <c r="F822" s="18" t="n"/>
      <c r="G822" s="18" t="n"/>
      <c r="H822" s="18" t="n"/>
      <c r="I822" s="18" t="n"/>
      <c r="J822" s="14" t="n"/>
      <c r="K822" s="19">
        <f>IF(AND(ISNUMBER(F822),ISNUMBER(G822)),(G822-F822)*1440,"")</f>
        <v/>
      </c>
      <c r="L822" s="19">
        <f>IF(AND(ISNUMBER(H822),ISNUMBER(I822)),(I822-H822)*1440,"")</f>
        <v/>
      </c>
      <c r="M822" s="15">
        <f>IF(ISNUMBER(F822),HOUR(F822),"")</f>
        <v/>
      </c>
    </row>
    <row r="823" ht="15.75" customHeight="1" s="36">
      <c r="A823" s="2" t="n"/>
      <c r="B823" s="12" t="n"/>
      <c r="C823" s="14" t="n"/>
      <c r="D823" s="14" t="n"/>
      <c r="E823" s="14" t="n"/>
      <c r="F823" s="18" t="n"/>
      <c r="G823" s="18" t="n"/>
      <c r="H823" s="18" t="n"/>
      <c r="I823" s="18" t="n"/>
      <c r="J823" s="14" t="n"/>
      <c r="K823" s="19">
        <f>IF(AND(ISNUMBER(F823),ISNUMBER(G823)),(G823-F823)*1440,"")</f>
        <v/>
      </c>
      <c r="L823" s="19">
        <f>IF(AND(ISNUMBER(H823),ISNUMBER(I823)),(I823-H823)*1440,"")</f>
        <v/>
      </c>
      <c r="M823" s="15">
        <f>IF(ISNUMBER(F823),HOUR(F823),"")</f>
        <v/>
      </c>
    </row>
    <row r="824" ht="15.75" customHeight="1" s="36">
      <c r="A824" s="2" t="n"/>
      <c r="B824" s="12" t="n"/>
      <c r="C824" s="14" t="n"/>
      <c r="D824" s="14" t="n"/>
      <c r="E824" s="14" t="n"/>
      <c r="F824" s="18" t="n"/>
      <c r="G824" s="18" t="n"/>
      <c r="H824" s="18" t="n"/>
      <c r="I824" s="18" t="n"/>
      <c r="J824" s="14" t="n"/>
      <c r="K824" s="19">
        <f>IF(AND(ISNUMBER(F824),ISNUMBER(G824)),(G824-F824)*1440,"")</f>
        <v/>
      </c>
      <c r="L824" s="19">
        <f>IF(AND(ISNUMBER(H824),ISNUMBER(I824)),(I824-H824)*1440,"")</f>
        <v/>
      </c>
      <c r="M824" s="15">
        <f>IF(ISNUMBER(F824),HOUR(F824),"")</f>
        <v/>
      </c>
    </row>
    <row r="825" ht="15.75" customHeight="1" s="36">
      <c r="A825" s="2" t="n"/>
      <c r="B825" s="12" t="n"/>
      <c r="C825" s="14" t="n"/>
      <c r="D825" s="14" t="n"/>
      <c r="E825" s="14" t="n"/>
      <c r="F825" s="18" t="n"/>
      <c r="G825" s="18" t="n"/>
      <c r="H825" s="18" t="n"/>
      <c r="I825" s="18" t="n"/>
      <c r="J825" s="14" t="n"/>
      <c r="K825" s="19">
        <f>IF(AND(ISNUMBER(F825),ISNUMBER(G825)),(G825-F825)*1440,"")</f>
        <v/>
      </c>
      <c r="L825" s="19">
        <f>IF(AND(ISNUMBER(H825),ISNUMBER(I825)),(I825-H825)*1440,"")</f>
        <v/>
      </c>
      <c r="M825" s="15">
        <f>IF(ISNUMBER(F825),HOUR(F825),"")</f>
        <v/>
      </c>
    </row>
    <row r="826" ht="15.75" customHeight="1" s="36">
      <c r="A826" s="2" t="n"/>
      <c r="B826" s="12" t="n"/>
      <c r="C826" s="14" t="n"/>
      <c r="D826" s="14" t="n"/>
      <c r="E826" s="14" t="n"/>
      <c r="F826" s="18" t="n"/>
      <c r="G826" s="18" t="n"/>
      <c r="H826" s="18" t="n"/>
      <c r="I826" s="18" t="n"/>
      <c r="J826" s="14" t="n"/>
      <c r="K826" s="19">
        <f>IF(AND(ISNUMBER(F826),ISNUMBER(G826)),(G826-F826)*1440,"")</f>
        <v/>
      </c>
      <c r="L826" s="19">
        <f>IF(AND(ISNUMBER(H826),ISNUMBER(I826)),(I826-H826)*1440,"")</f>
        <v/>
      </c>
      <c r="M826" s="15">
        <f>IF(ISNUMBER(F826),HOUR(F826),"")</f>
        <v/>
      </c>
    </row>
    <row r="827" ht="15.75" customHeight="1" s="36">
      <c r="A827" s="2" t="n"/>
      <c r="B827" s="12" t="n"/>
      <c r="C827" s="14" t="n"/>
      <c r="D827" s="14" t="n"/>
      <c r="E827" s="14" t="n"/>
      <c r="F827" s="18" t="n"/>
      <c r="G827" s="18" t="n"/>
      <c r="H827" s="18" t="n"/>
      <c r="I827" s="18" t="n"/>
      <c r="J827" s="14" t="n"/>
      <c r="K827" s="19">
        <f>IF(AND(ISNUMBER(F827),ISNUMBER(G827)),(G827-F827)*1440,"")</f>
        <v/>
      </c>
      <c r="L827" s="19">
        <f>IF(AND(ISNUMBER(H827),ISNUMBER(I827)),(I827-H827)*1440,"")</f>
        <v/>
      </c>
      <c r="M827" s="15">
        <f>IF(ISNUMBER(F827),HOUR(F827),"")</f>
        <v/>
      </c>
    </row>
    <row r="828" ht="15.75" customHeight="1" s="36">
      <c r="A828" s="2" t="n"/>
      <c r="B828" s="12" t="n"/>
      <c r="C828" s="14" t="n"/>
      <c r="D828" s="14" t="n"/>
      <c r="E828" s="14" t="n"/>
      <c r="F828" s="18" t="n"/>
      <c r="G828" s="18" t="n"/>
      <c r="H828" s="18" t="n"/>
      <c r="I828" s="18" t="n"/>
      <c r="J828" s="14" t="n"/>
      <c r="K828" s="19">
        <f>IF(AND(ISNUMBER(F828),ISNUMBER(G828)),(G828-F828)*1440,"")</f>
        <v/>
      </c>
      <c r="L828" s="19">
        <f>IF(AND(ISNUMBER(H828),ISNUMBER(I828)),(I828-H828)*1440,"")</f>
        <v/>
      </c>
      <c r="M828" s="15">
        <f>IF(ISNUMBER(F828),HOUR(F828),"")</f>
        <v/>
      </c>
    </row>
    <row r="829" ht="15.75" customHeight="1" s="36">
      <c r="A829" s="2" t="n"/>
      <c r="B829" s="12" t="n"/>
      <c r="C829" s="14" t="n"/>
      <c r="D829" s="14" t="n"/>
      <c r="E829" s="14" t="n"/>
      <c r="F829" s="18" t="n"/>
      <c r="G829" s="18" t="n"/>
      <c r="H829" s="18" t="n"/>
      <c r="I829" s="18" t="n"/>
      <c r="J829" s="14" t="n"/>
      <c r="K829" s="19">
        <f>IF(AND(ISNUMBER(F829),ISNUMBER(G829)),(G829-F829)*1440,"")</f>
        <v/>
      </c>
      <c r="L829" s="19">
        <f>IF(AND(ISNUMBER(H829),ISNUMBER(I829)),(I829-H829)*1440,"")</f>
        <v/>
      </c>
      <c r="M829" s="15">
        <f>IF(ISNUMBER(F829),HOUR(F829),"")</f>
        <v/>
      </c>
    </row>
    <row r="830" ht="15.75" customHeight="1" s="36">
      <c r="A830" s="2" t="n"/>
      <c r="B830" s="12" t="n"/>
      <c r="C830" s="14" t="n"/>
      <c r="D830" s="14" t="n"/>
      <c r="E830" s="14" t="n"/>
      <c r="F830" s="18" t="n"/>
      <c r="G830" s="18" t="n"/>
      <c r="H830" s="18" t="n"/>
      <c r="I830" s="18" t="n"/>
      <c r="J830" s="14" t="n"/>
      <c r="K830" s="19">
        <f>IF(AND(ISNUMBER(F830),ISNUMBER(G830)),(G830-F830)*1440,"")</f>
        <v/>
      </c>
      <c r="L830" s="19">
        <f>IF(AND(ISNUMBER(H830),ISNUMBER(I830)),(I830-H830)*1440,"")</f>
        <v/>
      </c>
      <c r="M830" s="15">
        <f>IF(ISNUMBER(F830),HOUR(F830),"")</f>
        <v/>
      </c>
    </row>
    <row r="831" ht="15.75" customHeight="1" s="36">
      <c r="A831" s="2" t="n"/>
      <c r="B831" s="12" t="n"/>
      <c r="C831" s="14" t="n"/>
      <c r="D831" s="14" t="n"/>
      <c r="E831" s="14" t="n"/>
      <c r="F831" s="18" t="n"/>
      <c r="G831" s="18" t="n"/>
      <c r="H831" s="18" t="n"/>
      <c r="I831" s="18" t="n"/>
      <c r="J831" s="14" t="n"/>
      <c r="K831" s="19">
        <f>IF(AND(ISNUMBER(F831),ISNUMBER(G831)),(G831-F831)*1440,"")</f>
        <v/>
      </c>
      <c r="L831" s="19">
        <f>IF(AND(ISNUMBER(H831),ISNUMBER(I831)),(I831-H831)*1440,"")</f>
        <v/>
      </c>
      <c r="M831" s="15">
        <f>IF(ISNUMBER(F831),HOUR(F831),"")</f>
        <v/>
      </c>
    </row>
    <row r="832" ht="15.75" customHeight="1" s="36">
      <c r="A832" s="2" t="n"/>
      <c r="B832" s="12" t="n"/>
      <c r="C832" s="14" t="n"/>
      <c r="D832" s="14" t="n"/>
      <c r="E832" s="14" t="n"/>
      <c r="F832" s="18" t="n"/>
      <c r="G832" s="18" t="n"/>
      <c r="H832" s="18" t="n"/>
      <c r="I832" s="18" t="n"/>
      <c r="J832" s="14" t="n"/>
      <c r="K832" s="19">
        <f>IF(AND(ISNUMBER(F832),ISNUMBER(G832)),(G832-F832)*1440,"")</f>
        <v/>
      </c>
      <c r="L832" s="19">
        <f>IF(AND(ISNUMBER(H832),ISNUMBER(I832)),(I832-H832)*1440,"")</f>
        <v/>
      </c>
      <c r="M832" s="15">
        <f>IF(ISNUMBER(F832),HOUR(F832),"")</f>
        <v/>
      </c>
    </row>
    <row r="833" ht="15.75" customHeight="1" s="36">
      <c r="A833" s="2" t="n"/>
      <c r="B833" s="12" t="n"/>
      <c r="C833" s="14" t="n"/>
      <c r="D833" s="14" t="n"/>
      <c r="E833" s="14" t="n"/>
      <c r="F833" s="18" t="n"/>
      <c r="G833" s="18" t="n"/>
      <c r="H833" s="18" t="n"/>
      <c r="I833" s="18" t="n"/>
      <c r="J833" s="14" t="n"/>
      <c r="K833" s="19">
        <f>IF(AND(ISNUMBER(F833),ISNUMBER(G833)),(G833-F833)*1440,"")</f>
        <v/>
      </c>
      <c r="L833" s="19">
        <f>IF(AND(ISNUMBER(H833),ISNUMBER(I833)),(I833-H833)*1440,"")</f>
        <v/>
      </c>
      <c r="M833" s="15">
        <f>IF(ISNUMBER(F833),HOUR(F833),"")</f>
        <v/>
      </c>
    </row>
    <row r="834" ht="15.75" customHeight="1" s="36">
      <c r="A834" s="2" t="n"/>
      <c r="B834" s="12" t="n"/>
      <c r="C834" s="14" t="n"/>
      <c r="D834" s="14" t="n"/>
      <c r="E834" s="14" t="n"/>
      <c r="F834" s="18" t="n"/>
      <c r="G834" s="18" t="n"/>
      <c r="H834" s="18" t="n"/>
      <c r="I834" s="18" t="n"/>
      <c r="J834" s="14" t="n"/>
      <c r="K834" s="19">
        <f>IF(AND(ISNUMBER(F834),ISNUMBER(G834)),(G834-F834)*1440,"")</f>
        <v/>
      </c>
      <c r="L834" s="19">
        <f>IF(AND(ISNUMBER(H834),ISNUMBER(I834)),(I834-H834)*1440,"")</f>
        <v/>
      </c>
      <c r="M834" s="15">
        <f>IF(ISNUMBER(F834),HOUR(F834),"")</f>
        <v/>
      </c>
    </row>
    <row r="835" ht="15.75" customHeight="1" s="36">
      <c r="A835" s="2" t="n"/>
      <c r="B835" s="12" t="n"/>
      <c r="C835" s="14" t="n"/>
      <c r="D835" s="14" t="n"/>
      <c r="E835" s="14" t="n"/>
      <c r="F835" s="18" t="n"/>
      <c r="G835" s="18" t="n"/>
      <c r="H835" s="18" t="n"/>
      <c r="I835" s="18" t="n"/>
      <c r="J835" s="14" t="n"/>
      <c r="K835" s="19">
        <f>IF(AND(ISNUMBER(F835),ISNUMBER(G835)),(G835-F835)*1440,"")</f>
        <v/>
      </c>
      <c r="L835" s="19">
        <f>IF(AND(ISNUMBER(H835),ISNUMBER(I835)),(I835-H835)*1440,"")</f>
        <v/>
      </c>
      <c r="M835" s="15">
        <f>IF(ISNUMBER(F835),HOUR(F835),"")</f>
        <v/>
      </c>
    </row>
    <row r="836" ht="15.75" customHeight="1" s="36">
      <c r="A836" s="2" t="n"/>
      <c r="B836" s="12" t="n"/>
      <c r="C836" s="14" t="n"/>
      <c r="D836" s="14" t="n"/>
      <c r="E836" s="14" t="n"/>
      <c r="F836" s="18" t="n"/>
      <c r="G836" s="18" t="n"/>
      <c r="H836" s="18" t="n"/>
      <c r="I836" s="18" t="n"/>
      <c r="J836" s="14" t="n"/>
      <c r="K836" s="19">
        <f>IF(AND(ISNUMBER(F836),ISNUMBER(G836)),(G836-F836)*1440,"")</f>
        <v/>
      </c>
      <c r="L836" s="19">
        <f>IF(AND(ISNUMBER(H836),ISNUMBER(I836)),(I836-H836)*1440,"")</f>
        <v/>
      </c>
      <c r="M836" s="15">
        <f>IF(ISNUMBER(F836),HOUR(F836),"")</f>
        <v/>
      </c>
    </row>
    <row r="837" ht="15.75" customHeight="1" s="36">
      <c r="A837" s="2" t="n"/>
      <c r="B837" s="12" t="n"/>
      <c r="C837" s="14" t="n"/>
      <c r="D837" s="14" t="n"/>
      <c r="E837" s="14" t="n"/>
      <c r="F837" s="18" t="n"/>
      <c r="G837" s="18" t="n"/>
      <c r="H837" s="18" t="n"/>
      <c r="I837" s="18" t="n"/>
      <c r="J837" s="14" t="n"/>
      <c r="K837" s="19">
        <f>IF(AND(ISNUMBER(F837),ISNUMBER(G837)),(G837-F837)*1440,"")</f>
        <v/>
      </c>
      <c r="L837" s="19">
        <f>IF(AND(ISNUMBER(H837),ISNUMBER(I837)),(I837-H837)*1440,"")</f>
        <v/>
      </c>
      <c r="M837" s="15">
        <f>IF(ISNUMBER(F837),HOUR(F837),"")</f>
        <v/>
      </c>
    </row>
    <row r="838" ht="15.75" customHeight="1" s="36">
      <c r="A838" s="2" t="n"/>
      <c r="B838" s="12" t="n"/>
      <c r="C838" s="14" t="n"/>
      <c r="D838" s="14" t="n"/>
      <c r="E838" s="14" t="n"/>
      <c r="F838" s="18" t="n"/>
      <c r="G838" s="18" t="n"/>
      <c r="H838" s="18" t="n"/>
      <c r="I838" s="18" t="n"/>
      <c r="J838" s="14" t="n"/>
      <c r="K838" s="19">
        <f>IF(AND(ISNUMBER(F838),ISNUMBER(G838)),(G838-F838)*1440,"")</f>
        <v/>
      </c>
      <c r="L838" s="19">
        <f>IF(AND(ISNUMBER(H838),ISNUMBER(I838)),(I838-H838)*1440,"")</f>
        <v/>
      </c>
      <c r="M838" s="15">
        <f>IF(ISNUMBER(F838),HOUR(F838),"")</f>
        <v/>
      </c>
    </row>
    <row r="839" ht="15.75" customHeight="1" s="36">
      <c r="A839" s="2" t="n"/>
      <c r="B839" s="12" t="n"/>
      <c r="C839" s="14" t="n"/>
      <c r="D839" s="14" t="n"/>
      <c r="E839" s="14" t="n"/>
      <c r="F839" s="18" t="n"/>
      <c r="G839" s="18" t="n"/>
      <c r="H839" s="18" t="n"/>
      <c r="I839" s="18" t="n"/>
      <c r="J839" s="14" t="n"/>
      <c r="K839" s="19">
        <f>IF(AND(ISNUMBER(F839),ISNUMBER(G839)),(G839-F839)*1440,"")</f>
        <v/>
      </c>
      <c r="L839" s="19">
        <f>IF(AND(ISNUMBER(H839),ISNUMBER(I839)),(I839-H839)*1440,"")</f>
        <v/>
      </c>
      <c r="M839" s="15">
        <f>IF(ISNUMBER(F839),HOUR(F839),"")</f>
        <v/>
      </c>
    </row>
    <row r="840" ht="15.75" customHeight="1" s="36">
      <c r="A840" s="2" t="n"/>
      <c r="B840" s="12" t="n"/>
      <c r="C840" s="14" t="n"/>
      <c r="D840" s="14" t="n"/>
      <c r="E840" s="14" t="n"/>
      <c r="F840" s="18" t="n"/>
      <c r="G840" s="18" t="n"/>
      <c r="H840" s="18" t="n"/>
      <c r="I840" s="18" t="n"/>
      <c r="J840" s="14" t="n"/>
      <c r="K840" s="19">
        <f>IF(AND(ISNUMBER(F840),ISNUMBER(G840)),(G840-F840)*1440,"")</f>
        <v/>
      </c>
      <c r="L840" s="19">
        <f>IF(AND(ISNUMBER(H840),ISNUMBER(I840)),(I840-H840)*1440,"")</f>
        <v/>
      </c>
      <c r="M840" s="15">
        <f>IF(ISNUMBER(F840),HOUR(F840),"")</f>
        <v/>
      </c>
    </row>
    <row r="841" ht="15.75" customHeight="1" s="36">
      <c r="A841" s="2" t="n"/>
      <c r="B841" s="12" t="n"/>
      <c r="C841" s="14" t="n"/>
      <c r="D841" s="14" t="n"/>
      <c r="E841" s="14" t="n"/>
      <c r="F841" s="18" t="n"/>
      <c r="G841" s="18" t="n"/>
      <c r="H841" s="18" t="n"/>
      <c r="I841" s="18" t="n"/>
      <c r="J841" s="14" t="n"/>
      <c r="K841" s="19">
        <f>IF(AND(ISNUMBER(F841),ISNUMBER(G841)),(G841-F841)*1440,"")</f>
        <v/>
      </c>
      <c r="L841" s="19">
        <f>IF(AND(ISNUMBER(H841),ISNUMBER(I841)),(I841-H841)*1440,"")</f>
        <v/>
      </c>
      <c r="M841" s="15">
        <f>IF(ISNUMBER(F841),HOUR(F841),"")</f>
        <v/>
      </c>
    </row>
    <row r="842" ht="15.75" customHeight="1" s="36">
      <c r="A842" s="2" t="n"/>
      <c r="B842" s="12" t="n"/>
      <c r="C842" s="14" t="n"/>
      <c r="D842" s="14" t="n"/>
      <c r="E842" s="14" t="n"/>
      <c r="F842" s="18" t="n"/>
      <c r="G842" s="18" t="n"/>
      <c r="H842" s="18" t="n"/>
      <c r="I842" s="18" t="n"/>
      <c r="J842" s="14" t="n"/>
      <c r="K842" s="19">
        <f>IF(AND(ISNUMBER(F842),ISNUMBER(G842)),(G842-F842)*1440,"")</f>
        <v/>
      </c>
      <c r="L842" s="19">
        <f>IF(AND(ISNUMBER(H842),ISNUMBER(I842)),(I842-H842)*1440,"")</f>
        <v/>
      </c>
      <c r="M842" s="15">
        <f>IF(ISNUMBER(F842),HOUR(F842),"")</f>
        <v/>
      </c>
    </row>
    <row r="843" ht="15.75" customHeight="1" s="36">
      <c r="A843" s="2" t="n"/>
      <c r="B843" s="12" t="n"/>
      <c r="C843" s="14" t="n"/>
      <c r="D843" s="14" t="n"/>
      <c r="E843" s="14" t="n"/>
      <c r="F843" s="18" t="n"/>
      <c r="G843" s="18" t="n"/>
      <c r="H843" s="18" t="n"/>
      <c r="I843" s="18" t="n"/>
      <c r="J843" s="14" t="n"/>
      <c r="K843" s="19">
        <f>IF(AND(ISNUMBER(F843),ISNUMBER(G843)),(G843-F843)*1440,"")</f>
        <v/>
      </c>
      <c r="L843" s="19">
        <f>IF(AND(ISNUMBER(H843),ISNUMBER(I843)),(I843-H843)*1440,"")</f>
        <v/>
      </c>
      <c r="M843" s="15">
        <f>IF(ISNUMBER(F843),HOUR(F843),"")</f>
        <v/>
      </c>
    </row>
    <row r="844" ht="15.75" customHeight="1" s="36">
      <c r="A844" s="2" t="n"/>
      <c r="B844" s="12" t="n"/>
      <c r="C844" s="14" t="n"/>
      <c r="D844" s="14" t="n"/>
      <c r="E844" s="14" t="n"/>
      <c r="F844" s="18" t="n"/>
      <c r="G844" s="18" t="n"/>
      <c r="H844" s="18" t="n"/>
      <c r="I844" s="18" t="n"/>
      <c r="J844" s="14" t="n"/>
      <c r="K844" s="19">
        <f>IF(AND(ISNUMBER(F844),ISNUMBER(G844)),(G844-F844)*1440,"")</f>
        <v/>
      </c>
      <c r="L844" s="19">
        <f>IF(AND(ISNUMBER(H844),ISNUMBER(I844)),(I844-H844)*1440,"")</f>
        <v/>
      </c>
      <c r="M844" s="15">
        <f>IF(ISNUMBER(F844),HOUR(F844),"")</f>
        <v/>
      </c>
    </row>
    <row r="845" ht="15.75" customHeight="1" s="36">
      <c r="A845" s="2" t="n"/>
      <c r="B845" s="12" t="n"/>
      <c r="C845" s="14" t="n"/>
      <c r="D845" s="14" t="n"/>
      <c r="E845" s="14" t="n"/>
      <c r="F845" s="18" t="n"/>
      <c r="G845" s="18" t="n"/>
      <c r="H845" s="18" t="n"/>
      <c r="I845" s="18" t="n"/>
      <c r="J845" s="14" t="n"/>
      <c r="K845" s="19">
        <f>IF(AND(ISNUMBER(F845),ISNUMBER(G845)),(G845-F845)*1440,"")</f>
        <v/>
      </c>
      <c r="L845" s="19">
        <f>IF(AND(ISNUMBER(H845),ISNUMBER(I845)),(I845-H845)*1440,"")</f>
        <v/>
      </c>
      <c r="M845" s="15">
        <f>IF(ISNUMBER(F845),HOUR(F845),"")</f>
        <v/>
      </c>
    </row>
    <row r="846" ht="15.75" customHeight="1" s="36">
      <c r="A846" s="2" t="n"/>
      <c r="B846" s="12" t="n"/>
      <c r="C846" s="14" t="n"/>
      <c r="D846" s="14" t="n"/>
      <c r="E846" s="14" t="n"/>
      <c r="F846" s="18" t="n"/>
      <c r="G846" s="18" t="n"/>
      <c r="H846" s="18" t="n"/>
      <c r="I846" s="18" t="n"/>
      <c r="J846" s="14" t="n"/>
      <c r="K846" s="19">
        <f>IF(AND(ISNUMBER(F846),ISNUMBER(G846)),(G846-F846)*1440,"")</f>
        <v/>
      </c>
      <c r="L846" s="19">
        <f>IF(AND(ISNUMBER(H846),ISNUMBER(I846)),(I846-H846)*1440,"")</f>
        <v/>
      </c>
      <c r="M846" s="15">
        <f>IF(ISNUMBER(F846),HOUR(F846),"")</f>
        <v/>
      </c>
    </row>
    <row r="847" ht="15.75" customHeight="1" s="36">
      <c r="A847" s="2" t="n"/>
      <c r="B847" s="12" t="n"/>
      <c r="C847" s="14" t="n"/>
      <c r="D847" s="14" t="n"/>
      <c r="E847" s="14" t="n"/>
      <c r="F847" s="18" t="n"/>
      <c r="G847" s="18" t="n"/>
      <c r="H847" s="18" t="n"/>
      <c r="I847" s="18" t="n"/>
      <c r="J847" s="14" t="n"/>
      <c r="K847" s="19">
        <f>IF(AND(ISNUMBER(F847),ISNUMBER(G847)),(G847-F847)*1440,"")</f>
        <v/>
      </c>
      <c r="L847" s="19">
        <f>IF(AND(ISNUMBER(H847),ISNUMBER(I847)),(I847-H847)*1440,"")</f>
        <v/>
      </c>
      <c r="M847" s="15">
        <f>IF(ISNUMBER(F847),HOUR(F847),"")</f>
        <v/>
      </c>
    </row>
    <row r="848" ht="15.75" customHeight="1" s="36">
      <c r="A848" s="2" t="n"/>
      <c r="B848" s="12" t="n"/>
      <c r="C848" s="14" t="n"/>
      <c r="D848" s="14" t="n"/>
      <c r="E848" s="14" t="n"/>
      <c r="F848" s="18" t="n"/>
      <c r="G848" s="18" t="n"/>
      <c r="H848" s="18" t="n"/>
      <c r="I848" s="18" t="n"/>
      <c r="J848" s="14" t="n"/>
      <c r="K848" s="19">
        <f>IF(AND(ISNUMBER(F848),ISNUMBER(G848)),(G848-F848)*1440,"")</f>
        <v/>
      </c>
      <c r="L848" s="19">
        <f>IF(AND(ISNUMBER(H848),ISNUMBER(I848)),(I848-H848)*1440,"")</f>
        <v/>
      </c>
      <c r="M848" s="15">
        <f>IF(ISNUMBER(F848),HOUR(F848),"")</f>
        <v/>
      </c>
    </row>
    <row r="849" ht="15.75" customHeight="1" s="36">
      <c r="A849" s="2" t="n"/>
      <c r="B849" s="12" t="n"/>
      <c r="C849" s="14" t="n"/>
      <c r="D849" s="14" t="n"/>
      <c r="E849" s="14" t="n"/>
      <c r="F849" s="18" t="n"/>
      <c r="G849" s="18" t="n"/>
      <c r="H849" s="18" t="n"/>
      <c r="I849" s="18" t="n"/>
      <c r="J849" s="14" t="n"/>
      <c r="K849" s="19">
        <f>IF(AND(ISNUMBER(F849),ISNUMBER(G849)),(G849-F849)*1440,"")</f>
        <v/>
      </c>
      <c r="L849" s="19">
        <f>IF(AND(ISNUMBER(H849),ISNUMBER(I849)),(I849-H849)*1440,"")</f>
        <v/>
      </c>
      <c r="M849" s="15">
        <f>IF(ISNUMBER(F849),HOUR(F849),"")</f>
        <v/>
      </c>
    </row>
    <row r="850" ht="15.75" customHeight="1" s="36">
      <c r="A850" s="2" t="n"/>
      <c r="B850" s="12" t="n"/>
      <c r="C850" s="14" t="n"/>
      <c r="D850" s="14" t="n"/>
      <c r="E850" s="14" t="n"/>
      <c r="F850" s="18" t="n"/>
      <c r="G850" s="18" t="n"/>
      <c r="H850" s="18" t="n"/>
      <c r="I850" s="18" t="n"/>
      <c r="J850" s="14" t="n"/>
      <c r="K850" s="19">
        <f>IF(AND(ISNUMBER(F850),ISNUMBER(G850)),(G850-F850)*1440,"")</f>
        <v/>
      </c>
      <c r="L850" s="19">
        <f>IF(AND(ISNUMBER(H850),ISNUMBER(I850)),(I850-H850)*1440,"")</f>
        <v/>
      </c>
      <c r="M850" s="15">
        <f>IF(ISNUMBER(F850),HOUR(F850),"")</f>
        <v/>
      </c>
    </row>
    <row r="851" ht="15.75" customHeight="1" s="36">
      <c r="A851" s="2" t="n"/>
      <c r="B851" s="12" t="n"/>
      <c r="C851" s="14" t="n"/>
      <c r="D851" s="14" t="n"/>
      <c r="E851" s="14" t="n"/>
      <c r="F851" s="18" t="n"/>
      <c r="G851" s="18" t="n"/>
      <c r="H851" s="18" t="n"/>
      <c r="I851" s="18" t="n"/>
      <c r="J851" s="14" t="n"/>
      <c r="K851" s="19">
        <f>IF(AND(ISNUMBER(F851),ISNUMBER(G851)),(G851-F851)*1440,"")</f>
        <v/>
      </c>
      <c r="L851" s="19">
        <f>IF(AND(ISNUMBER(H851),ISNUMBER(I851)),(I851-H851)*1440,"")</f>
        <v/>
      </c>
      <c r="M851" s="15">
        <f>IF(ISNUMBER(F851),HOUR(F851),"")</f>
        <v/>
      </c>
    </row>
    <row r="852" ht="15.75" customHeight="1" s="36">
      <c r="A852" s="2" t="n"/>
      <c r="B852" s="12" t="n"/>
      <c r="C852" s="14" t="n"/>
      <c r="D852" s="14" t="n"/>
      <c r="E852" s="14" t="n"/>
      <c r="F852" s="18" t="n"/>
      <c r="G852" s="18" t="n"/>
      <c r="H852" s="18" t="n"/>
      <c r="I852" s="18" t="n"/>
      <c r="J852" s="14" t="n"/>
      <c r="K852" s="19">
        <f>IF(AND(ISNUMBER(F852),ISNUMBER(G852)),(G852-F852)*1440,"")</f>
        <v/>
      </c>
      <c r="L852" s="19">
        <f>IF(AND(ISNUMBER(H852),ISNUMBER(I852)),(I852-H852)*1440,"")</f>
        <v/>
      </c>
      <c r="M852" s="15">
        <f>IF(ISNUMBER(F852),HOUR(F852),"")</f>
        <v/>
      </c>
    </row>
    <row r="853" ht="15.75" customHeight="1" s="36">
      <c r="A853" s="2" t="n"/>
      <c r="B853" s="12" t="n"/>
      <c r="C853" s="14" t="n"/>
      <c r="D853" s="14" t="n"/>
      <c r="E853" s="14" t="n"/>
      <c r="F853" s="18" t="n"/>
      <c r="G853" s="18" t="n"/>
      <c r="H853" s="18" t="n"/>
      <c r="I853" s="18" t="n"/>
      <c r="J853" s="14" t="n"/>
      <c r="K853" s="19">
        <f>IF(AND(ISNUMBER(F853),ISNUMBER(G853)),(G853-F853)*1440,"")</f>
        <v/>
      </c>
      <c r="L853" s="19">
        <f>IF(AND(ISNUMBER(H853),ISNUMBER(I853)),(I853-H853)*1440,"")</f>
        <v/>
      </c>
      <c r="M853" s="15">
        <f>IF(ISNUMBER(F853),HOUR(F853),"")</f>
        <v/>
      </c>
    </row>
    <row r="854" ht="15.75" customHeight="1" s="36">
      <c r="A854" s="2" t="n"/>
      <c r="B854" s="12" t="n"/>
      <c r="C854" s="14" t="n"/>
      <c r="D854" s="14" t="n"/>
      <c r="E854" s="14" t="n"/>
      <c r="F854" s="18" t="n"/>
      <c r="G854" s="18" t="n"/>
      <c r="H854" s="18" t="n"/>
      <c r="I854" s="18" t="n"/>
      <c r="J854" s="14" t="n"/>
      <c r="K854" s="19">
        <f>IF(AND(ISNUMBER(F854),ISNUMBER(G854)),(G854-F854)*1440,"")</f>
        <v/>
      </c>
      <c r="L854" s="19">
        <f>IF(AND(ISNUMBER(H854),ISNUMBER(I854)),(I854-H854)*1440,"")</f>
        <v/>
      </c>
      <c r="M854" s="15">
        <f>IF(ISNUMBER(F854),HOUR(F854),"")</f>
        <v/>
      </c>
    </row>
    <row r="855" ht="15.75" customHeight="1" s="36">
      <c r="A855" s="2" t="n"/>
      <c r="B855" s="12" t="n"/>
      <c r="C855" s="14" t="n"/>
      <c r="D855" s="14" t="n"/>
      <c r="E855" s="14" t="n"/>
      <c r="F855" s="18" t="n"/>
      <c r="G855" s="18" t="n"/>
      <c r="H855" s="18" t="n"/>
      <c r="I855" s="18" t="n"/>
      <c r="J855" s="14" t="n"/>
      <c r="K855" s="19">
        <f>IF(AND(ISNUMBER(F855),ISNUMBER(G855)),(G855-F855)*1440,"")</f>
        <v/>
      </c>
      <c r="L855" s="19">
        <f>IF(AND(ISNUMBER(H855),ISNUMBER(I855)),(I855-H855)*1440,"")</f>
        <v/>
      </c>
      <c r="M855" s="15">
        <f>IF(ISNUMBER(F855),HOUR(F855),"")</f>
        <v/>
      </c>
    </row>
    <row r="856" ht="15.75" customHeight="1" s="36">
      <c r="A856" s="2" t="n"/>
      <c r="B856" s="12" t="n"/>
      <c r="C856" s="14" t="n"/>
      <c r="D856" s="14" t="n"/>
      <c r="E856" s="14" t="n"/>
      <c r="F856" s="18" t="n"/>
      <c r="G856" s="18" t="n"/>
      <c r="H856" s="18" t="n"/>
      <c r="I856" s="18" t="n"/>
      <c r="J856" s="14" t="n"/>
      <c r="K856" s="19">
        <f>IF(AND(ISNUMBER(F856),ISNUMBER(G856)),(G856-F856)*1440,"")</f>
        <v/>
      </c>
      <c r="L856" s="19">
        <f>IF(AND(ISNUMBER(H856),ISNUMBER(I856)),(I856-H856)*1440,"")</f>
        <v/>
      </c>
      <c r="M856" s="15">
        <f>IF(ISNUMBER(F856),HOUR(F856),"")</f>
        <v/>
      </c>
    </row>
    <row r="857" ht="15.75" customHeight="1" s="36">
      <c r="A857" s="2" t="n"/>
      <c r="B857" s="12" t="n"/>
      <c r="C857" s="14" t="n"/>
      <c r="D857" s="14" t="n"/>
      <c r="E857" s="14" t="n"/>
      <c r="F857" s="18" t="n"/>
      <c r="G857" s="18" t="n"/>
      <c r="H857" s="18" t="n"/>
      <c r="I857" s="18" t="n"/>
      <c r="J857" s="14" t="n"/>
      <c r="K857" s="19">
        <f>IF(AND(ISNUMBER(F857),ISNUMBER(G857)),(G857-F857)*1440,"")</f>
        <v/>
      </c>
      <c r="L857" s="19">
        <f>IF(AND(ISNUMBER(H857),ISNUMBER(I857)),(I857-H857)*1440,"")</f>
        <v/>
      </c>
      <c r="M857" s="15">
        <f>IF(ISNUMBER(F857),HOUR(F857),"")</f>
        <v/>
      </c>
    </row>
    <row r="858" ht="15.75" customHeight="1" s="36">
      <c r="A858" s="2" t="n"/>
      <c r="B858" s="12" t="n"/>
      <c r="C858" s="14" t="n"/>
      <c r="D858" s="14" t="n"/>
      <c r="E858" s="14" t="n"/>
      <c r="F858" s="18" t="n"/>
      <c r="G858" s="18" t="n"/>
      <c r="H858" s="18" t="n"/>
      <c r="I858" s="18" t="n"/>
      <c r="J858" s="14" t="n"/>
      <c r="K858" s="19">
        <f>IF(AND(ISNUMBER(F858),ISNUMBER(G858)),(G858-F858)*1440,"")</f>
        <v/>
      </c>
      <c r="L858" s="19">
        <f>IF(AND(ISNUMBER(H858),ISNUMBER(I858)),(I858-H858)*1440,"")</f>
        <v/>
      </c>
      <c r="M858" s="15">
        <f>IF(ISNUMBER(F858),HOUR(F858),"")</f>
        <v/>
      </c>
    </row>
    <row r="859" ht="15.75" customHeight="1" s="36">
      <c r="A859" s="2" t="n"/>
      <c r="B859" s="12" t="n"/>
      <c r="C859" s="14" t="n"/>
      <c r="D859" s="14" t="n"/>
      <c r="E859" s="14" t="n"/>
      <c r="F859" s="18" t="n"/>
      <c r="G859" s="18" t="n"/>
      <c r="H859" s="18" t="n"/>
      <c r="I859" s="18" t="n"/>
      <c r="J859" s="14" t="n"/>
      <c r="K859" s="19">
        <f>IF(AND(ISNUMBER(F859),ISNUMBER(G859)),(G859-F859)*1440,"")</f>
        <v/>
      </c>
      <c r="L859" s="19">
        <f>IF(AND(ISNUMBER(H859),ISNUMBER(I859)),(I859-H859)*1440,"")</f>
        <v/>
      </c>
      <c r="M859" s="15">
        <f>IF(ISNUMBER(F859),HOUR(F859),"")</f>
        <v/>
      </c>
    </row>
    <row r="860" ht="15.75" customHeight="1" s="36">
      <c r="A860" s="2" t="n"/>
      <c r="B860" s="12" t="n"/>
      <c r="C860" s="14" t="n"/>
      <c r="D860" s="14" t="n"/>
      <c r="E860" s="14" t="n"/>
      <c r="F860" s="18" t="n"/>
      <c r="G860" s="18" t="n"/>
      <c r="H860" s="18" t="n"/>
      <c r="I860" s="18" t="n"/>
      <c r="J860" s="14" t="n"/>
      <c r="K860" s="19">
        <f>IF(AND(ISNUMBER(F860),ISNUMBER(G860)),(G860-F860)*1440,"")</f>
        <v/>
      </c>
      <c r="L860" s="19">
        <f>IF(AND(ISNUMBER(H860),ISNUMBER(I860)),(I860-H860)*1440,"")</f>
        <v/>
      </c>
      <c r="M860" s="15">
        <f>IF(ISNUMBER(F860),HOUR(F860),"")</f>
        <v/>
      </c>
    </row>
    <row r="861" ht="15.75" customHeight="1" s="36">
      <c r="A861" s="2" t="n"/>
      <c r="B861" s="12" t="n"/>
      <c r="C861" s="14" t="n"/>
      <c r="D861" s="14" t="n"/>
      <c r="E861" s="14" t="n"/>
      <c r="F861" s="18" t="n"/>
      <c r="G861" s="18" t="n"/>
      <c r="H861" s="18" t="n"/>
      <c r="I861" s="18" t="n"/>
      <c r="J861" s="14" t="n"/>
      <c r="K861" s="19">
        <f>IF(AND(ISNUMBER(F861),ISNUMBER(G861)),(G861-F861)*1440,"")</f>
        <v/>
      </c>
      <c r="L861" s="19">
        <f>IF(AND(ISNUMBER(H861),ISNUMBER(I861)),(I861-H861)*1440,"")</f>
        <v/>
      </c>
      <c r="M861" s="15">
        <f>IF(ISNUMBER(F861),HOUR(F861),"")</f>
        <v/>
      </c>
    </row>
    <row r="862" ht="15.75" customHeight="1" s="36">
      <c r="A862" s="2" t="n"/>
      <c r="B862" s="12" t="n"/>
      <c r="C862" s="14" t="n"/>
      <c r="D862" s="14" t="n"/>
      <c r="E862" s="14" t="n"/>
      <c r="F862" s="18" t="n"/>
      <c r="G862" s="18" t="n"/>
      <c r="H862" s="18" t="n"/>
      <c r="I862" s="18" t="n"/>
      <c r="J862" s="14" t="n"/>
      <c r="K862" s="19">
        <f>IF(AND(ISNUMBER(F862),ISNUMBER(G862)),(G862-F862)*1440,"")</f>
        <v/>
      </c>
      <c r="L862" s="19">
        <f>IF(AND(ISNUMBER(H862),ISNUMBER(I862)),(I862-H862)*1440,"")</f>
        <v/>
      </c>
      <c r="M862" s="15">
        <f>IF(ISNUMBER(F862),HOUR(F862),"")</f>
        <v/>
      </c>
    </row>
    <row r="863" ht="15.75" customHeight="1" s="36">
      <c r="A863" s="2" t="n"/>
      <c r="B863" s="12" t="n"/>
      <c r="C863" s="14" t="n"/>
      <c r="D863" s="14" t="n"/>
      <c r="E863" s="14" t="n"/>
      <c r="F863" s="18" t="n"/>
      <c r="G863" s="18" t="n"/>
      <c r="H863" s="18" t="n"/>
      <c r="I863" s="18" t="n"/>
      <c r="J863" s="14" t="n"/>
      <c r="K863" s="19">
        <f>IF(AND(ISNUMBER(F863),ISNUMBER(G863)),(G863-F863)*1440,"")</f>
        <v/>
      </c>
      <c r="L863" s="19">
        <f>IF(AND(ISNUMBER(H863),ISNUMBER(I863)),(I863-H863)*1440,"")</f>
        <v/>
      </c>
      <c r="M863" s="15">
        <f>IF(ISNUMBER(F863),HOUR(F863),"")</f>
        <v/>
      </c>
    </row>
    <row r="864" ht="15.75" customHeight="1" s="36">
      <c r="A864" s="2" t="n"/>
      <c r="B864" s="12" t="n"/>
      <c r="C864" s="14" t="n"/>
      <c r="D864" s="14" t="n"/>
      <c r="E864" s="14" t="n"/>
      <c r="F864" s="18" t="n"/>
      <c r="G864" s="18" t="n"/>
      <c r="H864" s="18" t="n"/>
      <c r="I864" s="18" t="n"/>
      <c r="J864" s="14" t="n"/>
      <c r="K864" s="19">
        <f>IF(AND(ISNUMBER(F864),ISNUMBER(G864)),(G864-F864)*1440,"")</f>
        <v/>
      </c>
      <c r="L864" s="19">
        <f>IF(AND(ISNUMBER(H864),ISNUMBER(I864)),(I864-H864)*1440,"")</f>
        <v/>
      </c>
      <c r="M864" s="15">
        <f>IF(ISNUMBER(F864),HOUR(F864),"")</f>
        <v/>
      </c>
    </row>
    <row r="865" ht="15.75" customHeight="1" s="36">
      <c r="A865" s="2" t="n"/>
      <c r="B865" s="12" t="n"/>
      <c r="C865" s="14" t="n"/>
      <c r="D865" s="14" t="n"/>
      <c r="E865" s="14" t="n"/>
      <c r="F865" s="18" t="n"/>
      <c r="G865" s="18" t="n"/>
      <c r="H865" s="18" t="n"/>
      <c r="I865" s="18" t="n"/>
      <c r="J865" s="14" t="n"/>
      <c r="K865" s="19">
        <f>IF(AND(ISNUMBER(F865),ISNUMBER(G865)),(G865-F865)*1440,"")</f>
        <v/>
      </c>
      <c r="L865" s="19">
        <f>IF(AND(ISNUMBER(H865),ISNUMBER(I865)),(I865-H865)*1440,"")</f>
        <v/>
      </c>
      <c r="M865" s="15">
        <f>IF(ISNUMBER(F865),HOUR(F865),"")</f>
        <v/>
      </c>
    </row>
    <row r="866" ht="15.75" customHeight="1" s="36">
      <c r="A866" s="2" t="n"/>
      <c r="B866" s="12" t="n"/>
      <c r="C866" s="14" t="n"/>
      <c r="D866" s="14" t="n"/>
      <c r="E866" s="14" t="n"/>
      <c r="F866" s="18" t="n"/>
      <c r="G866" s="18" t="n"/>
      <c r="H866" s="18" t="n"/>
      <c r="I866" s="18" t="n"/>
      <c r="J866" s="14" t="n"/>
      <c r="K866" s="19">
        <f>IF(AND(ISNUMBER(F866),ISNUMBER(G866)),(G866-F866)*1440,"")</f>
        <v/>
      </c>
      <c r="L866" s="19">
        <f>IF(AND(ISNUMBER(H866),ISNUMBER(I866)),(I866-H866)*1440,"")</f>
        <v/>
      </c>
      <c r="M866" s="15">
        <f>IF(ISNUMBER(F866),HOUR(F866),"")</f>
        <v/>
      </c>
    </row>
    <row r="867" ht="15.75" customHeight="1" s="36">
      <c r="A867" s="2" t="n"/>
      <c r="B867" s="12" t="n"/>
      <c r="C867" s="14" t="n"/>
      <c r="D867" s="14" t="n"/>
      <c r="E867" s="14" t="n"/>
      <c r="F867" s="18" t="n"/>
      <c r="G867" s="18" t="n"/>
      <c r="H867" s="18" t="n"/>
      <c r="I867" s="18" t="n"/>
      <c r="J867" s="14" t="n"/>
      <c r="K867" s="19">
        <f>IF(AND(ISNUMBER(F867),ISNUMBER(G867)),(G867-F867)*1440,"")</f>
        <v/>
      </c>
      <c r="L867" s="19">
        <f>IF(AND(ISNUMBER(H867),ISNUMBER(I867)),(I867-H867)*1440,"")</f>
        <v/>
      </c>
      <c r="M867" s="15">
        <f>IF(ISNUMBER(F867),HOUR(F867),"")</f>
        <v/>
      </c>
    </row>
    <row r="868" ht="15.75" customHeight="1" s="36">
      <c r="A868" s="2" t="n"/>
      <c r="B868" s="12" t="n"/>
      <c r="C868" s="14" t="n"/>
      <c r="D868" s="14" t="n"/>
      <c r="E868" s="14" t="n"/>
      <c r="F868" s="18" t="n"/>
      <c r="G868" s="18" t="n"/>
      <c r="H868" s="18" t="n"/>
      <c r="I868" s="18" t="n"/>
      <c r="J868" s="14" t="n"/>
      <c r="K868" s="19">
        <f>IF(AND(ISNUMBER(F868),ISNUMBER(G868)),(G868-F868)*1440,"")</f>
        <v/>
      </c>
      <c r="L868" s="19">
        <f>IF(AND(ISNUMBER(H868),ISNUMBER(I868)),(I868-H868)*1440,"")</f>
        <v/>
      </c>
      <c r="M868" s="15">
        <f>IF(ISNUMBER(F868),HOUR(F868),"")</f>
        <v/>
      </c>
    </row>
    <row r="869" ht="15.75" customHeight="1" s="36">
      <c r="A869" s="2" t="n"/>
      <c r="B869" s="12" t="n"/>
      <c r="C869" s="14" t="n"/>
      <c r="D869" s="14" t="n"/>
      <c r="E869" s="14" t="n"/>
      <c r="F869" s="18" t="n"/>
      <c r="G869" s="18" t="n"/>
      <c r="H869" s="18" t="n"/>
      <c r="I869" s="18" t="n"/>
      <c r="J869" s="14" t="n"/>
      <c r="K869" s="19">
        <f>IF(AND(ISNUMBER(F869),ISNUMBER(G869)),(G869-F869)*1440,"")</f>
        <v/>
      </c>
      <c r="L869" s="19">
        <f>IF(AND(ISNUMBER(H869),ISNUMBER(I869)),(I869-H869)*1440,"")</f>
        <v/>
      </c>
      <c r="M869" s="15">
        <f>IF(ISNUMBER(F869),HOUR(F869),"")</f>
        <v/>
      </c>
    </row>
    <row r="870" ht="15.75" customHeight="1" s="36">
      <c r="A870" s="2" t="n"/>
      <c r="B870" s="12" t="n"/>
      <c r="C870" s="14" t="n"/>
      <c r="D870" s="14" t="n"/>
      <c r="E870" s="14" t="n"/>
      <c r="F870" s="18" t="n"/>
      <c r="G870" s="18" t="n"/>
      <c r="H870" s="18" t="n"/>
      <c r="I870" s="18" t="n"/>
      <c r="J870" s="14" t="n"/>
      <c r="K870" s="19">
        <f>IF(AND(ISNUMBER(F870),ISNUMBER(G870)),(G870-F870)*1440,"")</f>
        <v/>
      </c>
      <c r="L870" s="19">
        <f>IF(AND(ISNUMBER(H870),ISNUMBER(I870)),(I870-H870)*1440,"")</f>
        <v/>
      </c>
      <c r="M870" s="15">
        <f>IF(ISNUMBER(F870),HOUR(F870),"")</f>
        <v/>
      </c>
    </row>
    <row r="871" ht="15.75" customHeight="1" s="36">
      <c r="A871" s="2" t="n"/>
      <c r="B871" s="12" t="n"/>
      <c r="C871" s="14" t="n"/>
      <c r="D871" s="14" t="n"/>
      <c r="E871" s="14" t="n"/>
      <c r="F871" s="18" t="n"/>
      <c r="G871" s="18" t="n"/>
      <c r="H871" s="18" t="n"/>
      <c r="I871" s="18" t="n"/>
      <c r="J871" s="14" t="n"/>
      <c r="K871" s="19">
        <f>IF(AND(ISNUMBER(F871),ISNUMBER(G871)),(G871-F871)*1440,"")</f>
        <v/>
      </c>
      <c r="L871" s="19">
        <f>IF(AND(ISNUMBER(H871),ISNUMBER(I871)),(I871-H871)*1440,"")</f>
        <v/>
      </c>
      <c r="M871" s="15">
        <f>IF(ISNUMBER(F871),HOUR(F871),"")</f>
        <v/>
      </c>
    </row>
    <row r="872" ht="15.75" customHeight="1" s="36">
      <c r="A872" s="2" t="n"/>
      <c r="B872" s="12" t="n"/>
      <c r="C872" s="14" t="n"/>
      <c r="D872" s="14" t="n"/>
      <c r="E872" s="14" t="n"/>
      <c r="F872" s="18" t="n"/>
      <c r="G872" s="18" t="n"/>
      <c r="H872" s="18" t="n"/>
      <c r="I872" s="18" t="n"/>
      <c r="J872" s="14" t="n"/>
      <c r="K872" s="19">
        <f>IF(AND(ISNUMBER(F872),ISNUMBER(G872)),(G872-F872)*1440,"")</f>
        <v/>
      </c>
      <c r="L872" s="19">
        <f>IF(AND(ISNUMBER(H872),ISNUMBER(I872)),(I872-H872)*1440,"")</f>
        <v/>
      </c>
      <c r="M872" s="15">
        <f>IF(ISNUMBER(F872),HOUR(F872),"")</f>
        <v/>
      </c>
    </row>
    <row r="873" ht="15.75" customHeight="1" s="36">
      <c r="A873" s="2" t="n"/>
      <c r="B873" s="12" t="n"/>
      <c r="C873" s="14" t="n"/>
      <c r="D873" s="14" t="n"/>
      <c r="E873" s="14" t="n"/>
      <c r="F873" s="18" t="n"/>
      <c r="G873" s="18" t="n"/>
      <c r="H873" s="18" t="n"/>
      <c r="I873" s="18" t="n"/>
      <c r="J873" s="14" t="n"/>
      <c r="K873" s="19">
        <f>IF(AND(ISNUMBER(F873),ISNUMBER(G873)),(G873-F873)*1440,"")</f>
        <v/>
      </c>
      <c r="L873" s="19">
        <f>IF(AND(ISNUMBER(H873),ISNUMBER(I873)),(I873-H873)*1440,"")</f>
        <v/>
      </c>
      <c r="M873" s="15">
        <f>IF(ISNUMBER(F873),HOUR(F873),"")</f>
        <v/>
      </c>
    </row>
    <row r="874" ht="15.75" customHeight="1" s="36">
      <c r="A874" s="2" t="n"/>
      <c r="B874" s="12" t="n"/>
      <c r="C874" s="14" t="n"/>
      <c r="D874" s="14" t="n"/>
      <c r="E874" s="14" t="n"/>
      <c r="F874" s="18" t="n"/>
      <c r="G874" s="18" t="n"/>
      <c r="H874" s="18" t="n"/>
      <c r="I874" s="18" t="n"/>
      <c r="J874" s="14" t="n"/>
      <c r="K874" s="19">
        <f>IF(AND(ISNUMBER(F874),ISNUMBER(G874)),(G874-F874)*1440,"")</f>
        <v/>
      </c>
      <c r="L874" s="19">
        <f>IF(AND(ISNUMBER(H874),ISNUMBER(I874)),(I874-H874)*1440,"")</f>
        <v/>
      </c>
      <c r="M874" s="15">
        <f>IF(ISNUMBER(F874),HOUR(F874),"")</f>
        <v/>
      </c>
    </row>
    <row r="875" ht="15.75" customHeight="1" s="36">
      <c r="A875" s="2" t="n"/>
      <c r="B875" s="12" t="n"/>
      <c r="C875" s="14" t="n"/>
      <c r="D875" s="14" t="n"/>
      <c r="E875" s="14" t="n"/>
      <c r="F875" s="18" t="n"/>
      <c r="G875" s="18" t="n"/>
      <c r="H875" s="18" t="n"/>
      <c r="I875" s="18" t="n"/>
      <c r="J875" s="14" t="n"/>
      <c r="K875" s="19">
        <f>IF(AND(ISNUMBER(F875),ISNUMBER(G875)),(G875-F875)*1440,"")</f>
        <v/>
      </c>
      <c r="L875" s="19">
        <f>IF(AND(ISNUMBER(H875),ISNUMBER(I875)),(I875-H875)*1440,"")</f>
        <v/>
      </c>
      <c r="M875" s="15">
        <f>IF(ISNUMBER(F875),HOUR(F875),"")</f>
        <v/>
      </c>
    </row>
    <row r="876" ht="15.75" customHeight="1" s="36">
      <c r="A876" s="2" t="n"/>
      <c r="B876" s="12" t="n"/>
      <c r="C876" s="14" t="n"/>
      <c r="D876" s="14" t="n"/>
      <c r="E876" s="14" t="n"/>
      <c r="F876" s="18" t="n"/>
      <c r="G876" s="18" t="n"/>
      <c r="H876" s="18" t="n"/>
      <c r="I876" s="18" t="n"/>
      <c r="J876" s="14" t="n"/>
      <c r="K876" s="19">
        <f>IF(AND(ISNUMBER(F876),ISNUMBER(G876)),(G876-F876)*1440,"")</f>
        <v/>
      </c>
      <c r="L876" s="19">
        <f>IF(AND(ISNUMBER(H876),ISNUMBER(I876)),(I876-H876)*1440,"")</f>
        <v/>
      </c>
      <c r="M876" s="15">
        <f>IF(ISNUMBER(F876),HOUR(F876),"")</f>
        <v/>
      </c>
    </row>
    <row r="877" ht="15.75" customHeight="1" s="36">
      <c r="A877" s="2" t="n"/>
      <c r="B877" s="12" t="n"/>
      <c r="C877" s="14" t="n"/>
      <c r="D877" s="14" t="n"/>
      <c r="E877" s="14" t="n"/>
      <c r="F877" s="18" t="n"/>
      <c r="G877" s="18" t="n"/>
      <c r="H877" s="18" t="n"/>
      <c r="I877" s="18" t="n"/>
      <c r="J877" s="14" t="n"/>
      <c r="K877" s="19">
        <f>IF(AND(ISNUMBER(F877),ISNUMBER(G877)),(G877-F877)*1440,"")</f>
        <v/>
      </c>
      <c r="L877" s="19">
        <f>IF(AND(ISNUMBER(H877),ISNUMBER(I877)),(I877-H877)*1440,"")</f>
        <v/>
      </c>
      <c r="M877" s="15">
        <f>IF(ISNUMBER(F877),HOUR(F877),"")</f>
        <v/>
      </c>
    </row>
    <row r="878" ht="15.75" customHeight="1" s="36">
      <c r="A878" s="2" t="n"/>
      <c r="B878" s="12" t="n"/>
      <c r="C878" s="14" t="n"/>
      <c r="D878" s="14" t="n"/>
      <c r="E878" s="14" t="n"/>
      <c r="F878" s="18" t="n"/>
      <c r="G878" s="18" t="n"/>
      <c r="H878" s="18" t="n"/>
      <c r="I878" s="18" t="n"/>
      <c r="J878" s="14" t="n"/>
      <c r="K878" s="19">
        <f>IF(AND(ISNUMBER(F878),ISNUMBER(G878)),(G878-F878)*1440,"")</f>
        <v/>
      </c>
      <c r="L878" s="19">
        <f>IF(AND(ISNUMBER(H878),ISNUMBER(I878)),(I878-H878)*1440,"")</f>
        <v/>
      </c>
      <c r="M878" s="15">
        <f>IF(ISNUMBER(F878),HOUR(F878),"")</f>
        <v/>
      </c>
    </row>
    <row r="879" ht="15.75" customHeight="1" s="36">
      <c r="A879" s="2" t="n"/>
      <c r="B879" s="12" t="n"/>
      <c r="C879" s="14" t="n"/>
      <c r="D879" s="14" t="n"/>
      <c r="E879" s="14" t="n"/>
      <c r="F879" s="18" t="n"/>
      <c r="G879" s="18" t="n"/>
      <c r="H879" s="18" t="n"/>
      <c r="I879" s="18" t="n"/>
      <c r="J879" s="14" t="n"/>
      <c r="K879" s="19">
        <f>IF(AND(ISNUMBER(F879),ISNUMBER(G879)),(G879-F879)*1440,"")</f>
        <v/>
      </c>
      <c r="L879" s="19">
        <f>IF(AND(ISNUMBER(H879),ISNUMBER(I879)),(I879-H879)*1440,"")</f>
        <v/>
      </c>
      <c r="M879" s="15">
        <f>IF(ISNUMBER(F879),HOUR(F879),"")</f>
        <v/>
      </c>
    </row>
    <row r="880" ht="15.75" customHeight="1" s="36">
      <c r="A880" s="2" t="n"/>
      <c r="B880" s="12" t="n"/>
      <c r="C880" s="14" t="n"/>
      <c r="D880" s="14" t="n"/>
      <c r="E880" s="14" t="n"/>
      <c r="F880" s="18" t="n"/>
      <c r="G880" s="18" t="n"/>
      <c r="H880" s="18" t="n"/>
      <c r="I880" s="18" t="n"/>
      <c r="J880" s="14" t="n"/>
      <c r="K880" s="19">
        <f>IF(AND(ISNUMBER(F880),ISNUMBER(G880)),(G880-F880)*1440,"")</f>
        <v/>
      </c>
      <c r="L880" s="19">
        <f>IF(AND(ISNUMBER(H880),ISNUMBER(I880)),(I880-H880)*1440,"")</f>
        <v/>
      </c>
      <c r="M880" s="15">
        <f>IF(ISNUMBER(F880),HOUR(F880),"")</f>
        <v/>
      </c>
    </row>
    <row r="881" ht="15.75" customHeight="1" s="36">
      <c r="A881" s="2" t="n"/>
      <c r="B881" s="12" t="n"/>
      <c r="C881" s="14" t="n"/>
      <c r="D881" s="14" t="n"/>
      <c r="E881" s="14" t="n"/>
      <c r="F881" s="18" t="n"/>
      <c r="G881" s="18" t="n"/>
      <c r="H881" s="18" t="n"/>
      <c r="I881" s="18" t="n"/>
      <c r="J881" s="14" t="n"/>
      <c r="K881" s="19">
        <f>IF(AND(ISNUMBER(F881),ISNUMBER(G881)),(G881-F881)*1440,"")</f>
        <v/>
      </c>
      <c r="L881" s="19">
        <f>IF(AND(ISNUMBER(H881),ISNUMBER(I881)),(I881-H881)*1440,"")</f>
        <v/>
      </c>
      <c r="M881" s="15">
        <f>IF(ISNUMBER(F881),HOUR(F881),"")</f>
        <v/>
      </c>
    </row>
    <row r="882" ht="15.75" customHeight="1" s="36">
      <c r="A882" s="2" t="n"/>
      <c r="B882" s="12" t="n"/>
      <c r="C882" s="14" t="n"/>
      <c r="D882" s="14" t="n"/>
      <c r="E882" s="14" t="n"/>
      <c r="F882" s="18" t="n"/>
      <c r="G882" s="18" t="n"/>
      <c r="H882" s="18" t="n"/>
      <c r="I882" s="18" t="n"/>
      <c r="J882" s="14" t="n"/>
      <c r="K882" s="19">
        <f>IF(AND(ISNUMBER(F882),ISNUMBER(G882)),(G882-F882)*1440,"")</f>
        <v/>
      </c>
      <c r="L882" s="19">
        <f>IF(AND(ISNUMBER(H882),ISNUMBER(I882)),(I882-H882)*1440,"")</f>
        <v/>
      </c>
      <c r="M882" s="15">
        <f>IF(ISNUMBER(F882),HOUR(F882),"")</f>
        <v/>
      </c>
    </row>
    <row r="883" ht="15.75" customHeight="1" s="36">
      <c r="A883" s="2" t="n"/>
      <c r="B883" s="12" t="n"/>
      <c r="C883" s="14" t="n"/>
      <c r="D883" s="14" t="n"/>
      <c r="E883" s="14" t="n"/>
      <c r="F883" s="18" t="n"/>
      <c r="G883" s="18" t="n"/>
      <c r="H883" s="18" t="n"/>
      <c r="I883" s="18" t="n"/>
      <c r="J883" s="14" t="n"/>
      <c r="K883" s="19">
        <f>IF(AND(ISNUMBER(F883),ISNUMBER(G883)),(G883-F883)*1440,"")</f>
        <v/>
      </c>
      <c r="L883" s="19">
        <f>IF(AND(ISNUMBER(H883),ISNUMBER(I883)),(I883-H883)*1440,"")</f>
        <v/>
      </c>
      <c r="M883" s="15">
        <f>IF(ISNUMBER(F883),HOUR(F883),"")</f>
        <v/>
      </c>
    </row>
    <row r="884" ht="15.75" customHeight="1" s="36">
      <c r="A884" s="2" t="n"/>
      <c r="B884" s="12" t="n"/>
      <c r="C884" s="14" t="n"/>
      <c r="D884" s="14" t="n"/>
      <c r="E884" s="14" t="n"/>
      <c r="F884" s="18" t="n"/>
      <c r="G884" s="18" t="n"/>
      <c r="H884" s="18" t="n"/>
      <c r="I884" s="18" t="n"/>
      <c r="J884" s="14" t="n"/>
      <c r="K884" s="19">
        <f>IF(AND(ISNUMBER(F884),ISNUMBER(G884)),(G884-F884)*1440,"")</f>
        <v/>
      </c>
      <c r="L884" s="19">
        <f>IF(AND(ISNUMBER(H884),ISNUMBER(I884)),(I884-H884)*1440,"")</f>
        <v/>
      </c>
      <c r="M884" s="15">
        <f>IF(ISNUMBER(F884),HOUR(F884),"")</f>
        <v/>
      </c>
    </row>
    <row r="885" ht="15.75" customHeight="1" s="36">
      <c r="A885" s="2" t="n"/>
      <c r="B885" s="12" t="n"/>
      <c r="C885" s="14" t="n"/>
      <c r="D885" s="14" t="n"/>
      <c r="E885" s="14" t="n"/>
      <c r="F885" s="18" t="n"/>
      <c r="G885" s="18" t="n"/>
      <c r="H885" s="18" t="n"/>
      <c r="I885" s="18" t="n"/>
      <c r="J885" s="14" t="n"/>
      <c r="K885" s="19">
        <f>IF(AND(ISNUMBER(F885),ISNUMBER(G885)),(G885-F885)*1440,"")</f>
        <v/>
      </c>
      <c r="L885" s="19">
        <f>IF(AND(ISNUMBER(H885),ISNUMBER(I885)),(I885-H885)*1440,"")</f>
        <v/>
      </c>
      <c r="M885" s="15">
        <f>IF(ISNUMBER(F885),HOUR(F885),"")</f>
        <v/>
      </c>
    </row>
    <row r="886" ht="15.75" customHeight="1" s="36">
      <c r="A886" s="2" t="n"/>
      <c r="B886" s="12" t="n"/>
      <c r="C886" s="14" t="n"/>
      <c r="D886" s="14" t="n"/>
      <c r="E886" s="14" t="n"/>
      <c r="F886" s="18" t="n"/>
      <c r="G886" s="18" t="n"/>
      <c r="H886" s="18" t="n"/>
      <c r="I886" s="18" t="n"/>
      <c r="J886" s="14" t="n"/>
      <c r="K886" s="19">
        <f>IF(AND(ISNUMBER(F886),ISNUMBER(G886)),(G886-F886)*1440,"")</f>
        <v/>
      </c>
      <c r="L886" s="19">
        <f>IF(AND(ISNUMBER(H886),ISNUMBER(I886)),(I886-H886)*1440,"")</f>
        <v/>
      </c>
      <c r="M886" s="15">
        <f>IF(ISNUMBER(F886),HOUR(F886),"")</f>
        <v/>
      </c>
    </row>
    <row r="887" ht="15.75" customHeight="1" s="36">
      <c r="A887" s="2" t="n"/>
      <c r="B887" s="12" t="n"/>
      <c r="C887" s="14" t="n"/>
      <c r="D887" s="14" t="n"/>
      <c r="E887" s="14" t="n"/>
      <c r="F887" s="18" t="n"/>
      <c r="G887" s="18" t="n"/>
      <c r="H887" s="18" t="n"/>
      <c r="I887" s="18" t="n"/>
      <c r="J887" s="14" t="n"/>
      <c r="K887" s="19">
        <f>IF(AND(ISNUMBER(F887),ISNUMBER(G887)),(G887-F887)*1440,"")</f>
        <v/>
      </c>
      <c r="L887" s="19">
        <f>IF(AND(ISNUMBER(H887),ISNUMBER(I887)),(I887-H887)*1440,"")</f>
        <v/>
      </c>
      <c r="M887" s="15">
        <f>IF(ISNUMBER(F887),HOUR(F887),"")</f>
        <v/>
      </c>
    </row>
    <row r="888" ht="15.75" customHeight="1" s="36">
      <c r="A888" s="2" t="n"/>
      <c r="B888" s="12" t="n"/>
      <c r="C888" s="14" t="n"/>
      <c r="D888" s="14" t="n"/>
      <c r="E888" s="14" t="n"/>
      <c r="F888" s="18" t="n"/>
      <c r="G888" s="18" t="n"/>
      <c r="H888" s="18" t="n"/>
      <c r="I888" s="18" t="n"/>
      <c r="J888" s="14" t="n"/>
      <c r="K888" s="19">
        <f>IF(AND(ISNUMBER(F888),ISNUMBER(G888)),(G888-F888)*1440,"")</f>
        <v/>
      </c>
      <c r="L888" s="19">
        <f>IF(AND(ISNUMBER(H888),ISNUMBER(I888)),(I888-H888)*1440,"")</f>
        <v/>
      </c>
      <c r="M888" s="15">
        <f>IF(ISNUMBER(F888),HOUR(F888),"")</f>
        <v/>
      </c>
    </row>
    <row r="889" ht="15.75" customHeight="1" s="36">
      <c r="A889" s="2" t="n"/>
      <c r="B889" s="12" t="n"/>
      <c r="C889" s="14" t="n"/>
      <c r="D889" s="14" t="n"/>
      <c r="E889" s="14" t="n"/>
      <c r="F889" s="18" t="n"/>
      <c r="G889" s="18" t="n"/>
      <c r="H889" s="18" t="n"/>
      <c r="I889" s="18" t="n"/>
      <c r="J889" s="14" t="n"/>
      <c r="K889" s="19">
        <f>IF(AND(ISNUMBER(F889),ISNUMBER(G889)),(G889-F889)*1440,"")</f>
        <v/>
      </c>
      <c r="L889" s="19">
        <f>IF(AND(ISNUMBER(H889),ISNUMBER(I889)),(I889-H889)*1440,"")</f>
        <v/>
      </c>
      <c r="M889" s="15">
        <f>IF(ISNUMBER(F889),HOUR(F889),"")</f>
        <v/>
      </c>
    </row>
    <row r="890" ht="15.75" customHeight="1" s="36">
      <c r="A890" s="2" t="n"/>
      <c r="B890" s="12" t="n"/>
      <c r="C890" s="14" t="n"/>
      <c r="D890" s="14" t="n"/>
      <c r="E890" s="14" t="n"/>
      <c r="F890" s="18" t="n"/>
      <c r="G890" s="18" t="n"/>
      <c r="H890" s="18" t="n"/>
      <c r="I890" s="18" t="n"/>
      <c r="J890" s="14" t="n"/>
      <c r="K890" s="19">
        <f>IF(AND(ISNUMBER(F890),ISNUMBER(G890)),(G890-F890)*1440,"")</f>
        <v/>
      </c>
      <c r="L890" s="19">
        <f>IF(AND(ISNUMBER(H890),ISNUMBER(I890)),(I890-H890)*1440,"")</f>
        <v/>
      </c>
      <c r="M890" s="15">
        <f>IF(ISNUMBER(F890),HOUR(F890),"")</f>
        <v/>
      </c>
    </row>
    <row r="891" ht="15.75" customHeight="1" s="36">
      <c r="A891" s="2" t="n"/>
      <c r="B891" s="12" t="n"/>
      <c r="C891" s="14" t="n"/>
      <c r="D891" s="14" t="n"/>
      <c r="E891" s="14" t="n"/>
      <c r="F891" s="18" t="n"/>
      <c r="G891" s="18" t="n"/>
      <c r="H891" s="18" t="n"/>
      <c r="I891" s="18" t="n"/>
      <c r="J891" s="14" t="n"/>
      <c r="K891" s="19">
        <f>IF(AND(ISNUMBER(F891),ISNUMBER(G891)),(G891-F891)*1440,"")</f>
        <v/>
      </c>
      <c r="L891" s="19">
        <f>IF(AND(ISNUMBER(H891),ISNUMBER(I891)),(I891-H891)*1440,"")</f>
        <v/>
      </c>
      <c r="M891" s="15">
        <f>IF(ISNUMBER(F891),HOUR(F891),"")</f>
        <v/>
      </c>
    </row>
    <row r="892" ht="15.75" customHeight="1" s="36">
      <c r="A892" s="2" t="n"/>
      <c r="B892" s="12" t="n"/>
      <c r="C892" s="14" t="n"/>
      <c r="D892" s="14" t="n"/>
      <c r="E892" s="14" t="n"/>
      <c r="F892" s="18" t="n"/>
      <c r="G892" s="18" t="n"/>
      <c r="H892" s="18" t="n"/>
      <c r="I892" s="18" t="n"/>
      <c r="J892" s="14" t="n"/>
      <c r="K892" s="19">
        <f>IF(AND(ISNUMBER(F892),ISNUMBER(G892)),(G892-F892)*1440,"")</f>
        <v/>
      </c>
      <c r="L892" s="19">
        <f>IF(AND(ISNUMBER(H892),ISNUMBER(I892)),(I892-H892)*1440,"")</f>
        <v/>
      </c>
      <c r="M892" s="15">
        <f>IF(ISNUMBER(F892),HOUR(F892),"")</f>
        <v/>
      </c>
    </row>
    <row r="893" ht="15.75" customHeight="1" s="36">
      <c r="A893" s="2" t="n"/>
      <c r="B893" s="12" t="n"/>
      <c r="C893" s="14" t="n"/>
      <c r="D893" s="14" t="n"/>
      <c r="E893" s="14" t="n"/>
      <c r="F893" s="18" t="n"/>
      <c r="G893" s="18" t="n"/>
      <c r="H893" s="18" t="n"/>
      <c r="I893" s="18" t="n"/>
      <c r="J893" s="14" t="n"/>
      <c r="K893" s="19">
        <f>IF(AND(ISNUMBER(F893),ISNUMBER(G893)),(G893-F893)*1440,"")</f>
        <v/>
      </c>
      <c r="L893" s="19">
        <f>IF(AND(ISNUMBER(H893),ISNUMBER(I893)),(I893-H893)*1440,"")</f>
        <v/>
      </c>
      <c r="M893" s="15">
        <f>IF(ISNUMBER(F893),HOUR(F893),"")</f>
        <v/>
      </c>
    </row>
    <row r="894" ht="15.75" customHeight="1" s="36">
      <c r="A894" s="2" t="n"/>
      <c r="B894" s="12" t="n"/>
      <c r="C894" s="14" t="n"/>
      <c r="D894" s="14" t="n"/>
      <c r="E894" s="14" t="n"/>
      <c r="F894" s="18" t="n"/>
      <c r="G894" s="18" t="n"/>
      <c r="H894" s="18" t="n"/>
      <c r="I894" s="18" t="n"/>
      <c r="J894" s="14" t="n"/>
      <c r="K894" s="19">
        <f>IF(AND(ISNUMBER(F894),ISNUMBER(G894)),(G894-F894)*1440,"")</f>
        <v/>
      </c>
      <c r="L894" s="19">
        <f>IF(AND(ISNUMBER(H894),ISNUMBER(I894)),(I894-H894)*1440,"")</f>
        <v/>
      </c>
      <c r="M894" s="15">
        <f>IF(ISNUMBER(F894),HOUR(F894),"")</f>
        <v/>
      </c>
    </row>
    <row r="895" ht="15.75" customHeight="1" s="36">
      <c r="A895" s="2" t="n"/>
      <c r="B895" s="12" t="n"/>
      <c r="C895" s="14" t="n"/>
      <c r="D895" s="14" t="n"/>
      <c r="E895" s="14" t="n"/>
      <c r="F895" s="18" t="n"/>
      <c r="G895" s="18" t="n"/>
      <c r="H895" s="18" t="n"/>
      <c r="I895" s="18" t="n"/>
      <c r="J895" s="14" t="n"/>
      <c r="K895" s="19">
        <f>IF(AND(ISNUMBER(F895),ISNUMBER(G895)),(G895-F895)*1440,"")</f>
        <v/>
      </c>
      <c r="L895" s="19">
        <f>IF(AND(ISNUMBER(H895),ISNUMBER(I895)),(I895-H895)*1440,"")</f>
        <v/>
      </c>
      <c r="M895" s="15">
        <f>IF(ISNUMBER(F895),HOUR(F895),"")</f>
        <v/>
      </c>
    </row>
    <row r="896" ht="15.75" customHeight="1" s="36">
      <c r="A896" s="2" t="n"/>
      <c r="B896" s="12" t="n"/>
      <c r="C896" s="14" t="n"/>
      <c r="D896" s="14" t="n"/>
      <c r="E896" s="14" t="n"/>
      <c r="F896" s="18" t="n"/>
      <c r="G896" s="18" t="n"/>
      <c r="H896" s="18" t="n"/>
      <c r="I896" s="18" t="n"/>
      <c r="J896" s="14" t="n"/>
      <c r="K896" s="19">
        <f>IF(AND(ISNUMBER(F896),ISNUMBER(G896)),(G896-F896)*1440,"")</f>
        <v/>
      </c>
      <c r="L896" s="19">
        <f>IF(AND(ISNUMBER(H896),ISNUMBER(I896)),(I896-H896)*1440,"")</f>
        <v/>
      </c>
      <c r="M896" s="15">
        <f>IF(ISNUMBER(F896),HOUR(F896),"")</f>
        <v/>
      </c>
    </row>
    <row r="897" ht="15.75" customHeight="1" s="36">
      <c r="A897" s="2" t="n"/>
      <c r="B897" s="12" t="n"/>
      <c r="C897" s="14" t="n"/>
      <c r="D897" s="14" t="n"/>
      <c r="E897" s="14" t="n"/>
      <c r="F897" s="18" t="n"/>
      <c r="G897" s="18" t="n"/>
      <c r="H897" s="18" t="n"/>
      <c r="I897" s="18" t="n"/>
      <c r="J897" s="14" t="n"/>
      <c r="K897" s="19">
        <f>IF(AND(ISNUMBER(F897),ISNUMBER(G897)),(G897-F897)*1440,"")</f>
        <v/>
      </c>
      <c r="L897" s="19">
        <f>IF(AND(ISNUMBER(H897),ISNUMBER(I897)),(I897-H897)*1440,"")</f>
        <v/>
      </c>
      <c r="M897" s="15">
        <f>IF(ISNUMBER(F897),HOUR(F897),"")</f>
        <v/>
      </c>
    </row>
    <row r="898" ht="15.75" customHeight="1" s="36">
      <c r="A898" s="2" t="n"/>
      <c r="B898" s="12" t="n"/>
      <c r="C898" s="14" t="n"/>
      <c r="D898" s="14" t="n"/>
      <c r="E898" s="14" t="n"/>
      <c r="F898" s="18" t="n"/>
      <c r="G898" s="18" t="n"/>
      <c r="H898" s="18" t="n"/>
      <c r="I898" s="18" t="n"/>
      <c r="J898" s="14" t="n"/>
      <c r="K898" s="19">
        <f>IF(AND(ISNUMBER(F898),ISNUMBER(G898)),(G898-F898)*1440,"")</f>
        <v/>
      </c>
      <c r="L898" s="19">
        <f>IF(AND(ISNUMBER(H898),ISNUMBER(I898)),(I898-H898)*1440,"")</f>
        <v/>
      </c>
      <c r="M898" s="15">
        <f>IF(ISNUMBER(F898),HOUR(F898),"")</f>
        <v/>
      </c>
    </row>
    <row r="899" ht="15.75" customHeight="1" s="36">
      <c r="A899" s="2" t="n"/>
      <c r="B899" s="12" t="n"/>
      <c r="C899" s="14" t="n"/>
      <c r="D899" s="14" t="n"/>
      <c r="E899" s="14" t="n"/>
      <c r="F899" s="18" t="n"/>
      <c r="G899" s="18" t="n"/>
      <c r="H899" s="18" t="n"/>
      <c r="I899" s="18" t="n"/>
      <c r="J899" s="14" t="n"/>
      <c r="K899" s="19">
        <f>IF(AND(ISNUMBER(F899),ISNUMBER(G899)),(G899-F899)*1440,"")</f>
        <v/>
      </c>
      <c r="L899" s="19">
        <f>IF(AND(ISNUMBER(H899),ISNUMBER(I899)),(I899-H899)*1440,"")</f>
        <v/>
      </c>
      <c r="M899" s="15">
        <f>IF(ISNUMBER(F899),HOUR(F899),"")</f>
        <v/>
      </c>
    </row>
    <row r="900" ht="15.75" customHeight="1" s="36">
      <c r="A900" s="2" t="n"/>
      <c r="B900" s="12" t="n"/>
      <c r="C900" s="14" t="n"/>
      <c r="D900" s="14" t="n"/>
      <c r="E900" s="14" t="n"/>
      <c r="F900" s="18" t="n"/>
      <c r="G900" s="18" t="n"/>
      <c r="H900" s="18" t="n"/>
      <c r="I900" s="18" t="n"/>
      <c r="J900" s="14" t="n"/>
      <c r="K900" s="19">
        <f>IF(AND(ISNUMBER(F900),ISNUMBER(G900)),(G900-F900)*1440,"")</f>
        <v/>
      </c>
      <c r="L900" s="19">
        <f>IF(AND(ISNUMBER(H900),ISNUMBER(I900)),(I900-H900)*1440,"")</f>
        <v/>
      </c>
      <c r="M900" s="15">
        <f>IF(ISNUMBER(F900),HOUR(F900),"")</f>
        <v/>
      </c>
    </row>
    <row r="901" ht="15.75" customHeight="1" s="36">
      <c r="A901" s="2" t="n"/>
      <c r="B901" s="12" t="n"/>
      <c r="C901" s="14" t="n"/>
      <c r="D901" s="14" t="n"/>
      <c r="E901" s="14" t="n"/>
      <c r="F901" s="18" t="n"/>
      <c r="G901" s="18" t="n"/>
      <c r="H901" s="18" t="n"/>
      <c r="I901" s="18" t="n"/>
      <c r="J901" s="14" t="n"/>
      <c r="K901" s="19">
        <f>IF(AND(ISNUMBER(F901),ISNUMBER(G901)),(G901-F901)*1440,"")</f>
        <v/>
      </c>
      <c r="L901" s="19">
        <f>IF(AND(ISNUMBER(H901),ISNUMBER(I901)),(I901-H901)*1440,"")</f>
        <v/>
      </c>
      <c r="M901" s="15">
        <f>IF(ISNUMBER(F901),HOUR(F901),"")</f>
        <v/>
      </c>
    </row>
    <row r="902" ht="15.75" customHeight="1" s="36">
      <c r="A902" s="2" t="n"/>
      <c r="B902" s="12" t="n"/>
      <c r="C902" s="14" t="n"/>
      <c r="D902" s="14" t="n"/>
      <c r="E902" s="14" t="n"/>
      <c r="F902" s="18" t="n"/>
      <c r="G902" s="18" t="n"/>
      <c r="H902" s="18" t="n"/>
      <c r="I902" s="18" t="n"/>
      <c r="J902" s="14" t="n"/>
      <c r="K902" s="19">
        <f>IF(AND(ISNUMBER(F902),ISNUMBER(G902)),(G902-F902)*1440,"")</f>
        <v/>
      </c>
      <c r="L902" s="19">
        <f>IF(AND(ISNUMBER(H902),ISNUMBER(I902)),(I902-H902)*1440,"")</f>
        <v/>
      </c>
      <c r="M902" s="15">
        <f>IF(ISNUMBER(F902),HOUR(F902),"")</f>
        <v/>
      </c>
    </row>
    <row r="903" ht="15.75" customHeight="1" s="36">
      <c r="A903" s="2" t="n"/>
      <c r="B903" s="12" t="n"/>
      <c r="C903" s="14" t="n"/>
      <c r="D903" s="14" t="n"/>
      <c r="E903" s="14" t="n"/>
      <c r="F903" s="18" t="n"/>
      <c r="G903" s="18" t="n"/>
      <c r="H903" s="18" t="n"/>
      <c r="I903" s="18" t="n"/>
      <c r="J903" s="14" t="n"/>
      <c r="K903" s="19">
        <f>IF(AND(ISNUMBER(F903),ISNUMBER(G903)),(G903-F903)*1440,"")</f>
        <v/>
      </c>
      <c r="L903" s="19">
        <f>IF(AND(ISNUMBER(H903),ISNUMBER(I903)),(I903-H903)*1440,"")</f>
        <v/>
      </c>
      <c r="M903" s="15">
        <f>IF(ISNUMBER(F903),HOUR(F903),"")</f>
        <v/>
      </c>
    </row>
    <row r="904" ht="15.75" customHeight="1" s="36">
      <c r="A904" s="2" t="n"/>
      <c r="B904" s="12" t="n"/>
      <c r="C904" s="14" t="n"/>
      <c r="D904" s="14" t="n"/>
      <c r="E904" s="14" t="n"/>
      <c r="F904" s="18" t="n"/>
      <c r="G904" s="18" t="n"/>
      <c r="H904" s="18" t="n"/>
      <c r="I904" s="18" t="n"/>
      <c r="J904" s="14" t="n"/>
      <c r="K904" s="19">
        <f>IF(AND(ISNUMBER(F904),ISNUMBER(G904)),(G904-F904)*1440,"")</f>
        <v/>
      </c>
      <c r="L904" s="19">
        <f>IF(AND(ISNUMBER(H904),ISNUMBER(I904)),(I904-H904)*1440,"")</f>
        <v/>
      </c>
      <c r="M904" s="15">
        <f>IF(ISNUMBER(F904),HOUR(F904),"")</f>
        <v/>
      </c>
    </row>
    <row r="905" ht="15.75" customHeight="1" s="36">
      <c r="A905" s="2" t="n"/>
      <c r="B905" s="12" t="n"/>
      <c r="C905" s="14" t="n"/>
      <c r="D905" s="14" t="n"/>
      <c r="E905" s="14" t="n"/>
      <c r="F905" s="18" t="n"/>
      <c r="G905" s="18" t="n"/>
      <c r="H905" s="18" t="n"/>
      <c r="I905" s="18" t="n"/>
      <c r="J905" s="14" t="n"/>
      <c r="K905" s="19">
        <f>IF(AND(ISNUMBER(F905),ISNUMBER(G905)),(G905-F905)*1440,"")</f>
        <v/>
      </c>
      <c r="L905" s="19">
        <f>IF(AND(ISNUMBER(H905),ISNUMBER(I905)),(I905-H905)*1440,"")</f>
        <v/>
      </c>
      <c r="M905" s="15">
        <f>IF(ISNUMBER(F905),HOUR(F905),"")</f>
        <v/>
      </c>
    </row>
    <row r="906" ht="15.75" customHeight="1" s="36">
      <c r="A906" s="2" t="n"/>
      <c r="B906" s="12" t="n"/>
      <c r="C906" s="14" t="n"/>
      <c r="D906" s="14" t="n"/>
      <c r="E906" s="14" t="n"/>
      <c r="F906" s="18" t="n"/>
      <c r="G906" s="18" t="n"/>
      <c r="H906" s="18" t="n"/>
      <c r="I906" s="18" t="n"/>
      <c r="J906" s="14" t="n"/>
      <c r="K906" s="19">
        <f>IF(AND(ISNUMBER(F906),ISNUMBER(G906)),(G906-F906)*1440,"")</f>
        <v/>
      </c>
      <c r="L906" s="19">
        <f>IF(AND(ISNUMBER(H906),ISNUMBER(I906)),(I906-H906)*1440,"")</f>
        <v/>
      </c>
      <c r="M906" s="15">
        <f>IF(ISNUMBER(F906),HOUR(F906),"")</f>
        <v/>
      </c>
    </row>
    <row r="907" ht="15.75" customHeight="1" s="36">
      <c r="A907" s="2" t="n"/>
      <c r="B907" s="12" t="n"/>
      <c r="C907" s="14" t="n"/>
      <c r="D907" s="14" t="n"/>
      <c r="E907" s="14" t="n"/>
      <c r="F907" s="18" t="n"/>
      <c r="G907" s="18" t="n"/>
      <c r="H907" s="18" t="n"/>
      <c r="I907" s="18" t="n"/>
      <c r="J907" s="14" t="n"/>
      <c r="K907" s="19">
        <f>IF(AND(ISNUMBER(F907),ISNUMBER(G907)),(G907-F907)*1440,"")</f>
        <v/>
      </c>
      <c r="L907" s="19">
        <f>IF(AND(ISNUMBER(H907),ISNUMBER(I907)),(I907-H907)*1440,"")</f>
        <v/>
      </c>
      <c r="M907" s="15">
        <f>IF(ISNUMBER(F907),HOUR(F907),"")</f>
        <v/>
      </c>
    </row>
    <row r="908" ht="15.75" customHeight="1" s="36">
      <c r="A908" s="2" t="n"/>
      <c r="B908" s="12" t="n"/>
      <c r="C908" s="14" t="n"/>
      <c r="D908" s="14" t="n"/>
      <c r="E908" s="14" t="n"/>
      <c r="F908" s="18" t="n"/>
      <c r="G908" s="18" t="n"/>
      <c r="H908" s="18" t="n"/>
      <c r="I908" s="18" t="n"/>
      <c r="J908" s="14" t="n"/>
      <c r="K908" s="19">
        <f>IF(AND(ISNUMBER(F908),ISNUMBER(G908)),(G908-F908)*1440,"")</f>
        <v/>
      </c>
      <c r="L908" s="19">
        <f>IF(AND(ISNUMBER(H908),ISNUMBER(I908)),(I908-H908)*1440,"")</f>
        <v/>
      </c>
      <c r="M908" s="15">
        <f>IF(ISNUMBER(F908),HOUR(F908),"")</f>
        <v/>
      </c>
    </row>
    <row r="909" ht="15.75" customHeight="1" s="36">
      <c r="A909" s="2" t="n"/>
      <c r="B909" s="12" t="n"/>
      <c r="C909" s="14" t="n"/>
      <c r="D909" s="14" t="n"/>
      <c r="E909" s="14" t="n"/>
      <c r="F909" s="18" t="n"/>
      <c r="G909" s="18" t="n"/>
      <c r="H909" s="18" t="n"/>
      <c r="I909" s="18" t="n"/>
      <c r="J909" s="14" t="n"/>
      <c r="K909" s="19">
        <f>IF(AND(ISNUMBER(F909),ISNUMBER(G909)),(G909-F909)*1440,"")</f>
        <v/>
      </c>
      <c r="L909" s="19">
        <f>IF(AND(ISNUMBER(H909),ISNUMBER(I909)),(I909-H909)*1440,"")</f>
        <v/>
      </c>
      <c r="M909" s="15">
        <f>IF(ISNUMBER(F909),HOUR(F909),"")</f>
        <v/>
      </c>
    </row>
    <row r="910" ht="15.75" customHeight="1" s="36">
      <c r="A910" s="2" t="n"/>
      <c r="B910" s="12" t="n"/>
      <c r="C910" s="14" t="n"/>
      <c r="D910" s="14" t="n"/>
      <c r="E910" s="14" t="n"/>
      <c r="F910" s="18" t="n"/>
      <c r="G910" s="18" t="n"/>
      <c r="H910" s="18" t="n"/>
      <c r="I910" s="18" t="n"/>
      <c r="J910" s="14" t="n"/>
      <c r="K910" s="19">
        <f>IF(AND(ISNUMBER(F910),ISNUMBER(G910)),(G910-F910)*1440,"")</f>
        <v/>
      </c>
      <c r="L910" s="19">
        <f>IF(AND(ISNUMBER(H910),ISNUMBER(I910)),(I910-H910)*1440,"")</f>
        <v/>
      </c>
      <c r="M910" s="15">
        <f>IF(ISNUMBER(F910),HOUR(F910),"")</f>
        <v/>
      </c>
    </row>
    <row r="911" ht="15.75" customHeight="1" s="36">
      <c r="A911" s="2" t="n"/>
      <c r="B911" s="12" t="n"/>
      <c r="C911" s="14" t="n"/>
      <c r="D911" s="14" t="n"/>
      <c r="E911" s="14" t="n"/>
      <c r="F911" s="18" t="n"/>
      <c r="G911" s="18" t="n"/>
      <c r="H911" s="18" t="n"/>
      <c r="I911" s="18" t="n"/>
      <c r="J911" s="14" t="n"/>
      <c r="K911" s="19">
        <f>IF(AND(ISNUMBER(F911),ISNUMBER(G911)),(G911-F911)*1440,"")</f>
        <v/>
      </c>
      <c r="L911" s="19">
        <f>IF(AND(ISNUMBER(H911),ISNUMBER(I911)),(I911-H911)*1440,"")</f>
        <v/>
      </c>
      <c r="M911" s="15">
        <f>IF(ISNUMBER(F911),HOUR(F911),"")</f>
        <v/>
      </c>
    </row>
    <row r="912" ht="15.75" customHeight="1" s="36">
      <c r="A912" s="2" t="n"/>
      <c r="B912" s="12" t="n"/>
      <c r="C912" s="14" t="n"/>
      <c r="D912" s="14" t="n"/>
      <c r="E912" s="14" t="n"/>
      <c r="F912" s="18" t="n"/>
      <c r="G912" s="18" t="n"/>
      <c r="H912" s="18" t="n"/>
      <c r="I912" s="18" t="n"/>
      <c r="J912" s="14" t="n"/>
      <c r="K912" s="19">
        <f>IF(AND(ISNUMBER(F912),ISNUMBER(G912)),(G912-F912)*1440,"")</f>
        <v/>
      </c>
      <c r="L912" s="19">
        <f>IF(AND(ISNUMBER(H912),ISNUMBER(I912)),(I912-H912)*1440,"")</f>
        <v/>
      </c>
      <c r="M912" s="15">
        <f>IF(ISNUMBER(F912),HOUR(F912),"")</f>
        <v/>
      </c>
    </row>
    <row r="913" ht="15.75" customHeight="1" s="36">
      <c r="A913" s="2" t="n"/>
      <c r="B913" s="12" t="n"/>
      <c r="C913" s="14" t="n"/>
      <c r="D913" s="14" t="n"/>
      <c r="E913" s="14" t="n"/>
      <c r="F913" s="18" t="n"/>
      <c r="G913" s="18" t="n"/>
      <c r="H913" s="18" t="n"/>
      <c r="I913" s="18" t="n"/>
      <c r="J913" s="14" t="n"/>
      <c r="K913" s="19">
        <f>IF(AND(ISNUMBER(F913),ISNUMBER(G913)),(G913-F913)*1440,"")</f>
        <v/>
      </c>
      <c r="L913" s="19">
        <f>IF(AND(ISNUMBER(H913),ISNUMBER(I913)),(I913-H913)*1440,"")</f>
        <v/>
      </c>
      <c r="M913" s="15">
        <f>IF(ISNUMBER(F913),HOUR(F913),"")</f>
        <v/>
      </c>
    </row>
    <row r="914" ht="15.75" customHeight="1" s="36">
      <c r="A914" s="2" t="n"/>
      <c r="B914" s="12" t="n"/>
      <c r="C914" s="14" t="n"/>
      <c r="D914" s="14" t="n"/>
      <c r="E914" s="14" t="n"/>
      <c r="F914" s="18" t="n"/>
      <c r="G914" s="18" t="n"/>
      <c r="H914" s="18" t="n"/>
      <c r="I914" s="18" t="n"/>
      <c r="J914" s="14" t="n"/>
      <c r="K914" s="19">
        <f>IF(AND(ISNUMBER(F914),ISNUMBER(G914)),(G914-F914)*1440,"")</f>
        <v/>
      </c>
      <c r="L914" s="19">
        <f>IF(AND(ISNUMBER(H914),ISNUMBER(I914)),(I914-H914)*1440,"")</f>
        <v/>
      </c>
      <c r="M914" s="15">
        <f>IF(ISNUMBER(F914),HOUR(F914),"")</f>
        <v/>
      </c>
    </row>
    <row r="915" ht="15.75" customHeight="1" s="36">
      <c r="A915" s="2" t="n"/>
      <c r="B915" s="12" t="n"/>
      <c r="C915" s="14" t="n"/>
      <c r="D915" s="14" t="n"/>
      <c r="E915" s="14" t="n"/>
      <c r="F915" s="18" t="n"/>
      <c r="G915" s="18" t="n"/>
      <c r="H915" s="18" t="n"/>
      <c r="I915" s="18" t="n"/>
      <c r="J915" s="14" t="n"/>
      <c r="K915" s="19">
        <f>IF(AND(ISNUMBER(F915),ISNUMBER(G915)),(G915-F915)*1440,"")</f>
        <v/>
      </c>
      <c r="L915" s="19">
        <f>IF(AND(ISNUMBER(H915),ISNUMBER(I915)),(I915-H915)*1440,"")</f>
        <v/>
      </c>
      <c r="M915" s="15">
        <f>IF(ISNUMBER(F915),HOUR(F915),"")</f>
        <v/>
      </c>
    </row>
    <row r="916" ht="15.75" customHeight="1" s="36">
      <c r="A916" s="2" t="n"/>
      <c r="B916" s="12" t="n"/>
      <c r="C916" s="14" t="n"/>
      <c r="D916" s="14" t="n"/>
      <c r="E916" s="14" t="n"/>
      <c r="F916" s="18" t="n"/>
      <c r="G916" s="18" t="n"/>
      <c r="H916" s="18" t="n"/>
      <c r="I916" s="18" t="n"/>
      <c r="J916" s="14" t="n"/>
      <c r="K916" s="19">
        <f>IF(AND(ISNUMBER(F916),ISNUMBER(G916)),(G916-F916)*1440,"")</f>
        <v/>
      </c>
      <c r="L916" s="19">
        <f>IF(AND(ISNUMBER(H916),ISNUMBER(I916)),(I916-H916)*1440,"")</f>
        <v/>
      </c>
      <c r="M916" s="15">
        <f>IF(ISNUMBER(F916),HOUR(F916),"")</f>
        <v/>
      </c>
    </row>
    <row r="917" ht="15.75" customHeight="1" s="36">
      <c r="A917" s="2" t="n"/>
      <c r="B917" s="12" t="n"/>
      <c r="C917" s="14" t="n"/>
      <c r="D917" s="14" t="n"/>
      <c r="E917" s="14" t="n"/>
      <c r="F917" s="18" t="n"/>
      <c r="G917" s="18" t="n"/>
      <c r="H917" s="18" t="n"/>
      <c r="I917" s="18" t="n"/>
      <c r="J917" s="14" t="n"/>
      <c r="K917" s="19">
        <f>IF(AND(ISNUMBER(F917),ISNUMBER(G917)),(G917-F917)*1440,"")</f>
        <v/>
      </c>
      <c r="L917" s="19">
        <f>IF(AND(ISNUMBER(H917),ISNUMBER(I917)),(I917-H917)*1440,"")</f>
        <v/>
      </c>
      <c r="M917" s="15">
        <f>IF(ISNUMBER(F917),HOUR(F917),"")</f>
        <v/>
      </c>
    </row>
    <row r="918" ht="15.75" customHeight="1" s="36">
      <c r="A918" s="2" t="n"/>
      <c r="B918" s="12" t="n"/>
      <c r="C918" s="14" t="n"/>
      <c r="D918" s="14" t="n"/>
      <c r="E918" s="14" t="n"/>
      <c r="F918" s="18" t="n"/>
      <c r="G918" s="18" t="n"/>
      <c r="H918" s="18" t="n"/>
      <c r="I918" s="18" t="n"/>
      <c r="J918" s="14" t="n"/>
      <c r="K918" s="19">
        <f>IF(AND(ISNUMBER(F918),ISNUMBER(G918)),(G918-F918)*1440,"")</f>
        <v/>
      </c>
      <c r="L918" s="19">
        <f>IF(AND(ISNUMBER(H918),ISNUMBER(I918)),(I918-H918)*1440,"")</f>
        <v/>
      </c>
      <c r="M918" s="15">
        <f>IF(ISNUMBER(F918),HOUR(F918),"")</f>
        <v/>
      </c>
    </row>
    <row r="919" ht="15.75" customHeight="1" s="36">
      <c r="A919" s="2" t="n"/>
      <c r="B919" s="12" t="n"/>
      <c r="C919" s="14" t="n"/>
      <c r="D919" s="14" t="n"/>
      <c r="E919" s="14" t="n"/>
      <c r="F919" s="18" t="n"/>
      <c r="G919" s="18" t="n"/>
      <c r="H919" s="18" t="n"/>
      <c r="I919" s="18" t="n"/>
      <c r="J919" s="14" t="n"/>
      <c r="K919" s="19">
        <f>IF(AND(ISNUMBER(F919),ISNUMBER(G919)),(G919-F919)*1440,"")</f>
        <v/>
      </c>
      <c r="L919" s="19">
        <f>IF(AND(ISNUMBER(H919),ISNUMBER(I919)),(I919-H919)*1440,"")</f>
        <v/>
      </c>
      <c r="M919" s="15">
        <f>IF(ISNUMBER(F919),HOUR(F919),"")</f>
        <v/>
      </c>
    </row>
    <row r="920" ht="15.75" customHeight="1" s="36">
      <c r="A920" s="2" t="n"/>
      <c r="B920" s="12" t="n"/>
      <c r="C920" s="14" t="n"/>
      <c r="D920" s="14" t="n"/>
      <c r="E920" s="14" t="n"/>
      <c r="F920" s="18" t="n"/>
      <c r="G920" s="18" t="n"/>
      <c r="H920" s="18" t="n"/>
      <c r="I920" s="18" t="n"/>
      <c r="J920" s="14" t="n"/>
      <c r="K920" s="19">
        <f>IF(AND(ISNUMBER(F920),ISNUMBER(G920)),(G920-F920)*1440,"")</f>
        <v/>
      </c>
      <c r="L920" s="19">
        <f>IF(AND(ISNUMBER(H920),ISNUMBER(I920)),(I920-H920)*1440,"")</f>
        <v/>
      </c>
      <c r="M920" s="15">
        <f>IF(ISNUMBER(F920),HOUR(F920),"")</f>
        <v/>
      </c>
    </row>
    <row r="921" ht="15.75" customHeight="1" s="36">
      <c r="A921" s="2" t="n"/>
      <c r="B921" s="12" t="n"/>
      <c r="C921" s="14" t="n"/>
      <c r="D921" s="14" t="n"/>
      <c r="E921" s="14" t="n"/>
      <c r="F921" s="18" t="n"/>
      <c r="G921" s="18" t="n"/>
      <c r="H921" s="18" t="n"/>
      <c r="I921" s="18" t="n"/>
      <c r="J921" s="14" t="n"/>
      <c r="K921" s="19">
        <f>IF(AND(ISNUMBER(F921),ISNUMBER(G921)),(G921-F921)*1440,"")</f>
        <v/>
      </c>
      <c r="L921" s="19">
        <f>IF(AND(ISNUMBER(H921),ISNUMBER(I921)),(I921-H921)*1440,"")</f>
        <v/>
      </c>
      <c r="M921" s="15">
        <f>IF(ISNUMBER(F921),HOUR(F921),"")</f>
        <v/>
      </c>
    </row>
    <row r="922" ht="15.75" customHeight="1" s="36">
      <c r="A922" s="2" t="n"/>
      <c r="B922" s="12" t="n"/>
      <c r="C922" s="14" t="n"/>
      <c r="D922" s="14" t="n"/>
      <c r="E922" s="14" t="n"/>
      <c r="F922" s="18" t="n"/>
      <c r="G922" s="18" t="n"/>
      <c r="H922" s="18" t="n"/>
      <c r="I922" s="18" t="n"/>
      <c r="J922" s="14" t="n"/>
      <c r="K922" s="19">
        <f>IF(AND(ISNUMBER(F922),ISNUMBER(G922)),(G922-F922)*1440,"")</f>
        <v/>
      </c>
      <c r="L922" s="19">
        <f>IF(AND(ISNUMBER(H922),ISNUMBER(I922)),(I922-H922)*1440,"")</f>
        <v/>
      </c>
      <c r="M922" s="15">
        <f>IF(ISNUMBER(F922),HOUR(F922),"")</f>
        <v/>
      </c>
    </row>
    <row r="923" ht="15.75" customHeight="1" s="36">
      <c r="A923" s="2" t="n"/>
      <c r="B923" s="12" t="n"/>
      <c r="C923" s="14" t="n"/>
      <c r="D923" s="14" t="n"/>
      <c r="E923" s="14" t="n"/>
      <c r="F923" s="18" t="n"/>
      <c r="G923" s="18" t="n"/>
      <c r="H923" s="18" t="n"/>
      <c r="I923" s="18" t="n"/>
      <c r="J923" s="14" t="n"/>
      <c r="K923" s="19">
        <f>IF(AND(ISNUMBER(F923),ISNUMBER(G923)),(G923-F923)*1440,"")</f>
        <v/>
      </c>
      <c r="L923" s="19">
        <f>IF(AND(ISNUMBER(H923),ISNUMBER(I923)),(I923-H923)*1440,"")</f>
        <v/>
      </c>
      <c r="M923" s="15">
        <f>IF(ISNUMBER(F923),HOUR(F923),"")</f>
        <v/>
      </c>
    </row>
    <row r="924" ht="15.75" customHeight="1" s="36">
      <c r="A924" s="2" t="n"/>
      <c r="B924" s="12" t="n"/>
      <c r="C924" s="14" t="n"/>
      <c r="D924" s="14" t="n"/>
      <c r="E924" s="14" t="n"/>
      <c r="F924" s="18" t="n"/>
      <c r="G924" s="18" t="n"/>
      <c r="H924" s="18" t="n"/>
      <c r="I924" s="18" t="n"/>
      <c r="J924" s="14" t="n"/>
      <c r="K924" s="19">
        <f>IF(AND(ISNUMBER(F924),ISNUMBER(G924)),(G924-F924)*1440,"")</f>
        <v/>
      </c>
      <c r="L924" s="19">
        <f>IF(AND(ISNUMBER(H924),ISNUMBER(I924)),(I924-H924)*1440,"")</f>
        <v/>
      </c>
      <c r="M924" s="15">
        <f>IF(ISNUMBER(F924),HOUR(F924),"")</f>
        <v/>
      </c>
    </row>
    <row r="925" ht="15.75" customHeight="1" s="36">
      <c r="A925" s="2" t="n"/>
      <c r="B925" s="12" t="n"/>
      <c r="C925" s="14" t="n"/>
      <c r="D925" s="14" t="n"/>
      <c r="E925" s="14" t="n"/>
      <c r="F925" s="18" t="n"/>
      <c r="G925" s="18" t="n"/>
      <c r="H925" s="18" t="n"/>
      <c r="I925" s="18" t="n"/>
      <c r="J925" s="14" t="n"/>
      <c r="K925" s="19">
        <f>IF(AND(ISNUMBER(F925),ISNUMBER(G925)),(G925-F925)*1440,"")</f>
        <v/>
      </c>
      <c r="L925" s="19">
        <f>IF(AND(ISNUMBER(H925),ISNUMBER(I925)),(I925-H925)*1440,"")</f>
        <v/>
      </c>
      <c r="M925" s="15">
        <f>IF(ISNUMBER(F925),HOUR(F925),"")</f>
        <v/>
      </c>
    </row>
    <row r="926" ht="15.75" customHeight="1" s="36">
      <c r="A926" s="2" t="n"/>
      <c r="B926" s="12" t="n"/>
      <c r="C926" s="14" t="n"/>
      <c r="D926" s="14" t="n"/>
      <c r="E926" s="14" t="n"/>
      <c r="F926" s="18" t="n"/>
      <c r="G926" s="18" t="n"/>
      <c r="H926" s="18" t="n"/>
      <c r="I926" s="18" t="n"/>
      <c r="J926" s="14" t="n"/>
      <c r="K926" s="19">
        <f>IF(AND(ISNUMBER(F926),ISNUMBER(G926)),(G926-F926)*1440,"")</f>
        <v/>
      </c>
      <c r="L926" s="19">
        <f>IF(AND(ISNUMBER(H926),ISNUMBER(I926)),(I926-H926)*1440,"")</f>
        <v/>
      </c>
      <c r="M926" s="15">
        <f>IF(ISNUMBER(F926),HOUR(F926),"")</f>
        <v/>
      </c>
    </row>
    <row r="927" ht="15.75" customHeight="1" s="36">
      <c r="A927" s="2" t="n"/>
      <c r="B927" s="12" t="n"/>
      <c r="C927" s="14" t="n"/>
      <c r="D927" s="14" t="n"/>
      <c r="E927" s="14" t="n"/>
      <c r="F927" s="18" t="n"/>
      <c r="G927" s="18" t="n"/>
      <c r="H927" s="18" t="n"/>
      <c r="I927" s="18" t="n"/>
      <c r="J927" s="14" t="n"/>
      <c r="K927" s="19">
        <f>IF(AND(ISNUMBER(F927),ISNUMBER(G927)),(G927-F927)*1440,"")</f>
        <v/>
      </c>
      <c r="L927" s="19">
        <f>IF(AND(ISNUMBER(H927),ISNUMBER(I927)),(I927-H927)*1440,"")</f>
        <v/>
      </c>
      <c r="M927" s="15">
        <f>IF(ISNUMBER(F927),HOUR(F927),"")</f>
        <v/>
      </c>
    </row>
    <row r="928" ht="15.75" customHeight="1" s="36">
      <c r="A928" s="2" t="n"/>
      <c r="B928" s="12" t="n"/>
      <c r="C928" s="14" t="n"/>
      <c r="D928" s="14" t="n"/>
      <c r="E928" s="14" t="n"/>
      <c r="F928" s="18" t="n"/>
      <c r="G928" s="18" t="n"/>
      <c r="H928" s="18" t="n"/>
      <c r="I928" s="18" t="n"/>
      <c r="J928" s="14" t="n"/>
      <c r="K928" s="19">
        <f>IF(AND(ISNUMBER(F928),ISNUMBER(G928)),(G928-F928)*1440,"")</f>
        <v/>
      </c>
      <c r="L928" s="19">
        <f>IF(AND(ISNUMBER(H928),ISNUMBER(I928)),(I928-H928)*1440,"")</f>
        <v/>
      </c>
      <c r="M928" s="15">
        <f>IF(ISNUMBER(F928),HOUR(F928),"")</f>
        <v/>
      </c>
    </row>
    <row r="929" ht="15.75" customHeight="1" s="36">
      <c r="A929" s="2" t="n"/>
      <c r="B929" s="12" t="n"/>
      <c r="C929" s="14" t="n"/>
      <c r="D929" s="14" t="n"/>
      <c r="E929" s="14" t="n"/>
      <c r="F929" s="18" t="n"/>
      <c r="G929" s="18" t="n"/>
      <c r="H929" s="18" t="n"/>
      <c r="I929" s="18" t="n"/>
      <c r="J929" s="14" t="n"/>
      <c r="K929" s="19">
        <f>IF(AND(ISNUMBER(F929),ISNUMBER(G929)),(G929-F929)*1440,"")</f>
        <v/>
      </c>
      <c r="L929" s="19">
        <f>IF(AND(ISNUMBER(H929),ISNUMBER(I929)),(I929-H929)*1440,"")</f>
        <v/>
      </c>
      <c r="M929" s="15">
        <f>IF(ISNUMBER(F929),HOUR(F929),"")</f>
        <v/>
      </c>
    </row>
    <row r="930" ht="15.75" customHeight="1" s="36">
      <c r="A930" s="2" t="n"/>
      <c r="B930" s="12" t="n"/>
      <c r="C930" s="14" t="n"/>
      <c r="D930" s="14" t="n"/>
      <c r="E930" s="14" t="n"/>
      <c r="F930" s="18" t="n"/>
      <c r="G930" s="18" t="n"/>
      <c r="H930" s="18" t="n"/>
      <c r="I930" s="18" t="n"/>
      <c r="J930" s="14" t="n"/>
      <c r="K930" s="19">
        <f>IF(AND(ISNUMBER(F930),ISNUMBER(G930)),(G930-F930)*1440,"")</f>
        <v/>
      </c>
      <c r="L930" s="19">
        <f>IF(AND(ISNUMBER(H930),ISNUMBER(I930)),(I930-H930)*1440,"")</f>
        <v/>
      </c>
      <c r="M930" s="15">
        <f>IF(ISNUMBER(F930),HOUR(F930),"")</f>
        <v/>
      </c>
    </row>
    <row r="931" ht="15.75" customHeight="1" s="36">
      <c r="A931" s="2" t="n"/>
      <c r="B931" s="12" t="n"/>
      <c r="C931" s="14" t="n"/>
      <c r="D931" s="14" t="n"/>
      <c r="E931" s="14" t="n"/>
      <c r="F931" s="18" t="n"/>
      <c r="G931" s="18" t="n"/>
      <c r="H931" s="18" t="n"/>
      <c r="I931" s="18" t="n"/>
      <c r="J931" s="14" t="n"/>
      <c r="K931" s="19">
        <f>IF(AND(ISNUMBER(F931),ISNUMBER(G931)),(G931-F931)*1440,"")</f>
        <v/>
      </c>
      <c r="L931" s="19">
        <f>IF(AND(ISNUMBER(H931),ISNUMBER(I931)),(I931-H931)*1440,"")</f>
        <v/>
      </c>
      <c r="M931" s="15">
        <f>IF(ISNUMBER(F931),HOUR(F931),"")</f>
        <v/>
      </c>
    </row>
    <row r="932" ht="15.75" customHeight="1" s="36">
      <c r="A932" s="2" t="n"/>
      <c r="B932" s="12" t="n"/>
      <c r="C932" s="14" t="n"/>
      <c r="D932" s="14" t="n"/>
      <c r="E932" s="14" t="n"/>
      <c r="F932" s="18" t="n"/>
      <c r="G932" s="18" t="n"/>
      <c r="H932" s="18" t="n"/>
      <c r="I932" s="18" t="n"/>
      <c r="J932" s="14" t="n"/>
      <c r="K932" s="19">
        <f>IF(AND(ISNUMBER(F932),ISNUMBER(G932)),(G932-F932)*1440,"")</f>
        <v/>
      </c>
      <c r="L932" s="19">
        <f>IF(AND(ISNUMBER(H932),ISNUMBER(I932)),(I932-H932)*1440,"")</f>
        <v/>
      </c>
      <c r="M932" s="15">
        <f>IF(ISNUMBER(F932),HOUR(F932),"")</f>
        <v/>
      </c>
    </row>
    <row r="933" ht="15.75" customHeight="1" s="36">
      <c r="A933" s="2" t="n"/>
      <c r="B933" s="12" t="n"/>
      <c r="C933" s="14" t="n"/>
      <c r="D933" s="14" t="n"/>
      <c r="E933" s="14" t="n"/>
      <c r="F933" s="18" t="n"/>
      <c r="G933" s="18" t="n"/>
      <c r="H933" s="18" t="n"/>
      <c r="I933" s="18" t="n"/>
      <c r="J933" s="14" t="n"/>
      <c r="K933" s="19">
        <f>IF(AND(ISNUMBER(F933),ISNUMBER(G933)),(G933-F933)*1440,"")</f>
        <v/>
      </c>
      <c r="L933" s="19">
        <f>IF(AND(ISNUMBER(H933),ISNUMBER(I933)),(I933-H933)*1440,"")</f>
        <v/>
      </c>
      <c r="M933" s="15">
        <f>IF(ISNUMBER(F933),HOUR(F933),"")</f>
        <v/>
      </c>
    </row>
    <row r="934" ht="15.75" customHeight="1" s="36">
      <c r="A934" s="2" t="n"/>
      <c r="B934" s="12" t="n"/>
      <c r="C934" s="14" t="n"/>
      <c r="D934" s="14" t="n"/>
      <c r="E934" s="14" t="n"/>
      <c r="F934" s="18" t="n"/>
      <c r="G934" s="18" t="n"/>
      <c r="H934" s="18" t="n"/>
      <c r="I934" s="18" t="n"/>
      <c r="J934" s="14" t="n"/>
      <c r="K934" s="19">
        <f>IF(AND(ISNUMBER(F934),ISNUMBER(G934)),(G934-F934)*1440,"")</f>
        <v/>
      </c>
      <c r="L934" s="19">
        <f>IF(AND(ISNUMBER(H934),ISNUMBER(I934)),(I934-H934)*1440,"")</f>
        <v/>
      </c>
      <c r="M934" s="15">
        <f>IF(ISNUMBER(F934),HOUR(F934),"")</f>
        <v/>
      </c>
    </row>
    <row r="935" ht="15.75" customHeight="1" s="36">
      <c r="A935" s="2" t="n"/>
      <c r="B935" s="12" t="n"/>
      <c r="C935" s="14" t="n"/>
      <c r="D935" s="14" t="n"/>
      <c r="E935" s="14" t="n"/>
      <c r="F935" s="18" t="n"/>
      <c r="G935" s="18" t="n"/>
      <c r="H935" s="18" t="n"/>
      <c r="I935" s="18" t="n"/>
      <c r="J935" s="14" t="n"/>
      <c r="K935" s="19">
        <f>IF(AND(ISNUMBER(F935),ISNUMBER(G935)),(G935-F935)*1440,"")</f>
        <v/>
      </c>
      <c r="L935" s="19">
        <f>IF(AND(ISNUMBER(H935),ISNUMBER(I935)),(I935-H935)*1440,"")</f>
        <v/>
      </c>
      <c r="M935" s="15">
        <f>IF(ISNUMBER(F935),HOUR(F935),"")</f>
        <v/>
      </c>
    </row>
    <row r="936" ht="15.75" customHeight="1" s="36">
      <c r="A936" s="2" t="n"/>
      <c r="B936" s="12" t="n"/>
      <c r="C936" s="14" t="n"/>
      <c r="D936" s="14" t="n"/>
      <c r="E936" s="14" t="n"/>
      <c r="F936" s="18" t="n"/>
      <c r="G936" s="18" t="n"/>
      <c r="H936" s="18" t="n"/>
      <c r="I936" s="18" t="n"/>
      <c r="J936" s="14" t="n"/>
      <c r="K936" s="19">
        <f>IF(AND(ISNUMBER(F936),ISNUMBER(G936)),(G936-F936)*1440,"")</f>
        <v/>
      </c>
      <c r="L936" s="19">
        <f>IF(AND(ISNUMBER(H936),ISNUMBER(I936)),(I936-H936)*1440,"")</f>
        <v/>
      </c>
      <c r="M936" s="15">
        <f>IF(ISNUMBER(F936),HOUR(F936),"")</f>
        <v/>
      </c>
    </row>
    <row r="937" ht="15.75" customHeight="1" s="36">
      <c r="A937" s="2" t="n"/>
      <c r="B937" s="12" t="n"/>
      <c r="C937" s="14" t="n"/>
      <c r="D937" s="14" t="n"/>
      <c r="E937" s="14" t="n"/>
      <c r="F937" s="18" t="n"/>
      <c r="G937" s="18" t="n"/>
      <c r="H937" s="18" t="n"/>
      <c r="I937" s="18" t="n"/>
      <c r="J937" s="14" t="n"/>
      <c r="K937" s="19">
        <f>IF(AND(ISNUMBER(F937),ISNUMBER(G937)),(G937-F937)*1440,"")</f>
        <v/>
      </c>
      <c r="L937" s="19">
        <f>IF(AND(ISNUMBER(H937),ISNUMBER(I937)),(I937-H937)*1440,"")</f>
        <v/>
      </c>
      <c r="M937" s="15">
        <f>IF(ISNUMBER(F937),HOUR(F937),"")</f>
        <v/>
      </c>
    </row>
    <row r="938" ht="15.75" customHeight="1" s="36">
      <c r="A938" s="2" t="n"/>
      <c r="B938" s="12" t="n"/>
      <c r="C938" s="14" t="n"/>
      <c r="D938" s="14" t="n"/>
      <c r="E938" s="14" t="n"/>
      <c r="F938" s="18" t="n"/>
      <c r="G938" s="18" t="n"/>
      <c r="H938" s="18" t="n"/>
      <c r="I938" s="18" t="n"/>
      <c r="J938" s="14" t="n"/>
      <c r="K938" s="19">
        <f>IF(AND(ISNUMBER(F938),ISNUMBER(G938)),(G938-F938)*1440,"")</f>
        <v/>
      </c>
      <c r="L938" s="19">
        <f>IF(AND(ISNUMBER(H938),ISNUMBER(I938)),(I938-H938)*1440,"")</f>
        <v/>
      </c>
      <c r="M938" s="15">
        <f>IF(ISNUMBER(F938),HOUR(F938),"")</f>
        <v/>
      </c>
    </row>
    <row r="939" ht="15.75" customHeight="1" s="36">
      <c r="A939" s="2" t="n"/>
      <c r="B939" s="12" t="n"/>
      <c r="C939" s="14" t="n"/>
      <c r="D939" s="14" t="n"/>
      <c r="E939" s="14" t="n"/>
      <c r="F939" s="18" t="n"/>
      <c r="G939" s="18" t="n"/>
      <c r="H939" s="18" t="n"/>
      <c r="I939" s="18" t="n"/>
      <c r="J939" s="14" t="n"/>
      <c r="K939" s="19">
        <f>IF(AND(ISNUMBER(F939),ISNUMBER(G939)),(G939-F939)*1440,"")</f>
        <v/>
      </c>
      <c r="L939" s="19">
        <f>IF(AND(ISNUMBER(H939),ISNUMBER(I939)),(I939-H939)*1440,"")</f>
        <v/>
      </c>
      <c r="M939" s="15">
        <f>IF(ISNUMBER(F939),HOUR(F939),"")</f>
        <v/>
      </c>
    </row>
    <row r="940" ht="15.75" customHeight="1" s="36">
      <c r="A940" s="2" t="n"/>
      <c r="B940" s="12" t="n"/>
      <c r="C940" s="14" t="n"/>
      <c r="D940" s="14" t="n"/>
      <c r="E940" s="14" t="n"/>
      <c r="F940" s="18" t="n"/>
      <c r="G940" s="18" t="n"/>
      <c r="H940" s="18" t="n"/>
      <c r="I940" s="18" t="n"/>
      <c r="J940" s="14" t="n"/>
      <c r="K940" s="19">
        <f>IF(AND(ISNUMBER(F940),ISNUMBER(G940)),(G940-F940)*1440,"")</f>
        <v/>
      </c>
      <c r="L940" s="19">
        <f>IF(AND(ISNUMBER(H940),ISNUMBER(I940)),(I940-H940)*1440,"")</f>
        <v/>
      </c>
      <c r="M940" s="15">
        <f>IF(ISNUMBER(F940),HOUR(F940),"")</f>
        <v/>
      </c>
    </row>
    <row r="941" ht="15.75" customHeight="1" s="36">
      <c r="A941" s="2" t="n"/>
      <c r="B941" s="12" t="n"/>
      <c r="C941" s="14" t="n"/>
      <c r="D941" s="14" t="n"/>
      <c r="E941" s="14" t="n"/>
      <c r="F941" s="18" t="n"/>
      <c r="G941" s="18" t="n"/>
      <c r="H941" s="18" t="n"/>
      <c r="I941" s="18" t="n"/>
      <c r="J941" s="14" t="n"/>
      <c r="K941" s="19">
        <f>IF(AND(ISNUMBER(F941),ISNUMBER(G941)),(G941-F941)*1440,"")</f>
        <v/>
      </c>
      <c r="L941" s="19">
        <f>IF(AND(ISNUMBER(H941),ISNUMBER(I941)),(I941-H941)*1440,"")</f>
        <v/>
      </c>
      <c r="M941" s="15">
        <f>IF(ISNUMBER(F941),HOUR(F941),"")</f>
        <v/>
      </c>
    </row>
    <row r="942" ht="15.75" customHeight="1" s="36">
      <c r="A942" s="2" t="n"/>
      <c r="B942" s="12" t="n"/>
      <c r="C942" s="14" t="n"/>
      <c r="D942" s="14" t="n"/>
      <c r="E942" s="14" t="n"/>
      <c r="F942" s="18" t="n"/>
      <c r="G942" s="18" t="n"/>
      <c r="H942" s="18" t="n"/>
      <c r="I942" s="18" t="n"/>
      <c r="J942" s="14" t="n"/>
      <c r="K942" s="19">
        <f>IF(AND(ISNUMBER(F942),ISNUMBER(G942)),(G942-F942)*1440,"")</f>
        <v/>
      </c>
      <c r="L942" s="19">
        <f>IF(AND(ISNUMBER(H942),ISNUMBER(I942)),(I942-H942)*1440,"")</f>
        <v/>
      </c>
      <c r="M942" s="15">
        <f>IF(ISNUMBER(F942),HOUR(F942),"")</f>
        <v/>
      </c>
    </row>
    <row r="943" ht="15.75" customHeight="1" s="36">
      <c r="A943" s="2" t="n"/>
      <c r="B943" s="12" t="n"/>
      <c r="C943" s="14" t="n"/>
      <c r="D943" s="14" t="n"/>
      <c r="E943" s="14" t="n"/>
      <c r="F943" s="18" t="n"/>
      <c r="G943" s="18" t="n"/>
      <c r="H943" s="18" t="n"/>
      <c r="I943" s="18" t="n"/>
      <c r="J943" s="14" t="n"/>
      <c r="K943" s="19">
        <f>IF(AND(ISNUMBER(F943),ISNUMBER(G943)),(G943-F943)*1440,"")</f>
        <v/>
      </c>
      <c r="L943" s="19">
        <f>IF(AND(ISNUMBER(H943),ISNUMBER(I943)),(I943-H943)*1440,"")</f>
        <v/>
      </c>
      <c r="M943" s="15">
        <f>IF(ISNUMBER(F943),HOUR(F943),"")</f>
        <v/>
      </c>
    </row>
    <row r="944" ht="15.75" customHeight="1" s="36">
      <c r="A944" s="2" t="n"/>
      <c r="B944" s="12" t="n"/>
      <c r="C944" s="14" t="n"/>
      <c r="D944" s="14" t="n"/>
      <c r="E944" s="14" t="n"/>
      <c r="F944" s="18" t="n"/>
      <c r="G944" s="18" t="n"/>
      <c r="H944" s="18" t="n"/>
      <c r="I944" s="18" t="n"/>
      <c r="J944" s="14" t="n"/>
      <c r="K944" s="19">
        <f>IF(AND(ISNUMBER(F944),ISNUMBER(G944)),(G944-F944)*1440,"")</f>
        <v/>
      </c>
      <c r="L944" s="19">
        <f>IF(AND(ISNUMBER(H944),ISNUMBER(I944)),(I944-H944)*1440,"")</f>
        <v/>
      </c>
      <c r="M944" s="15">
        <f>IF(ISNUMBER(F944),HOUR(F944),"")</f>
        <v/>
      </c>
    </row>
    <row r="945" ht="15.75" customHeight="1" s="36">
      <c r="A945" s="2" t="n"/>
      <c r="B945" s="12" t="n"/>
      <c r="C945" s="14" t="n"/>
      <c r="D945" s="14" t="n"/>
      <c r="E945" s="14" t="n"/>
      <c r="F945" s="18" t="n"/>
      <c r="G945" s="18" t="n"/>
      <c r="H945" s="18" t="n"/>
      <c r="I945" s="18" t="n"/>
      <c r="J945" s="14" t="n"/>
      <c r="K945" s="19">
        <f>IF(AND(ISNUMBER(F945),ISNUMBER(G945)),(G945-F945)*1440,"")</f>
        <v/>
      </c>
      <c r="L945" s="19">
        <f>IF(AND(ISNUMBER(H945),ISNUMBER(I945)),(I945-H945)*1440,"")</f>
        <v/>
      </c>
      <c r="M945" s="15">
        <f>IF(ISNUMBER(F945),HOUR(F945),"")</f>
        <v/>
      </c>
    </row>
    <row r="946" ht="15.75" customHeight="1" s="36">
      <c r="A946" s="2" t="n"/>
      <c r="B946" s="12" t="n"/>
      <c r="C946" s="14" t="n"/>
      <c r="D946" s="14" t="n"/>
      <c r="E946" s="14" t="n"/>
      <c r="F946" s="18" t="n"/>
      <c r="G946" s="18" t="n"/>
      <c r="H946" s="18" t="n"/>
      <c r="I946" s="18" t="n"/>
      <c r="J946" s="14" t="n"/>
      <c r="K946" s="19">
        <f>IF(AND(ISNUMBER(F946),ISNUMBER(G946)),(G946-F946)*1440,"")</f>
        <v/>
      </c>
      <c r="L946" s="19">
        <f>IF(AND(ISNUMBER(H946),ISNUMBER(I946)),(I946-H946)*1440,"")</f>
        <v/>
      </c>
      <c r="M946" s="15">
        <f>IF(ISNUMBER(F946),HOUR(F946),"")</f>
        <v/>
      </c>
    </row>
    <row r="947" ht="15.75" customHeight="1" s="36">
      <c r="A947" s="2" t="n"/>
      <c r="B947" s="12" t="n"/>
      <c r="C947" s="14" t="n"/>
      <c r="D947" s="14" t="n"/>
      <c r="E947" s="14" t="n"/>
      <c r="F947" s="18" t="n"/>
      <c r="G947" s="18" t="n"/>
      <c r="H947" s="18" t="n"/>
      <c r="I947" s="18" t="n"/>
      <c r="J947" s="14" t="n"/>
      <c r="K947" s="19">
        <f>IF(AND(ISNUMBER(F947),ISNUMBER(G947)),(G947-F947)*1440,"")</f>
        <v/>
      </c>
      <c r="L947" s="19">
        <f>IF(AND(ISNUMBER(H947),ISNUMBER(I947)),(I947-H947)*1440,"")</f>
        <v/>
      </c>
      <c r="M947" s="15">
        <f>IF(ISNUMBER(F947),HOUR(F947),"")</f>
        <v/>
      </c>
    </row>
    <row r="948" ht="15.75" customHeight="1" s="36">
      <c r="A948" s="2" t="n"/>
      <c r="B948" s="12" t="n"/>
      <c r="C948" s="14" t="n"/>
      <c r="D948" s="14" t="n"/>
      <c r="E948" s="14" t="n"/>
      <c r="F948" s="18" t="n"/>
      <c r="G948" s="18" t="n"/>
      <c r="H948" s="18" t="n"/>
      <c r="I948" s="18" t="n"/>
      <c r="J948" s="14" t="n"/>
      <c r="K948" s="19">
        <f>IF(AND(ISNUMBER(F948),ISNUMBER(G948)),(G948-F948)*1440,"")</f>
        <v/>
      </c>
      <c r="L948" s="19">
        <f>IF(AND(ISNUMBER(H948),ISNUMBER(I948)),(I948-H948)*1440,"")</f>
        <v/>
      </c>
      <c r="M948" s="15">
        <f>IF(ISNUMBER(F948),HOUR(F948),"")</f>
        <v/>
      </c>
    </row>
    <row r="949" ht="15.75" customHeight="1" s="36">
      <c r="A949" s="2" t="n"/>
      <c r="B949" s="12" t="n"/>
      <c r="C949" s="14" t="n"/>
      <c r="D949" s="14" t="n"/>
      <c r="E949" s="14" t="n"/>
      <c r="F949" s="18" t="n"/>
      <c r="G949" s="18" t="n"/>
      <c r="H949" s="18" t="n"/>
      <c r="I949" s="18" t="n"/>
      <c r="J949" s="14" t="n"/>
      <c r="K949" s="19">
        <f>IF(AND(ISNUMBER(F949),ISNUMBER(G949)),(G949-F949)*1440,"")</f>
        <v/>
      </c>
      <c r="L949" s="19">
        <f>IF(AND(ISNUMBER(H949),ISNUMBER(I949)),(I949-H949)*1440,"")</f>
        <v/>
      </c>
      <c r="M949" s="15">
        <f>IF(ISNUMBER(F949),HOUR(F949),"")</f>
        <v/>
      </c>
    </row>
    <row r="950" ht="15.75" customHeight="1" s="36">
      <c r="A950" s="2" t="n"/>
      <c r="B950" s="12" t="n"/>
      <c r="C950" s="14" t="n"/>
      <c r="D950" s="14" t="n"/>
      <c r="E950" s="14" t="n"/>
      <c r="F950" s="18" t="n"/>
      <c r="G950" s="18" t="n"/>
      <c r="H950" s="18" t="n"/>
      <c r="I950" s="18" t="n"/>
      <c r="J950" s="14" t="n"/>
      <c r="K950" s="19">
        <f>IF(AND(ISNUMBER(F950),ISNUMBER(G950)),(G950-F950)*1440,"")</f>
        <v/>
      </c>
      <c r="L950" s="19">
        <f>IF(AND(ISNUMBER(H950),ISNUMBER(I950)),(I950-H950)*1440,"")</f>
        <v/>
      </c>
      <c r="M950" s="15">
        <f>IF(ISNUMBER(F950),HOUR(F950),"")</f>
        <v/>
      </c>
    </row>
    <row r="951" ht="15.75" customHeight="1" s="36">
      <c r="A951" s="2" t="n"/>
      <c r="B951" s="12" t="n"/>
      <c r="C951" s="14" t="n"/>
      <c r="D951" s="14" t="n"/>
      <c r="E951" s="14" t="n"/>
      <c r="F951" s="18" t="n"/>
      <c r="G951" s="18" t="n"/>
      <c r="H951" s="18" t="n"/>
      <c r="I951" s="18" t="n"/>
      <c r="J951" s="14" t="n"/>
      <c r="K951" s="19">
        <f>IF(AND(ISNUMBER(F951),ISNUMBER(G951)),(G951-F951)*1440,"")</f>
        <v/>
      </c>
      <c r="L951" s="19">
        <f>IF(AND(ISNUMBER(H951),ISNUMBER(I951)),(I951-H951)*1440,"")</f>
        <v/>
      </c>
      <c r="M951" s="15">
        <f>IF(ISNUMBER(F951),HOUR(F951),"")</f>
        <v/>
      </c>
    </row>
    <row r="952" ht="15.75" customHeight="1" s="36">
      <c r="A952" s="2" t="n"/>
      <c r="B952" s="12" t="n"/>
      <c r="C952" s="14" t="n"/>
      <c r="D952" s="14" t="n"/>
      <c r="E952" s="14" t="n"/>
      <c r="F952" s="18" t="n"/>
      <c r="G952" s="18" t="n"/>
      <c r="H952" s="18" t="n"/>
      <c r="I952" s="18" t="n"/>
      <c r="J952" s="14" t="n"/>
      <c r="K952" s="19">
        <f>IF(AND(ISNUMBER(F952),ISNUMBER(G952)),(G952-F952)*1440,"")</f>
        <v/>
      </c>
      <c r="L952" s="19">
        <f>IF(AND(ISNUMBER(H952),ISNUMBER(I952)),(I952-H952)*1440,"")</f>
        <v/>
      </c>
      <c r="M952" s="15">
        <f>IF(ISNUMBER(F952),HOUR(F952),"")</f>
        <v/>
      </c>
    </row>
    <row r="953" ht="15.75" customHeight="1" s="36">
      <c r="A953" s="2" t="n"/>
      <c r="B953" s="12" t="n"/>
      <c r="C953" s="14" t="n"/>
      <c r="D953" s="14" t="n"/>
      <c r="E953" s="14" t="n"/>
      <c r="F953" s="18" t="n"/>
      <c r="G953" s="18" t="n"/>
      <c r="H953" s="18" t="n"/>
      <c r="I953" s="18" t="n"/>
      <c r="J953" s="14" t="n"/>
      <c r="K953" s="19">
        <f>IF(AND(ISNUMBER(F953),ISNUMBER(G953)),(G953-F953)*1440,"")</f>
        <v/>
      </c>
      <c r="L953" s="19">
        <f>IF(AND(ISNUMBER(H953),ISNUMBER(I953)),(I953-H953)*1440,"")</f>
        <v/>
      </c>
      <c r="M953" s="15">
        <f>IF(ISNUMBER(F953),HOUR(F953),"")</f>
        <v/>
      </c>
    </row>
    <row r="954" ht="15.75" customHeight="1" s="36">
      <c r="A954" s="2" t="n"/>
      <c r="B954" s="12" t="n"/>
      <c r="C954" s="14" t="n"/>
      <c r="D954" s="14" t="n"/>
      <c r="E954" s="14" t="n"/>
      <c r="F954" s="18" t="n"/>
      <c r="G954" s="18" t="n"/>
      <c r="H954" s="18" t="n"/>
      <c r="I954" s="18" t="n"/>
      <c r="J954" s="14" t="n"/>
      <c r="K954" s="19">
        <f>IF(AND(ISNUMBER(F954),ISNUMBER(G954)),(G954-F954)*1440,"")</f>
        <v/>
      </c>
      <c r="L954" s="19">
        <f>IF(AND(ISNUMBER(H954),ISNUMBER(I954)),(I954-H954)*1440,"")</f>
        <v/>
      </c>
      <c r="M954" s="15">
        <f>IF(ISNUMBER(F954),HOUR(F954),"")</f>
        <v/>
      </c>
    </row>
    <row r="955" ht="15.75" customHeight="1" s="36">
      <c r="A955" s="2" t="n"/>
      <c r="B955" s="12" t="n"/>
      <c r="C955" s="14" t="n"/>
      <c r="D955" s="14" t="n"/>
      <c r="E955" s="14" t="n"/>
      <c r="F955" s="18" t="n"/>
      <c r="G955" s="18" t="n"/>
      <c r="H955" s="18" t="n"/>
      <c r="I955" s="18" t="n"/>
      <c r="J955" s="14" t="n"/>
      <c r="K955" s="19">
        <f>IF(AND(ISNUMBER(F955),ISNUMBER(G955)),(G955-F955)*1440,"")</f>
        <v/>
      </c>
      <c r="L955" s="19">
        <f>IF(AND(ISNUMBER(H955),ISNUMBER(I955)),(I955-H955)*1440,"")</f>
        <v/>
      </c>
      <c r="M955" s="15">
        <f>IF(ISNUMBER(F955),HOUR(F955),"")</f>
        <v/>
      </c>
    </row>
    <row r="956" ht="15.75" customHeight="1" s="36">
      <c r="A956" s="2" t="n"/>
      <c r="B956" s="12" t="n"/>
      <c r="C956" s="14" t="n"/>
      <c r="D956" s="14" t="n"/>
      <c r="E956" s="14" t="n"/>
      <c r="F956" s="18" t="n"/>
      <c r="G956" s="18" t="n"/>
      <c r="H956" s="18" t="n"/>
      <c r="I956" s="18" t="n"/>
      <c r="J956" s="14" t="n"/>
      <c r="K956" s="19">
        <f>IF(AND(ISNUMBER(F956),ISNUMBER(G956)),(G956-F956)*1440,"")</f>
        <v/>
      </c>
      <c r="L956" s="19">
        <f>IF(AND(ISNUMBER(H956),ISNUMBER(I956)),(I956-H956)*1440,"")</f>
        <v/>
      </c>
      <c r="M956" s="15">
        <f>IF(ISNUMBER(F956),HOUR(F956),"")</f>
        <v/>
      </c>
    </row>
    <row r="957" ht="15.75" customHeight="1" s="36">
      <c r="A957" s="2" t="n"/>
      <c r="B957" s="12" t="n"/>
      <c r="C957" s="14" t="n"/>
      <c r="D957" s="14" t="n"/>
      <c r="E957" s="14" t="n"/>
      <c r="F957" s="18" t="n"/>
      <c r="G957" s="18" t="n"/>
      <c r="H957" s="18" t="n"/>
      <c r="I957" s="18" t="n"/>
      <c r="J957" s="14" t="n"/>
      <c r="K957" s="19">
        <f>IF(AND(ISNUMBER(F957),ISNUMBER(G957)),(G957-F957)*1440,"")</f>
        <v/>
      </c>
      <c r="L957" s="19">
        <f>IF(AND(ISNUMBER(H957),ISNUMBER(I957)),(I957-H957)*1440,"")</f>
        <v/>
      </c>
      <c r="M957" s="15">
        <f>IF(ISNUMBER(F957),HOUR(F957),"")</f>
        <v/>
      </c>
    </row>
    <row r="958" ht="15.75" customHeight="1" s="36">
      <c r="A958" s="2" t="n"/>
      <c r="B958" s="12" t="n"/>
      <c r="C958" s="14" t="n"/>
      <c r="D958" s="14" t="n"/>
      <c r="E958" s="14" t="n"/>
      <c r="F958" s="18" t="n"/>
      <c r="G958" s="18" t="n"/>
      <c r="H958" s="18" t="n"/>
      <c r="I958" s="18" t="n"/>
      <c r="J958" s="14" t="n"/>
      <c r="K958" s="19">
        <f>IF(AND(ISNUMBER(F958),ISNUMBER(G958)),(G958-F958)*1440,"")</f>
        <v/>
      </c>
      <c r="L958" s="19">
        <f>IF(AND(ISNUMBER(H958),ISNUMBER(I958)),(I958-H958)*1440,"")</f>
        <v/>
      </c>
      <c r="M958" s="15">
        <f>IF(ISNUMBER(F958),HOUR(F958),"")</f>
        <v/>
      </c>
    </row>
    <row r="959" ht="15.75" customHeight="1" s="36">
      <c r="A959" s="2" t="n"/>
      <c r="B959" s="12" t="n"/>
      <c r="C959" s="14" t="n"/>
      <c r="D959" s="14" t="n"/>
      <c r="E959" s="14" t="n"/>
      <c r="F959" s="18" t="n"/>
      <c r="G959" s="18" t="n"/>
      <c r="H959" s="18" t="n"/>
      <c r="I959" s="18" t="n"/>
      <c r="J959" s="14" t="n"/>
      <c r="K959" s="19">
        <f>IF(AND(ISNUMBER(F959),ISNUMBER(G959)),(G959-F959)*1440,"")</f>
        <v/>
      </c>
      <c r="L959" s="19">
        <f>IF(AND(ISNUMBER(H959),ISNUMBER(I959)),(I959-H959)*1440,"")</f>
        <v/>
      </c>
      <c r="M959" s="15">
        <f>IF(ISNUMBER(F959),HOUR(F959),"")</f>
        <v/>
      </c>
    </row>
    <row r="960" ht="15.75" customHeight="1" s="36">
      <c r="A960" s="2" t="n"/>
      <c r="B960" s="12" t="n"/>
      <c r="C960" s="14" t="n"/>
      <c r="D960" s="14" t="n"/>
      <c r="E960" s="14" t="n"/>
      <c r="F960" s="18" t="n"/>
      <c r="G960" s="18" t="n"/>
      <c r="H960" s="18" t="n"/>
      <c r="I960" s="18" t="n"/>
      <c r="J960" s="14" t="n"/>
      <c r="K960" s="19">
        <f>IF(AND(ISNUMBER(F960),ISNUMBER(G960)),(G960-F960)*1440,"")</f>
        <v/>
      </c>
      <c r="L960" s="19">
        <f>IF(AND(ISNUMBER(H960),ISNUMBER(I960)),(I960-H960)*1440,"")</f>
        <v/>
      </c>
      <c r="M960" s="15">
        <f>IF(ISNUMBER(F960),HOUR(F960),"")</f>
        <v/>
      </c>
    </row>
    <row r="961" ht="15.75" customHeight="1" s="36">
      <c r="A961" s="2" t="n"/>
      <c r="B961" s="12" t="n"/>
      <c r="C961" s="14" t="n"/>
      <c r="D961" s="14" t="n"/>
      <c r="E961" s="14" t="n"/>
      <c r="F961" s="18" t="n"/>
      <c r="G961" s="18" t="n"/>
      <c r="H961" s="18" t="n"/>
      <c r="I961" s="18" t="n"/>
      <c r="J961" s="14" t="n"/>
      <c r="K961" s="19">
        <f>IF(AND(ISNUMBER(F961),ISNUMBER(G961)),(G961-F961)*1440,"")</f>
        <v/>
      </c>
      <c r="L961" s="19">
        <f>IF(AND(ISNUMBER(H961),ISNUMBER(I961)),(I961-H961)*1440,"")</f>
        <v/>
      </c>
      <c r="M961" s="15">
        <f>IF(ISNUMBER(F961),HOUR(F961),"")</f>
        <v/>
      </c>
    </row>
    <row r="962" ht="15.75" customHeight="1" s="36">
      <c r="A962" s="2" t="n"/>
      <c r="B962" s="12" t="n"/>
      <c r="C962" s="14" t="n"/>
      <c r="D962" s="14" t="n"/>
      <c r="E962" s="14" t="n"/>
      <c r="F962" s="18" t="n"/>
      <c r="G962" s="18" t="n"/>
      <c r="H962" s="18" t="n"/>
      <c r="I962" s="18" t="n"/>
      <c r="J962" s="14" t="n"/>
      <c r="K962" s="19">
        <f>IF(AND(ISNUMBER(F962),ISNUMBER(G962)),(G962-F962)*1440,"")</f>
        <v/>
      </c>
      <c r="L962" s="19">
        <f>IF(AND(ISNUMBER(H962),ISNUMBER(I962)),(I962-H962)*1440,"")</f>
        <v/>
      </c>
      <c r="M962" s="15">
        <f>IF(ISNUMBER(F962),HOUR(F962),"")</f>
        <v/>
      </c>
    </row>
    <row r="963" ht="15.75" customHeight="1" s="36">
      <c r="A963" s="2" t="n"/>
      <c r="B963" s="12" t="n"/>
      <c r="C963" s="14" t="n"/>
      <c r="D963" s="14" t="n"/>
      <c r="E963" s="14" t="n"/>
      <c r="F963" s="18" t="n"/>
      <c r="G963" s="18" t="n"/>
      <c r="H963" s="18" t="n"/>
      <c r="I963" s="18" t="n"/>
      <c r="J963" s="14" t="n"/>
      <c r="K963" s="19">
        <f>IF(AND(ISNUMBER(F963),ISNUMBER(G963)),(G963-F963)*1440,"")</f>
        <v/>
      </c>
      <c r="L963" s="19">
        <f>IF(AND(ISNUMBER(H963),ISNUMBER(I963)),(I963-H963)*1440,"")</f>
        <v/>
      </c>
      <c r="M963" s="15">
        <f>IF(ISNUMBER(F963),HOUR(F963),"")</f>
        <v/>
      </c>
    </row>
    <row r="964" ht="15.75" customHeight="1" s="36">
      <c r="A964" s="2" t="n"/>
      <c r="B964" s="12" t="n"/>
      <c r="C964" s="14" t="n"/>
      <c r="D964" s="14" t="n"/>
      <c r="E964" s="14" t="n"/>
      <c r="F964" s="18" t="n"/>
      <c r="G964" s="18" t="n"/>
      <c r="H964" s="18" t="n"/>
      <c r="I964" s="18" t="n"/>
      <c r="J964" s="14" t="n"/>
      <c r="K964" s="19">
        <f>IF(AND(ISNUMBER(F964),ISNUMBER(G964)),(G964-F964)*1440,"")</f>
        <v/>
      </c>
      <c r="L964" s="19">
        <f>IF(AND(ISNUMBER(H964),ISNUMBER(I964)),(I964-H964)*1440,"")</f>
        <v/>
      </c>
      <c r="M964" s="15">
        <f>IF(ISNUMBER(F964),HOUR(F964),"")</f>
        <v/>
      </c>
    </row>
    <row r="965" ht="15.75" customHeight="1" s="36">
      <c r="A965" s="2" t="n"/>
      <c r="B965" s="12" t="n"/>
      <c r="C965" s="14" t="n"/>
      <c r="D965" s="14" t="n"/>
      <c r="E965" s="14" t="n"/>
      <c r="F965" s="18" t="n"/>
      <c r="G965" s="18" t="n"/>
      <c r="H965" s="18" t="n"/>
      <c r="I965" s="18" t="n"/>
      <c r="J965" s="14" t="n"/>
      <c r="K965" s="19">
        <f>IF(AND(ISNUMBER(F965),ISNUMBER(G965)),(G965-F965)*1440,"")</f>
        <v/>
      </c>
      <c r="L965" s="19">
        <f>IF(AND(ISNUMBER(H965),ISNUMBER(I965)),(I965-H965)*1440,"")</f>
        <v/>
      </c>
      <c r="M965" s="15">
        <f>IF(ISNUMBER(F965),HOUR(F965),"")</f>
        <v/>
      </c>
    </row>
    <row r="966" ht="15.75" customHeight="1" s="36">
      <c r="A966" s="2" t="n"/>
      <c r="B966" s="12" t="n"/>
      <c r="C966" s="14" t="n"/>
      <c r="D966" s="14" t="n"/>
      <c r="E966" s="14" t="n"/>
      <c r="F966" s="18" t="n"/>
      <c r="G966" s="18" t="n"/>
      <c r="H966" s="18" t="n"/>
      <c r="I966" s="18" t="n"/>
      <c r="J966" s="14" t="n"/>
      <c r="K966" s="19">
        <f>IF(AND(ISNUMBER(F966),ISNUMBER(G966)),(G966-F966)*1440,"")</f>
        <v/>
      </c>
      <c r="L966" s="19">
        <f>IF(AND(ISNUMBER(H966),ISNUMBER(I966)),(I966-H966)*1440,"")</f>
        <v/>
      </c>
      <c r="M966" s="15">
        <f>IF(ISNUMBER(F966),HOUR(F966),"")</f>
        <v/>
      </c>
    </row>
    <row r="967" ht="15.75" customHeight="1" s="36">
      <c r="A967" s="2" t="n"/>
      <c r="B967" s="12" t="n"/>
      <c r="C967" s="14" t="n"/>
      <c r="D967" s="14" t="n"/>
      <c r="E967" s="14" t="n"/>
      <c r="F967" s="18" t="n"/>
      <c r="G967" s="18" t="n"/>
      <c r="H967" s="18" t="n"/>
      <c r="I967" s="18" t="n"/>
      <c r="J967" s="14" t="n"/>
      <c r="K967" s="19">
        <f>IF(AND(ISNUMBER(F967),ISNUMBER(G967)),(G967-F967)*1440,"")</f>
        <v/>
      </c>
      <c r="L967" s="19">
        <f>IF(AND(ISNUMBER(H967),ISNUMBER(I967)),(I967-H967)*1440,"")</f>
        <v/>
      </c>
      <c r="M967" s="15">
        <f>IF(ISNUMBER(F967),HOUR(F967),"")</f>
        <v/>
      </c>
    </row>
    <row r="968" ht="15.75" customHeight="1" s="36">
      <c r="A968" s="2" t="n"/>
      <c r="B968" s="12" t="n"/>
      <c r="C968" s="14" t="n"/>
      <c r="D968" s="14" t="n"/>
      <c r="E968" s="14" t="n"/>
      <c r="F968" s="18" t="n"/>
      <c r="G968" s="18" t="n"/>
      <c r="H968" s="18" t="n"/>
      <c r="I968" s="18" t="n"/>
      <c r="J968" s="14" t="n"/>
      <c r="K968" s="19">
        <f>IF(AND(ISNUMBER(F968),ISNUMBER(G968)),(G968-F968)*1440,"")</f>
        <v/>
      </c>
      <c r="L968" s="19">
        <f>IF(AND(ISNUMBER(H968),ISNUMBER(I968)),(I968-H968)*1440,"")</f>
        <v/>
      </c>
      <c r="M968" s="15">
        <f>IF(ISNUMBER(F968),HOUR(F968),"")</f>
        <v/>
      </c>
    </row>
    <row r="969" ht="15.75" customHeight="1" s="36">
      <c r="A969" s="2" t="n"/>
      <c r="B969" s="12" t="n"/>
      <c r="C969" s="14" t="n"/>
      <c r="D969" s="14" t="n"/>
      <c r="E969" s="14" t="n"/>
      <c r="F969" s="18" t="n"/>
      <c r="G969" s="18" t="n"/>
      <c r="H969" s="18" t="n"/>
      <c r="I969" s="18" t="n"/>
      <c r="J969" s="14" t="n"/>
      <c r="K969" s="19">
        <f>IF(AND(ISNUMBER(F969),ISNUMBER(G969)),(G969-F969)*1440,"")</f>
        <v/>
      </c>
      <c r="L969" s="19">
        <f>IF(AND(ISNUMBER(H969),ISNUMBER(I969)),(I969-H969)*1440,"")</f>
        <v/>
      </c>
      <c r="M969" s="15">
        <f>IF(ISNUMBER(F969),HOUR(F969),"")</f>
        <v/>
      </c>
    </row>
    <row r="970" ht="15.75" customHeight="1" s="36">
      <c r="A970" s="2" t="n"/>
      <c r="B970" s="12" t="n"/>
      <c r="C970" s="14" t="n"/>
      <c r="D970" s="14" t="n"/>
      <c r="E970" s="14" t="n"/>
      <c r="F970" s="18" t="n"/>
      <c r="G970" s="18" t="n"/>
      <c r="H970" s="18" t="n"/>
      <c r="I970" s="18" t="n"/>
      <c r="J970" s="14" t="n"/>
      <c r="K970" s="19">
        <f>IF(AND(ISNUMBER(F970),ISNUMBER(G970)),(G970-F970)*1440,"")</f>
        <v/>
      </c>
      <c r="L970" s="19">
        <f>IF(AND(ISNUMBER(H970),ISNUMBER(I970)),(I970-H970)*1440,"")</f>
        <v/>
      </c>
      <c r="M970" s="15">
        <f>IF(ISNUMBER(F970),HOUR(F970),"")</f>
        <v/>
      </c>
    </row>
    <row r="971" ht="15.75" customHeight="1" s="36">
      <c r="A971" s="2" t="n"/>
      <c r="B971" s="12" t="n"/>
      <c r="C971" s="14" t="n"/>
      <c r="D971" s="14" t="n"/>
      <c r="E971" s="14" t="n"/>
      <c r="F971" s="18" t="n"/>
      <c r="G971" s="18" t="n"/>
      <c r="H971" s="18" t="n"/>
      <c r="I971" s="18" t="n"/>
      <c r="J971" s="14" t="n"/>
      <c r="K971" s="19">
        <f>IF(AND(ISNUMBER(F971),ISNUMBER(G971)),(G971-F971)*1440,"")</f>
        <v/>
      </c>
      <c r="L971" s="19">
        <f>IF(AND(ISNUMBER(H971),ISNUMBER(I971)),(I971-H971)*1440,"")</f>
        <v/>
      </c>
      <c r="M971" s="15">
        <f>IF(ISNUMBER(F971),HOUR(F971),"")</f>
        <v/>
      </c>
    </row>
    <row r="972" ht="15.75" customHeight="1" s="36">
      <c r="A972" s="2" t="n"/>
      <c r="B972" s="12" t="n"/>
      <c r="C972" s="14" t="n"/>
      <c r="D972" s="14" t="n"/>
      <c r="E972" s="14" t="n"/>
      <c r="F972" s="18" t="n"/>
      <c r="G972" s="18" t="n"/>
      <c r="H972" s="18" t="n"/>
      <c r="I972" s="18" t="n"/>
      <c r="J972" s="14" t="n"/>
      <c r="K972" s="19">
        <f>IF(AND(ISNUMBER(F972),ISNUMBER(G972)),(G972-F972)*1440,"")</f>
        <v/>
      </c>
      <c r="L972" s="19">
        <f>IF(AND(ISNUMBER(H972),ISNUMBER(I972)),(I972-H972)*1440,"")</f>
        <v/>
      </c>
      <c r="M972" s="15">
        <f>IF(ISNUMBER(F972),HOUR(F972),"")</f>
        <v/>
      </c>
    </row>
    <row r="973" ht="15.75" customHeight="1" s="36">
      <c r="A973" s="2" t="n"/>
      <c r="B973" s="12" t="n"/>
      <c r="C973" s="14" t="n"/>
      <c r="D973" s="14" t="n"/>
      <c r="E973" s="14" t="n"/>
      <c r="F973" s="18" t="n"/>
      <c r="G973" s="18" t="n"/>
      <c r="H973" s="18" t="n"/>
      <c r="I973" s="18" t="n"/>
      <c r="J973" s="14" t="n"/>
      <c r="K973" s="19">
        <f>IF(AND(ISNUMBER(F973),ISNUMBER(G973)),(G973-F973)*1440,"")</f>
        <v/>
      </c>
      <c r="L973" s="19">
        <f>IF(AND(ISNUMBER(H973),ISNUMBER(I973)),(I973-H973)*1440,"")</f>
        <v/>
      </c>
      <c r="M973" s="15">
        <f>IF(ISNUMBER(F973),HOUR(F973),"")</f>
        <v/>
      </c>
    </row>
    <row r="974" ht="15.75" customHeight="1" s="36">
      <c r="A974" s="2" t="n"/>
      <c r="B974" s="12" t="n"/>
      <c r="C974" s="14" t="n"/>
      <c r="D974" s="14" t="n"/>
      <c r="E974" s="14" t="n"/>
      <c r="F974" s="18" t="n"/>
      <c r="G974" s="18" t="n"/>
      <c r="H974" s="18" t="n"/>
      <c r="I974" s="18" t="n"/>
      <c r="J974" s="14" t="n"/>
      <c r="K974" s="19">
        <f>IF(AND(ISNUMBER(F974),ISNUMBER(G974)),(G974-F974)*1440,"")</f>
        <v/>
      </c>
      <c r="L974" s="19">
        <f>IF(AND(ISNUMBER(H974),ISNUMBER(I974)),(I974-H974)*1440,"")</f>
        <v/>
      </c>
      <c r="M974" s="15">
        <f>IF(ISNUMBER(F974),HOUR(F974),"")</f>
        <v/>
      </c>
    </row>
    <row r="975" ht="15.75" customHeight="1" s="36">
      <c r="A975" s="2" t="n"/>
      <c r="B975" s="12" t="n"/>
      <c r="C975" s="14" t="n"/>
      <c r="D975" s="14" t="n"/>
      <c r="E975" s="14" t="n"/>
      <c r="F975" s="18" t="n"/>
      <c r="G975" s="18" t="n"/>
      <c r="H975" s="18" t="n"/>
      <c r="I975" s="18" t="n"/>
      <c r="J975" s="14" t="n"/>
      <c r="K975" s="19">
        <f>IF(AND(ISNUMBER(F975),ISNUMBER(G975)),(G975-F975)*1440,"")</f>
        <v/>
      </c>
      <c r="L975" s="19">
        <f>IF(AND(ISNUMBER(H975),ISNUMBER(I975)),(I975-H975)*1440,"")</f>
        <v/>
      </c>
      <c r="M975" s="15">
        <f>IF(ISNUMBER(F975),HOUR(F975),"")</f>
        <v/>
      </c>
    </row>
    <row r="976" ht="15.75" customHeight="1" s="36">
      <c r="A976" s="2" t="n"/>
      <c r="B976" s="12" t="n"/>
      <c r="C976" s="14" t="n"/>
      <c r="D976" s="14" t="n"/>
      <c r="E976" s="14" t="n"/>
      <c r="F976" s="18" t="n"/>
      <c r="G976" s="18" t="n"/>
      <c r="H976" s="18" t="n"/>
      <c r="I976" s="18" t="n"/>
      <c r="J976" s="14" t="n"/>
      <c r="K976" s="19">
        <f>IF(AND(ISNUMBER(F976),ISNUMBER(G976)),(G976-F976)*1440,"")</f>
        <v/>
      </c>
      <c r="L976" s="19">
        <f>IF(AND(ISNUMBER(H976),ISNUMBER(I976)),(I976-H976)*1440,"")</f>
        <v/>
      </c>
      <c r="M976" s="15">
        <f>IF(ISNUMBER(F976),HOUR(F976),"")</f>
        <v/>
      </c>
    </row>
    <row r="977" ht="15.75" customHeight="1" s="36">
      <c r="A977" s="2" t="n"/>
      <c r="B977" s="12" t="n"/>
      <c r="C977" s="14" t="n"/>
      <c r="D977" s="14" t="n"/>
      <c r="E977" s="14" t="n"/>
      <c r="F977" s="18" t="n"/>
      <c r="G977" s="18" t="n"/>
      <c r="H977" s="18" t="n"/>
      <c r="I977" s="18" t="n"/>
      <c r="J977" s="14" t="n"/>
      <c r="K977" s="19">
        <f>IF(AND(ISNUMBER(F977),ISNUMBER(G977)),(G977-F977)*1440,"")</f>
        <v/>
      </c>
      <c r="L977" s="19">
        <f>IF(AND(ISNUMBER(H977),ISNUMBER(I977)),(I977-H977)*1440,"")</f>
        <v/>
      </c>
      <c r="M977" s="15">
        <f>IF(ISNUMBER(F977),HOUR(F977),"")</f>
        <v/>
      </c>
    </row>
    <row r="978" ht="15.75" customHeight="1" s="36">
      <c r="A978" s="2" t="n"/>
      <c r="B978" s="12" t="n"/>
      <c r="C978" s="14" t="n"/>
      <c r="D978" s="14" t="n"/>
      <c r="E978" s="14" t="n"/>
      <c r="F978" s="18" t="n"/>
      <c r="G978" s="18" t="n"/>
      <c r="H978" s="18" t="n"/>
      <c r="I978" s="18" t="n"/>
      <c r="J978" s="14" t="n"/>
      <c r="K978" s="19">
        <f>IF(AND(ISNUMBER(F978),ISNUMBER(G978)),(G978-F978)*1440,"")</f>
        <v/>
      </c>
      <c r="L978" s="19">
        <f>IF(AND(ISNUMBER(H978),ISNUMBER(I978)),(I978-H978)*1440,"")</f>
        <v/>
      </c>
      <c r="M978" s="15">
        <f>IF(ISNUMBER(F978),HOUR(F978),"")</f>
        <v/>
      </c>
    </row>
    <row r="979" ht="15.75" customHeight="1" s="36">
      <c r="A979" s="2" t="n"/>
      <c r="B979" s="12" t="n"/>
      <c r="C979" s="14" t="n"/>
      <c r="D979" s="14" t="n"/>
      <c r="E979" s="14" t="n"/>
      <c r="F979" s="18" t="n"/>
      <c r="G979" s="18" t="n"/>
      <c r="H979" s="18" t="n"/>
      <c r="I979" s="18" t="n"/>
      <c r="J979" s="14" t="n"/>
      <c r="K979" s="19">
        <f>IF(AND(ISNUMBER(F979),ISNUMBER(G979)),(G979-F979)*1440,"")</f>
        <v/>
      </c>
      <c r="L979" s="19">
        <f>IF(AND(ISNUMBER(H979),ISNUMBER(I979)),(I979-H979)*1440,"")</f>
        <v/>
      </c>
      <c r="M979" s="15">
        <f>IF(ISNUMBER(F979),HOUR(F979),"")</f>
        <v/>
      </c>
    </row>
    <row r="980" ht="15.75" customHeight="1" s="36">
      <c r="A980" s="2" t="n"/>
      <c r="B980" s="12" t="n"/>
      <c r="C980" s="14" t="n"/>
      <c r="D980" s="14" t="n"/>
      <c r="E980" s="14" t="n"/>
      <c r="F980" s="18" t="n"/>
      <c r="G980" s="18" t="n"/>
      <c r="H980" s="18" t="n"/>
      <c r="I980" s="18" t="n"/>
      <c r="J980" s="14" t="n"/>
      <c r="K980" s="19">
        <f>IF(AND(ISNUMBER(F980),ISNUMBER(G980)),(G980-F980)*1440,"")</f>
        <v/>
      </c>
      <c r="L980" s="19">
        <f>IF(AND(ISNUMBER(H980),ISNUMBER(I980)),(I980-H980)*1440,"")</f>
        <v/>
      </c>
      <c r="M980" s="15">
        <f>IF(ISNUMBER(F980),HOUR(F980),"")</f>
        <v/>
      </c>
    </row>
    <row r="981" ht="15.75" customHeight="1" s="36">
      <c r="A981" s="2" t="n"/>
      <c r="B981" s="12" t="n"/>
      <c r="C981" s="14" t="n"/>
      <c r="D981" s="14" t="n"/>
      <c r="E981" s="14" t="n"/>
      <c r="F981" s="18" t="n"/>
      <c r="G981" s="18" t="n"/>
      <c r="H981" s="18" t="n"/>
      <c r="I981" s="18" t="n"/>
      <c r="J981" s="14" t="n"/>
      <c r="K981" s="19">
        <f>IF(AND(ISNUMBER(F981),ISNUMBER(G981)),(G981-F981)*1440,"")</f>
        <v/>
      </c>
      <c r="L981" s="19">
        <f>IF(AND(ISNUMBER(H981),ISNUMBER(I981)),(I981-H981)*1440,"")</f>
        <v/>
      </c>
      <c r="M981" s="15">
        <f>IF(ISNUMBER(F981),HOUR(F981),"")</f>
        <v/>
      </c>
    </row>
    <row r="982" ht="15.75" customHeight="1" s="36">
      <c r="A982" s="2" t="n"/>
      <c r="B982" s="12" t="n"/>
      <c r="C982" s="14" t="n"/>
      <c r="D982" s="14" t="n"/>
      <c r="E982" s="14" t="n"/>
      <c r="F982" s="18" t="n"/>
      <c r="G982" s="18" t="n"/>
      <c r="H982" s="18" t="n"/>
      <c r="I982" s="18" t="n"/>
      <c r="J982" s="14" t="n"/>
      <c r="K982" s="19">
        <f>IF(AND(ISNUMBER(F982),ISNUMBER(G982)),(G982-F982)*1440,"")</f>
        <v/>
      </c>
      <c r="L982" s="19">
        <f>IF(AND(ISNUMBER(H982),ISNUMBER(I982)),(I982-H982)*1440,"")</f>
        <v/>
      </c>
      <c r="M982" s="15">
        <f>IF(ISNUMBER(F982),HOUR(F982),"")</f>
        <v/>
      </c>
    </row>
    <row r="983" ht="15.75" customHeight="1" s="36">
      <c r="A983" s="2" t="n"/>
      <c r="B983" s="12" t="n"/>
      <c r="C983" s="14" t="n"/>
      <c r="D983" s="14" t="n"/>
      <c r="E983" s="14" t="n"/>
      <c r="F983" s="18" t="n"/>
      <c r="G983" s="18" t="n"/>
      <c r="H983" s="18" t="n"/>
      <c r="I983" s="18" t="n"/>
      <c r="J983" s="14" t="n"/>
      <c r="K983" s="19">
        <f>IF(AND(ISNUMBER(F983),ISNUMBER(G983)),(G983-F983)*1440,"")</f>
        <v/>
      </c>
      <c r="L983" s="19">
        <f>IF(AND(ISNUMBER(H983),ISNUMBER(I983)),(I983-H983)*1440,"")</f>
        <v/>
      </c>
      <c r="M983" s="15">
        <f>IF(ISNUMBER(F983),HOUR(F983),"")</f>
        <v/>
      </c>
    </row>
    <row r="984" ht="15.75" customHeight="1" s="36">
      <c r="A984" s="2" t="n"/>
      <c r="B984" s="12" t="n"/>
      <c r="C984" s="14" t="n"/>
      <c r="D984" s="14" t="n"/>
      <c r="E984" s="14" t="n"/>
      <c r="F984" s="18" t="n"/>
      <c r="G984" s="18" t="n"/>
      <c r="H984" s="18" t="n"/>
      <c r="I984" s="18" t="n"/>
      <c r="J984" s="14" t="n"/>
      <c r="K984" s="19">
        <f>IF(AND(ISNUMBER(F984),ISNUMBER(G984)),(G984-F984)*1440,"")</f>
        <v/>
      </c>
      <c r="L984" s="19">
        <f>IF(AND(ISNUMBER(H984),ISNUMBER(I984)),(I984-H984)*1440,"")</f>
        <v/>
      </c>
      <c r="M984" s="15">
        <f>IF(ISNUMBER(F984),HOUR(F984),"")</f>
        <v/>
      </c>
    </row>
    <row r="985" ht="15.75" customHeight="1" s="36">
      <c r="A985" s="2" t="n"/>
      <c r="B985" s="12" t="n"/>
      <c r="C985" s="14" t="n"/>
      <c r="D985" s="14" t="n"/>
      <c r="E985" s="14" t="n"/>
      <c r="F985" s="18" t="n"/>
      <c r="G985" s="18" t="n"/>
      <c r="H985" s="18" t="n"/>
      <c r="I985" s="18" t="n"/>
      <c r="J985" s="14" t="n"/>
      <c r="K985" s="19">
        <f>IF(AND(ISNUMBER(F985),ISNUMBER(G985)),(G985-F985)*1440,"")</f>
        <v/>
      </c>
      <c r="L985" s="19">
        <f>IF(AND(ISNUMBER(H985),ISNUMBER(I985)),(I985-H985)*1440,"")</f>
        <v/>
      </c>
      <c r="M985" s="15">
        <f>IF(ISNUMBER(F985),HOUR(F985),"")</f>
        <v/>
      </c>
    </row>
    <row r="986" ht="15.75" customHeight="1" s="36">
      <c r="A986" s="2" t="n"/>
      <c r="B986" s="12" t="n"/>
      <c r="C986" s="14" t="n"/>
      <c r="D986" s="14" t="n"/>
      <c r="E986" s="14" t="n"/>
      <c r="F986" s="18" t="n"/>
      <c r="G986" s="18" t="n"/>
      <c r="H986" s="18" t="n"/>
      <c r="I986" s="18" t="n"/>
      <c r="J986" s="14" t="n"/>
      <c r="K986" s="19">
        <f>IF(AND(ISNUMBER(F986),ISNUMBER(G986)),(G986-F986)*1440,"")</f>
        <v/>
      </c>
      <c r="L986" s="19">
        <f>IF(AND(ISNUMBER(H986),ISNUMBER(I986)),(I986-H986)*1440,"")</f>
        <v/>
      </c>
      <c r="M986" s="15">
        <f>IF(ISNUMBER(F986),HOUR(F986),"")</f>
        <v/>
      </c>
    </row>
    <row r="987" ht="15.75" customHeight="1" s="36">
      <c r="A987" s="2" t="n"/>
      <c r="B987" s="12" t="n"/>
      <c r="C987" s="14" t="n"/>
      <c r="D987" s="14" t="n"/>
      <c r="E987" s="14" t="n"/>
      <c r="F987" s="18" t="n"/>
      <c r="G987" s="18" t="n"/>
      <c r="H987" s="18" t="n"/>
      <c r="I987" s="18" t="n"/>
      <c r="J987" s="14" t="n"/>
      <c r="K987" s="19">
        <f>IF(AND(ISNUMBER(F987),ISNUMBER(G987)),(G987-F987)*1440,"")</f>
        <v/>
      </c>
      <c r="L987" s="19">
        <f>IF(AND(ISNUMBER(H987),ISNUMBER(I987)),(I987-H987)*1440,"")</f>
        <v/>
      </c>
      <c r="M987" s="15">
        <f>IF(ISNUMBER(F987),HOUR(F987),"")</f>
        <v/>
      </c>
    </row>
    <row r="988" ht="15.75" customHeight="1" s="36">
      <c r="A988" s="2" t="n"/>
      <c r="B988" s="12" t="n"/>
      <c r="C988" s="14" t="n"/>
      <c r="D988" s="14" t="n"/>
      <c r="E988" s="14" t="n"/>
      <c r="F988" s="18" t="n"/>
      <c r="G988" s="18" t="n"/>
      <c r="H988" s="18" t="n"/>
      <c r="I988" s="18" t="n"/>
      <c r="J988" s="14" t="n"/>
      <c r="K988" s="19">
        <f>IF(AND(ISNUMBER(F988),ISNUMBER(G988)),(G988-F988)*1440,"")</f>
        <v/>
      </c>
      <c r="L988" s="19">
        <f>IF(AND(ISNUMBER(H988),ISNUMBER(I988)),(I988-H988)*1440,"")</f>
        <v/>
      </c>
      <c r="M988" s="15">
        <f>IF(ISNUMBER(F988),HOUR(F988),"")</f>
        <v/>
      </c>
    </row>
    <row r="989" ht="15.75" customHeight="1" s="36">
      <c r="A989" s="2" t="n"/>
      <c r="B989" s="12" t="n"/>
      <c r="C989" s="14" t="n"/>
      <c r="D989" s="14" t="n"/>
      <c r="E989" s="14" t="n"/>
      <c r="F989" s="18" t="n"/>
      <c r="G989" s="18" t="n"/>
      <c r="H989" s="18" t="n"/>
      <c r="I989" s="18" t="n"/>
      <c r="J989" s="14" t="n"/>
      <c r="K989" s="19">
        <f>IF(AND(ISNUMBER(F989),ISNUMBER(G989)),(G989-F989)*1440,"")</f>
        <v/>
      </c>
      <c r="L989" s="19">
        <f>IF(AND(ISNUMBER(H989),ISNUMBER(I989)),(I989-H989)*1440,"")</f>
        <v/>
      </c>
      <c r="M989" s="15">
        <f>IF(ISNUMBER(F989),HOUR(F989),"")</f>
        <v/>
      </c>
    </row>
    <row r="990" ht="15.75" customHeight="1" s="36">
      <c r="A990" s="2" t="n"/>
      <c r="B990" s="12" t="n"/>
      <c r="C990" s="14" t="n"/>
      <c r="D990" s="14" t="n"/>
      <c r="E990" s="14" t="n"/>
      <c r="F990" s="18" t="n"/>
      <c r="G990" s="18" t="n"/>
      <c r="H990" s="18" t="n"/>
      <c r="I990" s="18" t="n"/>
      <c r="J990" s="14" t="n"/>
      <c r="K990" s="19">
        <f>IF(AND(ISNUMBER(F990),ISNUMBER(G990)),(G990-F990)*1440,"")</f>
        <v/>
      </c>
      <c r="L990" s="19">
        <f>IF(AND(ISNUMBER(H990),ISNUMBER(I990)),(I990-H990)*1440,"")</f>
        <v/>
      </c>
      <c r="M990" s="15">
        <f>IF(ISNUMBER(F990),HOUR(F990),"")</f>
        <v/>
      </c>
    </row>
    <row r="991" ht="15.75" customHeight="1" s="36">
      <c r="A991" s="2" t="n"/>
      <c r="B991" s="12" t="n"/>
      <c r="C991" s="14" t="n"/>
      <c r="D991" s="14" t="n"/>
      <c r="E991" s="14" t="n"/>
      <c r="F991" s="18" t="n"/>
      <c r="G991" s="18" t="n"/>
      <c r="H991" s="18" t="n"/>
      <c r="I991" s="18" t="n"/>
      <c r="J991" s="14" t="n"/>
      <c r="K991" s="19">
        <f>IF(AND(ISNUMBER(F991),ISNUMBER(G991)),(G991-F991)*1440,"")</f>
        <v/>
      </c>
      <c r="L991" s="19">
        <f>IF(AND(ISNUMBER(H991),ISNUMBER(I991)),(I991-H991)*1440,"")</f>
        <v/>
      </c>
      <c r="M991" s="15">
        <f>IF(ISNUMBER(F991),HOUR(F991),"")</f>
        <v/>
      </c>
    </row>
    <row r="992" ht="15.75" customHeight="1" s="36">
      <c r="A992" s="2" t="n"/>
      <c r="B992" s="12" t="n"/>
      <c r="C992" s="14" t="n"/>
      <c r="D992" s="14" t="n"/>
      <c r="E992" s="14" t="n"/>
      <c r="F992" s="18" t="n"/>
      <c r="G992" s="18" t="n"/>
      <c r="H992" s="18" t="n"/>
      <c r="I992" s="18" t="n"/>
      <c r="J992" s="14" t="n"/>
      <c r="K992" s="19">
        <f>IF(AND(ISNUMBER(F992),ISNUMBER(G992)),(G992-F992)*1440,"")</f>
        <v/>
      </c>
      <c r="L992" s="19">
        <f>IF(AND(ISNUMBER(H992),ISNUMBER(I992)),(I992-H992)*1440,"")</f>
        <v/>
      </c>
      <c r="M992" s="15">
        <f>IF(ISNUMBER(F992),HOUR(F992),"")</f>
        <v/>
      </c>
    </row>
    <row r="993" ht="15.75" customHeight="1" s="36">
      <c r="A993" s="2" t="n"/>
      <c r="B993" s="12" t="n"/>
      <c r="C993" s="14" t="n"/>
      <c r="D993" s="14" t="n"/>
      <c r="E993" s="14" t="n"/>
      <c r="F993" s="18" t="n"/>
      <c r="G993" s="18" t="n"/>
      <c r="H993" s="18" t="n"/>
      <c r="I993" s="18" t="n"/>
      <c r="J993" s="14" t="n"/>
      <c r="K993" s="19">
        <f>IF(AND(ISNUMBER(F993),ISNUMBER(G993)),(G993-F993)*1440,"")</f>
        <v/>
      </c>
      <c r="L993" s="19">
        <f>IF(AND(ISNUMBER(H993),ISNUMBER(I993)),(I993-H993)*1440,"")</f>
        <v/>
      </c>
      <c r="M993" s="15">
        <f>IF(ISNUMBER(F993),HOUR(F993),"")</f>
        <v/>
      </c>
    </row>
    <row r="994" ht="15.75" customHeight="1" s="36">
      <c r="A994" s="2" t="n"/>
      <c r="B994" s="12" t="n"/>
      <c r="C994" s="14" t="n"/>
      <c r="D994" s="14" t="n"/>
      <c r="E994" s="14" t="n"/>
      <c r="F994" s="18" t="n"/>
      <c r="G994" s="18" t="n"/>
      <c r="H994" s="18" t="n"/>
      <c r="I994" s="18" t="n"/>
      <c r="J994" s="14" t="n"/>
      <c r="K994" s="19">
        <f>IF(AND(ISNUMBER(F994),ISNUMBER(G994)),(G994-F994)*1440,"")</f>
        <v/>
      </c>
      <c r="L994" s="19">
        <f>IF(AND(ISNUMBER(H994),ISNUMBER(I994)),(I994-H994)*1440,"")</f>
        <v/>
      </c>
      <c r="M994" s="15">
        <f>IF(ISNUMBER(F994),HOUR(F994),"")</f>
        <v/>
      </c>
    </row>
    <row r="995" ht="15.75" customHeight="1" s="36">
      <c r="A995" s="2" t="n"/>
      <c r="B995" s="12" t="n"/>
      <c r="C995" s="14" t="n"/>
      <c r="D995" s="14" t="n"/>
      <c r="E995" s="14" t="n"/>
      <c r="F995" s="18" t="n"/>
      <c r="G995" s="18" t="n"/>
      <c r="H995" s="18" t="n"/>
      <c r="I995" s="18" t="n"/>
      <c r="J995" s="14" t="n"/>
      <c r="K995" s="19">
        <f>IF(AND(ISNUMBER(F995),ISNUMBER(G995)),(G995-F995)*1440,"")</f>
        <v/>
      </c>
      <c r="L995" s="19">
        <f>IF(AND(ISNUMBER(H995),ISNUMBER(I995)),(I995-H995)*1440,"")</f>
        <v/>
      </c>
      <c r="M995" s="15">
        <f>IF(ISNUMBER(F995),HOUR(F995),"")</f>
        <v/>
      </c>
    </row>
    <row r="996" ht="15.75" customHeight="1" s="36">
      <c r="A996" s="2" t="n"/>
      <c r="B996" s="12" t="n"/>
      <c r="C996" s="14" t="n"/>
      <c r="D996" s="14" t="n"/>
      <c r="E996" s="14" t="n"/>
      <c r="F996" s="18" t="n"/>
      <c r="G996" s="18" t="n"/>
      <c r="H996" s="18" t="n"/>
      <c r="I996" s="18" t="n"/>
      <c r="J996" s="14" t="n"/>
      <c r="K996" s="19">
        <f>IF(AND(ISNUMBER(F996),ISNUMBER(G996)),(G996-F996)*1440,"")</f>
        <v/>
      </c>
      <c r="L996" s="19">
        <f>IF(AND(ISNUMBER(H996),ISNUMBER(I996)),(I996-H996)*1440,"")</f>
        <v/>
      </c>
      <c r="M996" s="15">
        <f>IF(ISNUMBER(F996),HOUR(F996),"")</f>
        <v/>
      </c>
    </row>
    <row r="997" ht="15.75" customHeight="1" s="36">
      <c r="A997" s="2" t="n"/>
      <c r="B997" s="12" t="n"/>
      <c r="C997" s="14" t="n"/>
      <c r="D997" s="14" t="n"/>
      <c r="E997" s="14" t="n"/>
      <c r="F997" s="18" t="n"/>
      <c r="G997" s="18" t="n"/>
      <c r="H997" s="18" t="n"/>
      <c r="I997" s="18" t="n"/>
      <c r="J997" s="14" t="n"/>
      <c r="K997" s="19">
        <f>IF(AND(ISNUMBER(F997),ISNUMBER(G997)),(G997-F997)*1440,"")</f>
        <v/>
      </c>
      <c r="L997" s="19">
        <f>IF(AND(ISNUMBER(H997),ISNUMBER(I997)),(I997-H997)*1440,"")</f>
        <v/>
      </c>
      <c r="M997" s="15">
        <f>IF(ISNUMBER(F997),HOUR(F997),"")</f>
        <v/>
      </c>
    </row>
    <row r="998" ht="15.75" customHeight="1" s="36">
      <c r="A998" s="2" t="n"/>
      <c r="B998" s="12" t="n"/>
      <c r="C998" s="14" t="n"/>
      <c r="D998" s="14" t="n"/>
      <c r="E998" s="14" t="n"/>
      <c r="F998" s="18" t="n"/>
      <c r="G998" s="18" t="n"/>
      <c r="H998" s="18" t="n"/>
      <c r="I998" s="18" t="n"/>
      <c r="J998" s="14" t="n"/>
      <c r="K998" s="19">
        <f>IF(AND(ISNUMBER(F998),ISNUMBER(G998)),(G998-F998)*1440,"")</f>
        <v/>
      </c>
      <c r="L998" s="19">
        <f>IF(AND(ISNUMBER(H998),ISNUMBER(I998)),(I998-H998)*1440,"")</f>
        <v/>
      </c>
      <c r="M998" s="15">
        <f>IF(ISNUMBER(F998),HOUR(F998),"")</f>
        <v/>
      </c>
    </row>
    <row r="999" ht="15.75" customHeight="1" s="36">
      <c r="A999" s="2" t="n"/>
      <c r="B999" s="12" t="n"/>
      <c r="C999" s="14" t="n"/>
      <c r="D999" s="14" t="n"/>
      <c r="E999" s="14" t="n"/>
      <c r="F999" s="18" t="n"/>
      <c r="G999" s="18" t="n"/>
      <c r="H999" s="18" t="n"/>
      <c r="I999" s="18" t="n"/>
      <c r="J999" s="14" t="n"/>
      <c r="K999" s="19">
        <f>IF(AND(ISNUMBER(F999),ISNUMBER(G999)),(G999-F999)*1440,"")</f>
        <v/>
      </c>
      <c r="L999" s="19">
        <f>IF(AND(ISNUMBER(H999),ISNUMBER(I999)),(I999-H999)*1440,"")</f>
        <v/>
      </c>
      <c r="M999" s="15">
        <f>IF(ISNUMBER(F999),HOUR(F999),"")</f>
        <v/>
      </c>
    </row>
    <row r="1000" ht="15.75" customHeight="1" s="36">
      <c r="A1000" s="2" t="n"/>
      <c r="B1000" s="12" t="n"/>
      <c r="C1000" s="14" t="n"/>
      <c r="D1000" s="14" t="n"/>
      <c r="E1000" s="14" t="n"/>
      <c r="F1000" s="18" t="n"/>
      <c r="G1000" s="18" t="n"/>
      <c r="H1000" s="18" t="n"/>
      <c r="I1000" s="18" t="n"/>
      <c r="J1000" s="14" t="n"/>
      <c r="K1000" s="19">
        <f>IF(AND(ISNUMBER(F1000),ISNUMBER(G1000)),(G1000-F1000)*1440,"")</f>
        <v/>
      </c>
      <c r="L1000" s="19">
        <f>IF(AND(ISNUMBER(H1000),ISNUMBER(I1000)),(I1000-H1000)*1440,"")</f>
        <v/>
      </c>
      <c r="M1000" s="15">
        <f>IF(ISNUMBER(F1000),HOUR(F1000),"")</f>
        <v/>
      </c>
    </row>
    <row r="1001" ht="15.75" customHeight="1" s="36">
      <c r="A1001" s="2" t="n"/>
      <c r="B1001" s="12" t="n"/>
      <c r="C1001" s="14" t="n"/>
      <c r="D1001" s="14" t="n"/>
      <c r="E1001" s="14" t="n"/>
      <c r="F1001" s="18" t="n"/>
      <c r="G1001" s="18" t="n"/>
      <c r="H1001" s="18" t="n"/>
      <c r="I1001" s="18" t="n"/>
      <c r="J1001" s="14" t="n"/>
      <c r="K1001" s="19">
        <f>IF(AND(ISNUMBER(F1001),ISNUMBER(G1001)),(G1001-F1001)*1440,"")</f>
        <v/>
      </c>
      <c r="L1001" s="19">
        <f>IF(AND(ISNUMBER(H1001),ISNUMBER(I1001)),(I1001-H1001)*1440,"")</f>
        <v/>
      </c>
      <c r="M1001" s="15">
        <f>IF(ISNUMBER(F1001),HOUR(F1001),"")</f>
        <v/>
      </c>
    </row>
    <row r="1002" ht="15.75" customHeight="1" s="36">
      <c r="A1002" s="2" t="n"/>
      <c r="B1002" s="12" t="n"/>
      <c r="C1002" s="14" t="n"/>
      <c r="D1002" s="14" t="n"/>
      <c r="E1002" s="14" t="n"/>
      <c r="F1002" s="18" t="n"/>
      <c r="G1002" s="18" t="n"/>
      <c r="H1002" s="18" t="n"/>
      <c r="I1002" s="18" t="n"/>
      <c r="J1002" s="14" t="n"/>
      <c r="K1002" s="19">
        <f>IF(AND(ISNUMBER(F1002),ISNUMBER(G1002)),(G1002-F1002)*1440,"")</f>
        <v/>
      </c>
      <c r="L1002" s="19">
        <f>IF(AND(ISNUMBER(H1002),ISNUMBER(I1002)),(I1002-H1002)*1440,"")</f>
        <v/>
      </c>
      <c r="M1002" s="15">
        <f>IF(ISNUMBER(F1002),HOUR(F1002),"")</f>
        <v/>
      </c>
    </row>
    <row r="1003" ht="15.75" customHeight="1" s="36">
      <c r="A1003" s="2" t="n"/>
      <c r="B1003" s="12" t="n"/>
      <c r="C1003" s="14" t="n"/>
      <c r="D1003" s="14" t="n"/>
      <c r="E1003" s="14" t="n"/>
      <c r="F1003" s="18" t="n"/>
      <c r="G1003" s="18" t="n"/>
      <c r="H1003" s="18" t="n"/>
      <c r="I1003" s="18" t="n"/>
      <c r="J1003" s="14" t="n"/>
      <c r="K1003" s="19">
        <f>IF(AND(ISNUMBER(F1003),ISNUMBER(G1003)),(G1003-F1003)*1440,"")</f>
        <v/>
      </c>
      <c r="L1003" s="19">
        <f>IF(AND(ISNUMBER(H1003),ISNUMBER(I1003)),(I1003-H1003)*1440,"")</f>
        <v/>
      </c>
      <c r="M1003" s="15">
        <f>IF(ISNUMBER(F1003),HOUR(F1003),"")</f>
        <v/>
      </c>
    </row>
  </sheetData>
  <dataValidations count="1">
    <dataValidation sqref="E4:E1003" showDropDown="0" showInputMessage="0" showErrorMessage="0" allowBlank="1" type="list">
      <formula1>"S,N"</formula1>
    </dataValidation>
  </dataValidations>
  <pageMargins left="0.75" right="0.75" top="1" bottom="1" header="0" footer="0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baseColWidth="8" defaultColWidth="14.43" defaultRowHeight="15" customHeight="1"/>
  <cols>
    <col width="30" customWidth="1" style="36" min="1" max="1"/>
    <col width="12" customWidth="1" style="36" min="2" max="12"/>
    <col width="8.710000000000001" customWidth="1" style="36" min="13" max="26"/>
  </cols>
  <sheetData>
    <row r="1">
      <c r="A1" s="1" t="inlineStr">
        <is>
          <t>Llegadas (turnos emitidos) por día y franja horaria</t>
        </is>
      </c>
    </row>
    <row r="2">
      <c r="A2" s="5" t="inlineStr">
        <is>
          <t>Umbral de condición 'Crítico' (ρ ≥)</t>
        </is>
      </c>
      <c r="D2" s="7" t="n">
        <v>0.85</v>
      </c>
      <c r="E2" s="2" t="inlineStr">
        <is>
          <t>Convención ajustable (supuesto de trabajo, no es una norma). ρ ≥ 1 siempre es 'Inestable'.</t>
        </is>
      </c>
    </row>
    <row r="3">
      <c r="A3" s="2" t="inlineStr">
        <is>
          <t>Edite los rótulos de las franjas (fila 5) según el horario real de la sede. Cuente cada franja en el mismo día.</t>
        </is>
      </c>
    </row>
    <row r="4">
      <c r="A4" s="6" t="inlineStr">
        <is>
          <t>Día</t>
        </is>
      </c>
      <c r="B4" s="13" t="inlineStr">
        <is>
          <t>7:00-8:00</t>
        </is>
      </c>
      <c r="C4" s="13" t="inlineStr">
        <is>
          <t>8:00-9:00</t>
        </is>
      </c>
      <c r="D4" s="13" t="inlineStr">
        <is>
          <t>9:00-10:00</t>
        </is>
      </c>
      <c r="E4" s="13" t="inlineStr">
        <is>
          <t>10:00-11:00</t>
        </is>
      </c>
      <c r="F4" s="13" t="inlineStr">
        <is>
          <t>11:00-12:00</t>
        </is>
      </c>
      <c r="G4" s="13" t="inlineStr">
        <is>
          <t>12:00-13:00</t>
        </is>
      </c>
      <c r="H4" s="13" t="inlineStr">
        <is>
          <t>13:00-14:00</t>
        </is>
      </c>
      <c r="I4" s="13" t="inlineStr">
        <is>
          <t>14:00-15:00</t>
        </is>
      </c>
      <c r="J4" s="13" t="inlineStr">
        <is>
          <t>15:00-16:00</t>
        </is>
      </c>
      <c r="K4" s="13" t="inlineStr">
        <is>
          <t>16:00-17:00</t>
        </is>
      </c>
      <c r="L4" s="6" t="inlineStr">
        <is>
          <t>Total</t>
        </is>
      </c>
    </row>
    <row r="5">
      <c r="A5" s="14" t="inlineStr">
        <is>
          <t>Día 1</t>
        </is>
      </c>
      <c r="B5" s="16" t="n">
        <v>95</v>
      </c>
      <c r="C5" s="16" t="n">
        <v>106</v>
      </c>
      <c r="D5" s="16" t="n">
        <v>83</v>
      </c>
      <c r="E5" s="16" t="n">
        <v>71</v>
      </c>
      <c r="F5" s="16" t="n">
        <v>48</v>
      </c>
      <c r="G5" s="16" t="n">
        <v>50</v>
      </c>
      <c r="H5" s="16" t="n">
        <v>45</v>
      </c>
      <c r="I5" s="16" t="n">
        <v>56</v>
      </c>
      <c r="J5" s="16" t="n">
        <v>58</v>
      </c>
      <c r="K5" s="16" t="n">
        <v>40</v>
      </c>
      <c r="L5" s="15">
        <f>IF(COUNT(B5:K5)=0,"",SUM(B5:K5))</f>
        <v/>
      </c>
    </row>
    <row r="6">
      <c r="A6" s="14" t="inlineStr">
        <is>
          <t>Día 2</t>
        </is>
      </c>
      <c r="B6" s="16" t="n">
        <v>94</v>
      </c>
      <c r="C6" s="16" t="n">
        <v>94</v>
      </c>
      <c r="D6" s="16" t="n">
        <v>78</v>
      </c>
      <c r="E6" s="16" t="n">
        <v>69</v>
      </c>
      <c r="F6" s="16" t="n">
        <v>54</v>
      </c>
      <c r="G6" s="16" t="n">
        <v>37</v>
      </c>
      <c r="H6" s="16" t="n">
        <v>45</v>
      </c>
      <c r="I6" s="16" t="n">
        <v>74</v>
      </c>
      <c r="J6" s="16" t="n">
        <v>66</v>
      </c>
      <c r="K6" s="16" t="n">
        <v>33</v>
      </c>
      <c r="L6" s="15">
        <f>IF(COUNT(B6:K6)=0,"",SUM(B6:K6))</f>
        <v/>
      </c>
    </row>
    <row r="7">
      <c r="A7" s="14" t="inlineStr">
        <is>
          <t>Día 3</t>
        </is>
      </c>
      <c r="B7" s="16" t="n">
        <v>83</v>
      </c>
      <c r="C7" s="16" t="n">
        <v>93</v>
      </c>
      <c r="D7" s="16" t="n">
        <v>101</v>
      </c>
      <c r="E7" s="16" t="n">
        <v>98</v>
      </c>
      <c r="F7" s="16" t="n">
        <v>54</v>
      </c>
      <c r="G7" s="16" t="n">
        <v>32</v>
      </c>
      <c r="H7" s="16" t="n">
        <v>48</v>
      </c>
      <c r="I7" s="16" t="n">
        <v>63</v>
      </c>
      <c r="J7" s="16" t="n">
        <v>48</v>
      </c>
      <c r="K7" s="16" t="n">
        <v>24</v>
      </c>
      <c r="L7" s="15">
        <f>IF(COUNT(B7:K7)=0,"",SUM(B7:K7))</f>
        <v/>
      </c>
    </row>
    <row r="8">
      <c r="A8" s="14" t="inlineStr">
        <is>
          <t>Día 4</t>
        </is>
      </c>
      <c r="B8" s="16" t="n">
        <v>97</v>
      </c>
      <c r="C8" s="16" t="n">
        <v>111</v>
      </c>
      <c r="D8" s="16" t="n">
        <v>88</v>
      </c>
      <c r="E8" s="16" t="n">
        <v>70</v>
      </c>
      <c r="F8" s="16" t="n">
        <v>58</v>
      </c>
      <c r="G8" s="16" t="n">
        <v>43</v>
      </c>
      <c r="H8" s="16" t="n">
        <v>52</v>
      </c>
      <c r="I8" s="16" t="n">
        <v>70</v>
      </c>
      <c r="J8" s="16" t="n">
        <v>52</v>
      </c>
      <c r="K8" s="16" t="n">
        <v>34</v>
      </c>
      <c r="L8" s="15">
        <f>IF(COUNT(B8:K8)=0,"",SUM(B8:K8))</f>
        <v/>
      </c>
    </row>
    <row r="9">
      <c r="A9" s="14" t="inlineStr">
        <is>
          <t>Día 5</t>
        </is>
      </c>
      <c r="B9" s="16" t="n">
        <v>89</v>
      </c>
      <c r="C9" s="16" t="n">
        <v>93</v>
      </c>
      <c r="D9" s="16" t="n">
        <v>109</v>
      </c>
      <c r="E9" s="16" t="n">
        <v>84</v>
      </c>
      <c r="F9" s="16" t="n">
        <v>64</v>
      </c>
      <c r="G9" s="16" t="n">
        <v>40</v>
      </c>
      <c r="H9" s="16" t="n">
        <v>47</v>
      </c>
      <c r="I9" s="16" t="n">
        <v>72</v>
      </c>
      <c r="J9" s="16" t="n">
        <v>55</v>
      </c>
      <c r="K9" s="16" t="n">
        <v>44</v>
      </c>
      <c r="L9" s="15">
        <f>IF(COUNT(B9:K9)=0,"",SUM(B9:K9))</f>
        <v/>
      </c>
    </row>
    <row r="10">
      <c r="A10" s="14" t="inlineStr">
        <is>
          <t>Día 6</t>
        </is>
      </c>
      <c r="B10" s="16" t="n">
        <v>92</v>
      </c>
      <c r="C10" s="16" t="n">
        <v>105</v>
      </c>
      <c r="D10" s="16" t="n">
        <v>72</v>
      </c>
      <c r="E10" s="16" t="n">
        <v>77</v>
      </c>
      <c r="F10" s="16" t="n">
        <v>57</v>
      </c>
      <c r="G10" s="16" t="n">
        <v>36</v>
      </c>
      <c r="H10" s="16" t="n">
        <v>52</v>
      </c>
      <c r="I10" s="16" t="n">
        <v>67</v>
      </c>
      <c r="J10" s="16" t="n">
        <v>56</v>
      </c>
      <c r="K10" s="16" t="n">
        <v>36</v>
      </c>
      <c r="L10" s="15">
        <f>IF(COUNT(B10:K10)=0,"",SUM(B10:K10))</f>
        <v/>
      </c>
    </row>
    <row r="11">
      <c r="A11" s="14" t="inlineStr">
        <is>
          <t>Día 7</t>
        </is>
      </c>
      <c r="B11" s="16" t="n">
        <v>95</v>
      </c>
      <c r="C11" s="16" t="n">
        <v>97</v>
      </c>
      <c r="D11" s="16" t="n">
        <v>93</v>
      </c>
      <c r="E11" s="16" t="n">
        <v>67</v>
      </c>
      <c r="F11" s="16" t="n">
        <v>53</v>
      </c>
      <c r="G11" s="16" t="n">
        <v>40</v>
      </c>
      <c r="H11" s="16" t="n">
        <v>51</v>
      </c>
      <c r="I11" s="16" t="n">
        <v>71</v>
      </c>
      <c r="J11" s="16" t="n">
        <v>55</v>
      </c>
      <c r="K11" s="16" t="n">
        <v>31</v>
      </c>
      <c r="L11" s="15">
        <f>IF(COUNT(B11:K11)=0,"",SUM(B11:K11))</f>
        <v/>
      </c>
    </row>
    <row r="12">
      <c r="A12" s="14" t="inlineStr">
        <is>
          <t>Día 8</t>
        </is>
      </c>
      <c r="B12" s="16" t="n">
        <v>82</v>
      </c>
      <c r="C12" s="16" t="n">
        <v>90</v>
      </c>
      <c r="D12" s="16" t="n">
        <v>79</v>
      </c>
      <c r="E12" s="16" t="n">
        <v>61</v>
      </c>
      <c r="F12" s="16" t="n">
        <v>46</v>
      </c>
      <c r="G12" s="16" t="n">
        <v>38</v>
      </c>
      <c r="H12" s="16" t="n">
        <v>46</v>
      </c>
      <c r="I12" s="16" t="n">
        <v>73</v>
      </c>
      <c r="J12" s="16" t="n">
        <v>60</v>
      </c>
      <c r="K12" s="16" t="n">
        <v>32</v>
      </c>
      <c r="L12" s="15">
        <f>IF(COUNT(B12:K12)=0,"",SUM(B12:K12))</f>
        <v/>
      </c>
    </row>
    <row r="13">
      <c r="A13" s="14" t="inlineStr">
        <is>
          <t>Día 9</t>
        </is>
      </c>
      <c r="B13" s="16" t="n">
        <v>90</v>
      </c>
      <c r="C13" s="16" t="n">
        <v>106</v>
      </c>
      <c r="D13" s="16" t="n">
        <v>105</v>
      </c>
      <c r="E13" s="16" t="n">
        <v>67</v>
      </c>
      <c r="F13" s="16" t="n">
        <v>70</v>
      </c>
      <c r="G13" s="16" t="n">
        <v>49</v>
      </c>
      <c r="H13" s="16" t="n">
        <v>52</v>
      </c>
      <c r="I13" s="16" t="n">
        <v>65</v>
      </c>
      <c r="J13" s="16" t="n">
        <v>60</v>
      </c>
      <c r="K13" s="16" t="n">
        <v>32</v>
      </c>
      <c r="L13" s="15">
        <f>IF(COUNT(B13:K13)=0,"",SUM(B13:K13))</f>
        <v/>
      </c>
    </row>
    <row r="14">
      <c r="A14" s="14" t="inlineStr">
        <is>
          <t>Día 10</t>
        </is>
      </c>
      <c r="B14" s="16" t="n">
        <v>81</v>
      </c>
      <c r="C14" s="16" t="n">
        <v>106</v>
      </c>
      <c r="D14" s="16" t="n">
        <v>83</v>
      </c>
      <c r="E14" s="16" t="n">
        <v>72</v>
      </c>
      <c r="F14" s="16" t="n">
        <v>47</v>
      </c>
      <c r="G14" s="16" t="n">
        <v>38</v>
      </c>
      <c r="H14" s="16" t="n">
        <v>49</v>
      </c>
      <c r="I14" s="16" t="n">
        <v>63</v>
      </c>
      <c r="J14" s="16" t="n">
        <v>63</v>
      </c>
      <c r="K14" s="16" t="n">
        <v>41</v>
      </c>
      <c r="L14" s="15">
        <f>IF(COUNT(B14:K14)=0,"",SUM(B14:K14))</f>
        <v/>
      </c>
    </row>
    <row r="15">
      <c r="A15" s="14" t="inlineStr">
        <is>
          <t>Día 11</t>
        </is>
      </c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7">
        <f>IF(COUNT(B15:K15)=0,"",SUM(B15:K15))</f>
        <v/>
      </c>
    </row>
    <row r="16">
      <c r="A16" s="14" t="inlineStr">
        <is>
          <t>Día 12</t>
        </is>
      </c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7">
        <f>IF(COUNT(B16:K16)=0,"",SUM(B16:K16))</f>
        <v/>
      </c>
    </row>
    <row r="17">
      <c r="A17" s="14" t="inlineStr">
        <is>
          <t>Día 13</t>
        </is>
      </c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7">
        <f>IF(COUNT(B17:K17)=0,"",SUM(B17:K17))</f>
        <v/>
      </c>
    </row>
    <row r="18">
      <c r="A18" s="14" t="inlineStr">
        <is>
          <t>Día 14</t>
        </is>
      </c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7">
        <f>IF(COUNT(B18:K18)=0,"",SUM(B18:K18))</f>
        <v/>
      </c>
    </row>
    <row r="19">
      <c r="A19" s="14" t="inlineStr">
        <is>
          <t>Día 15</t>
        </is>
      </c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7">
        <f>IF(COUNT(B19:K19)=0,"",SUM(B19:K19))</f>
        <v/>
      </c>
    </row>
    <row r="20" ht="15.75" customHeight="1" s="36"/>
    <row r="21" ht="15.75" customHeight="1" s="36">
      <c r="A21" s="9" t="inlineStr">
        <is>
          <t>Promedio λ (usuarios/h)</t>
        </is>
      </c>
      <c r="B21" s="20">
        <f>IF(COUNT(B5:B19)=0,"",AVERAGE(B5:B19))</f>
        <v/>
      </c>
      <c r="C21" s="20">
        <f>IF(COUNT(C5:C19)=0,"",AVERAGE(C5:C19))</f>
        <v/>
      </c>
      <c r="D21" s="20">
        <f>IF(COUNT(D5:D19)=0,"",AVERAGE(D5:D19))</f>
        <v/>
      </c>
      <c r="E21" s="20">
        <f>IF(COUNT(E5:E19)=0,"",AVERAGE(E5:E19))</f>
        <v/>
      </c>
      <c r="F21" s="20">
        <f>IF(COUNT(F5:F19)=0,"",AVERAGE(F5:F19))</f>
        <v/>
      </c>
      <c r="G21" s="20">
        <f>IF(COUNT(G5:G19)=0,"",AVERAGE(G5:G19))</f>
        <v/>
      </c>
      <c r="H21" s="20">
        <f>IF(COUNT(H5:H19)=0,"",AVERAGE(H5:H19))</f>
        <v/>
      </c>
      <c r="I21" s="20">
        <f>IF(COUNT(I5:I19)=0,"",AVERAGE(I5:I19))</f>
        <v/>
      </c>
      <c r="J21" s="20">
        <f>IF(COUNT(J5:J19)=0,"",AVERAGE(J5:J19))</f>
        <v/>
      </c>
      <c r="K21" s="20">
        <f>IF(COUNT(K5:K19)=0,"",AVERAGE(K5:K19))</f>
        <v/>
      </c>
      <c r="L21" s="20">
        <f>IF(COUNT(B21:K21)=0,"",SUM(B21:K21))</f>
        <v/>
      </c>
    </row>
    <row r="22" ht="15.75" customHeight="1" s="36">
      <c r="A22" s="9" t="inlineStr">
        <is>
          <t>Desviación estándar</t>
        </is>
      </c>
      <c r="B22" s="20">
        <f>IF(COUNT(B5:B19)&lt;2,"",STDEV(B5:B19))</f>
        <v/>
      </c>
      <c r="C22" s="20">
        <f>IF(COUNT(C5:C19)&lt;2,"",STDEV(C5:C19))</f>
        <v/>
      </c>
      <c r="D22" s="20">
        <f>IF(COUNT(D5:D19)&lt;2,"",STDEV(D5:D19))</f>
        <v/>
      </c>
      <c r="E22" s="20">
        <f>IF(COUNT(E5:E19)&lt;2,"",STDEV(E5:E19))</f>
        <v/>
      </c>
      <c r="F22" s="20">
        <f>IF(COUNT(F5:F19)&lt;2,"",STDEV(F5:F19))</f>
        <v/>
      </c>
      <c r="G22" s="20">
        <f>IF(COUNT(G5:G19)&lt;2,"",STDEV(G5:G19))</f>
        <v/>
      </c>
      <c r="H22" s="20">
        <f>IF(COUNT(H5:H19)&lt;2,"",STDEV(H5:H19))</f>
        <v/>
      </c>
      <c r="I22" s="20">
        <f>IF(COUNT(I5:I19)&lt;2,"",STDEV(I5:I19))</f>
        <v/>
      </c>
      <c r="J22" s="20">
        <f>IF(COUNT(J5:J19)&lt;2,"",STDEV(J5:J19))</f>
        <v/>
      </c>
      <c r="K22" s="20">
        <f>IF(COUNT(K5:K19)&lt;2,"",STDEV(K5:K19))</f>
        <v/>
      </c>
      <c r="L22" s="20">
        <f>IF(COUNT(L5:L19)&lt;2,"",STDEV(L5:L19))</f>
        <v/>
      </c>
    </row>
    <row r="23" ht="15.75" customHeight="1" s="36">
      <c r="A23" s="9" t="inlineStr">
        <is>
          <t>Coeficiente de variación</t>
        </is>
      </c>
      <c r="B23" s="21">
        <f>IF(OR(B21="",B22=""),"",IF(B21=0,"",B22/B21))</f>
        <v/>
      </c>
      <c r="C23" s="21">
        <f>IF(OR(C21="",C22=""),"",IF(C21=0,"",C22/C21))</f>
        <v/>
      </c>
      <c r="D23" s="21">
        <f>IF(OR(D21="",D22=""),"",IF(D21=0,"",D22/D21))</f>
        <v/>
      </c>
      <c r="E23" s="21">
        <f>IF(OR(E21="",E22=""),"",IF(E21=0,"",E22/E21))</f>
        <v/>
      </c>
      <c r="F23" s="21">
        <f>IF(OR(F21="",F22=""),"",IF(F21=0,"",F22/F21))</f>
        <v/>
      </c>
      <c r="G23" s="21">
        <f>IF(OR(G21="",G22=""),"",IF(G21=0,"",G22/G21))</f>
        <v/>
      </c>
      <c r="H23" s="21">
        <f>IF(OR(H21="",H22=""),"",IF(H21=0,"",H22/H21))</f>
        <v/>
      </c>
      <c r="I23" s="21">
        <f>IF(OR(I21="",I22=""),"",IF(I21=0,"",I22/I21))</f>
        <v/>
      </c>
      <c r="J23" s="21">
        <f>IF(OR(J21="",J22=""),"",IF(J21=0,"",J22/J21))</f>
        <v/>
      </c>
      <c r="K23" s="21">
        <f>IF(OR(K21="",K22=""),"",IF(K21=0,"",K22/K21))</f>
        <v/>
      </c>
      <c r="L23" s="21">
        <f>IF(OR(L21="",L22=""),"",IF(L21=0,"",L22/L21))</f>
        <v/>
      </c>
    </row>
    <row r="24" ht="15.75" customHeight="1" s="36">
      <c r="A24" s="9" t="inlineStr">
        <is>
          <t>Módulos habilitados (s)</t>
        </is>
      </c>
      <c r="B24" s="25" t="n">
        <v>4</v>
      </c>
      <c r="C24" s="25" t="n">
        <v>4</v>
      </c>
      <c r="D24" s="25" t="n">
        <v>4</v>
      </c>
      <c r="E24" s="25" t="n">
        <v>4</v>
      </c>
      <c r="F24" s="25" t="n">
        <v>4</v>
      </c>
      <c r="G24" s="25" t="n">
        <v>3</v>
      </c>
      <c r="H24" s="25" t="n">
        <v>3</v>
      </c>
      <c r="I24" s="25" t="n">
        <v>4</v>
      </c>
      <c r="J24" s="25" t="n">
        <v>4</v>
      </c>
      <c r="K24" s="25" t="n">
        <v>4</v>
      </c>
      <c r="L24" s="26" t="n"/>
    </row>
    <row r="25" ht="15.75" customHeight="1" s="36">
      <c r="A25" s="9" t="inlineStr">
        <is>
          <t>Capacidad s·μ (usuarios/h)</t>
        </is>
      </c>
      <c r="B25" s="20">
        <f>IF(AND(ISNUMBER(B24),ISNUMBER(Resumen!$B$15)),B24*Resumen!$B$15,"")</f>
        <v/>
      </c>
      <c r="C25" s="20">
        <f>IF(AND(ISNUMBER(C24),ISNUMBER(Resumen!$B$15)),C24*Resumen!$B$15,"")</f>
        <v/>
      </c>
      <c r="D25" s="20">
        <f>IF(AND(ISNUMBER(D24),ISNUMBER(Resumen!$B$15)),D24*Resumen!$B$15,"")</f>
        <v/>
      </c>
      <c r="E25" s="20">
        <f>IF(AND(ISNUMBER(E24),ISNUMBER(Resumen!$B$15)),E24*Resumen!$B$15,"")</f>
        <v/>
      </c>
      <c r="F25" s="20">
        <f>IF(AND(ISNUMBER(F24),ISNUMBER(Resumen!$B$15)),F24*Resumen!$B$15,"")</f>
        <v/>
      </c>
      <c r="G25" s="20">
        <f>IF(AND(ISNUMBER(G24),ISNUMBER(Resumen!$B$15)),G24*Resumen!$B$15,"")</f>
        <v/>
      </c>
      <c r="H25" s="20">
        <f>IF(AND(ISNUMBER(H24),ISNUMBER(Resumen!$B$15)),H24*Resumen!$B$15,"")</f>
        <v/>
      </c>
      <c r="I25" s="20">
        <f>IF(AND(ISNUMBER(I24),ISNUMBER(Resumen!$B$15)),I24*Resumen!$B$15,"")</f>
        <v/>
      </c>
      <c r="J25" s="20">
        <f>IF(AND(ISNUMBER(J24),ISNUMBER(Resumen!$B$15)),J24*Resumen!$B$15,"")</f>
        <v/>
      </c>
      <c r="K25" s="20">
        <f>IF(AND(ISNUMBER(K24),ISNUMBER(Resumen!$B$15)),K24*Resumen!$B$15,"")</f>
        <v/>
      </c>
      <c r="L25" s="20" t="n"/>
    </row>
    <row r="26" ht="15.75" customHeight="1" s="36">
      <c r="A26" s="9" t="inlineStr">
        <is>
          <t>ρ = λ/(s·μ)</t>
        </is>
      </c>
      <c r="B26" s="27">
        <f>IF(AND(ISNUMBER(B21),ISNUMBER(B25)),IF(B25=0,"",B21/B25),"")</f>
        <v/>
      </c>
      <c r="C26" s="27">
        <f>IF(AND(ISNUMBER(C21),ISNUMBER(C25)),IF(C25=0,"",C21/C25),"")</f>
        <v/>
      </c>
      <c r="D26" s="27">
        <f>IF(AND(ISNUMBER(D21),ISNUMBER(D25)),IF(D25=0,"",D21/D25),"")</f>
        <v/>
      </c>
      <c r="E26" s="27">
        <f>IF(AND(ISNUMBER(E21),ISNUMBER(E25)),IF(E25=0,"",E21/E25),"")</f>
        <v/>
      </c>
      <c r="F26" s="27">
        <f>IF(AND(ISNUMBER(F21),ISNUMBER(F25)),IF(F25=0,"",F21/F25),"")</f>
        <v/>
      </c>
      <c r="G26" s="27">
        <f>IF(AND(ISNUMBER(G21),ISNUMBER(G25)),IF(G25=0,"",G21/G25),"")</f>
        <v/>
      </c>
      <c r="H26" s="27">
        <f>IF(AND(ISNUMBER(H21),ISNUMBER(H25)),IF(H25=0,"",H21/H25),"")</f>
        <v/>
      </c>
      <c r="I26" s="27">
        <f>IF(AND(ISNUMBER(I21),ISNUMBER(I25)),IF(I25=0,"",I21/I25),"")</f>
        <v/>
      </c>
      <c r="J26" s="27">
        <f>IF(AND(ISNUMBER(J21),ISNUMBER(J25)),IF(J25=0,"",J21/J25),"")</f>
        <v/>
      </c>
      <c r="K26" s="27">
        <f>IF(AND(ISNUMBER(K21),ISNUMBER(K25)),IF(K25=0,"",K21/K25),"")</f>
        <v/>
      </c>
      <c r="L26" s="27" t="n"/>
    </row>
    <row r="27" ht="15.75" customHeight="1" s="36">
      <c r="A27" s="9" t="inlineStr">
        <is>
          <t>Condición</t>
        </is>
      </c>
      <c r="B27" s="28">
        <f>IF(ISNUMBER(B26),IF(B26&gt;=1,"Inestable",IF(B26&gt;=$D$2,"Crítico","Estable")),"")</f>
        <v/>
      </c>
      <c r="C27" s="28">
        <f>IF(ISNUMBER(C26),IF(C26&gt;=1,"Inestable",IF(C26&gt;=$D$2,"Crítico","Estable")),"")</f>
        <v/>
      </c>
      <c r="D27" s="28">
        <f>IF(ISNUMBER(D26),IF(D26&gt;=1,"Inestable",IF(D26&gt;=$D$2,"Crítico","Estable")),"")</f>
        <v/>
      </c>
      <c r="E27" s="28">
        <f>IF(ISNUMBER(E26),IF(E26&gt;=1,"Inestable",IF(E26&gt;=$D$2,"Crítico","Estable")),"")</f>
        <v/>
      </c>
      <c r="F27" s="28">
        <f>IF(ISNUMBER(F26),IF(F26&gt;=1,"Inestable",IF(F26&gt;=$D$2,"Crítico","Estable")),"")</f>
        <v/>
      </c>
      <c r="G27" s="28">
        <f>IF(ISNUMBER(G26),IF(G26&gt;=1,"Inestable",IF(G26&gt;=$D$2,"Crítico","Estable")),"")</f>
        <v/>
      </c>
      <c r="H27" s="28">
        <f>IF(ISNUMBER(H26),IF(H26&gt;=1,"Inestable",IF(H26&gt;=$D$2,"Crítico","Estable")),"")</f>
        <v/>
      </c>
      <c r="I27" s="28">
        <f>IF(ISNUMBER(I26),IF(I26&gt;=1,"Inestable",IF(I26&gt;=$D$2,"Crítico","Estable")),"")</f>
        <v/>
      </c>
      <c r="J27" s="28">
        <f>IF(ISNUMBER(J26),IF(J26&gt;=1,"Inestable",IF(J26&gt;=$D$2,"Crítico","Estable")),"")</f>
        <v/>
      </c>
      <c r="K27" s="28">
        <f>IF(ISNUMBER(K26),IF(K26&gt;=1,"Inestable",IF(K26&gt;=$D$2,"Crítico","Estable")),"")</f>
        <v/>
      </c>
      <c r="L27" s="28" t="n"/>
    </row>
    <row r="28" ht="15.75" customHeight="1" s="36"/>
    <row r="29" ht="15.75" customHeight="1" s="36">
      <c r="A29" s="2" t="inlineStr">
        <is>
          <t>Nota: la columna Total (fila 22) es la suma de los λ promedio, es decir, usuarios por día; la fila 23 de esa columna es la desviación entre días.</t>
        </is>
      </c>
    </row>
    <row r="30" ht="15.75" customHeight="1" s="36"/>
    <row r="31" ht="15.75" customHeight="1" s="36"/>
    <row r="32" ht="15.75" customHeight="1" s="36"/>
    <row r="33" ht="15.75" customHeight="1" s="36"/>
    <row r="34" ht="15.75" customHeight="1" s="36"/>
    <row r="35" ht="15.75" customHeight="1" s="36"/>
    <row r="36" ht="15.75" customHeight="1" s="36"/>
    <row r="37" ht="15.75" customHeight="1" s="36"/>
    <row r="38" ht="15.75" customHeight="1" s="36"/>
    <row r="39" ht="15.75" customHeight="1" s="36"/>
    <row r="40" ht="15.75" customHeight="1" s="36"/>
    <row r="41" ht="15.75" customHeight="1" s="36"/>
    <row r="42" ht="15.75" customHeight="1" s="36"/>
    <row r="43" ht="15.75" customHeight="1" s="36"/>
    <row r="44" ht="15.75" customHeight="1" s="36"/>
    <row r="45" ht="15.75" customHeight="1" s="36"/>
    <row r="46" ht="15.75" customHeight="1" s="36"/>
    <row r="47" ht="15.75" customHeight="1" s="36"/>
    <row r="48" ht="15.75" customHeight="1" s="36"/>
    <row r="49" ht="15.75" customHeight="1" s="36"/>
    <row r="50" ht="15.75" customHeight="1" s="36"/>
    <row r="51" ht="15.75" customHeight="1" s="36"/>
    <row r="52" ht="15.75" customHeight="1" s="36"/>
    <row r="53" ht="15.75" customHeight="1" s="36"/>
    <row r="54" ht="15.75" customHeight="1" s="36"/>
    <row r="55" ht="15.75" customHeight="1" s="36"/>
    <row r="56" ht="15.75" customHeight="1" s="36"/>
    <row r="57" ht="15.75" customHeight="1" s="36"/>
    <row r="58" ht="15.75" customHeight="1" s="36"/>
    <row r="59" ht="15.75" customHeight="1" s="36"/>
    <row r="60" ht="15.75" customHeight="1" s="36"/>
    <row r="61" ht="15.75" customHeight="1" s="36"/>
    <row r="62" ht="15.75" customHeight="1" s="36"/>
    <row r="63" ht="15.75" customHeight="1" s="36"/>
    <row r="64" ht="15.75" customHeight="1" s="36"/>
    <row r="65" ht="15.75" customHeight="1" s="36"/>
    <row r="66" ht="15.75" customHeight="1" s="36"/>
    <row r="67" ht="15.75" customHeight="1" s="36"/>
    <row r="68" ht="15.75" customHeight="1" s="36"/>
    <row r="69" ht="15.75" customHeight="1" s="36"/>
    <row r="70" ht="15.75" customHeight="1" s="36"/>
    <row r="71" ht="15.75" customHeight="1" s="36"/>
    <row r="72" ht="15.75" customHeight="1" s="36"/>
    <row r="73" ht="15.75" customHeight="1" s="36"/>
    <row r="74" ht="15.75" customHeight="1" s="36"/>
    <row r="75" ht="15.75" customHeight="1" s="36"/>
    <row r="76" ht="15.75" customHeight="1" s="36"/>
    <row r="77" ht="15.75" customHeight="1" s="36"/>
    <row r="78" ht="15.75" customHeight="1" s="36"/>
    <row r="79" ht="15.75" customHeight="1" s="36"/>
    <row r="80" ht="15.75" customHeight="1" s="36"/>
    <row r="81" ht="15.75" customHeight="1" s="36"/>
    <row r="82" ht="15.75" customHeight="1" s="36"/>
    <row r="83" ht="15.75" customHeight="1" s="36"/>
    <row r="84" ht="15.75" customHeight="1" s="36"/>
    <row r="85" ht="15.75" customHeight="1" s="36"/>
    <row r="86" ht="15.75" customHeight="1" s="36"/>
    <row r="87" ht="15.75" customHeight="1" s="36"/>
    <row r="88" ht="15.75" customHeight="1" s="36"/>
    <row r="89" ht="15.75" customHeight="1" s="36"/>
    <row r="90" ht="15.75" customHeight="1" s="36"/>
    <row r="91" ht="15.75" customHeight="1" s="36"/>
    <row r="92" ht="15.75" customHeight="1" s="36"/>
    <row r="93" ht="15.75" customHeight="1" s="36"/>
    <row r="94" ht="15.75" customHeight="1" s="36"/>
    <row r="95" ht="15.75" customHeight="1" s="36"/>
    <row r="96" ht="15.75" customHeight="1" s="36"/>
    <row r="97" ht="15.75" customHeight="1" s="36"/>
    <row r="98" ht="15.75" customHeight="1" s="36"/>
    <row r="99" ht="15.75" customHeight="1" s="36"/>
    <row r="100" ht="15.75" customHeight="1" s="36"/>
    <row r="101" ht="15.75" customHeight="1" s="36"/>
    <row r="102" ht="15.75" customHeight="1" s="36"/>
    <row r="103" ht="15.75" customHeight="1" s="36"/>
    <row r="104" ht="15.75" customHeight="1" s="36"/>
    <row r="105" ht="15.75" customHeight="1" s="36"/>
    <row r="106" ht="15.75" customHeight="1" s="36"/>
    <row r="107" ht="15.75" customHeight="1" s="36"/>
    <row r="108" ht="15.75" customHeight="1" s="36"/>
    <row r="109" ht="15.75" customHeight="1" s="36"/>
    <row r="110" ht="15.75" customHeight="1" s="36"/>
    <row r="111" ht="15.75" customHeight="1" s="36"/>
    <row r="112" ht="15.75" customHeight="1" s="36"/>
    <row r="113" ht="15.75" customHeight="1" s="36"/>
    <row r="114" ht="15.75" customHeight="1" s="36"/>
    <row r="115" ht="15.75" customHeight="1" s="36"/>
    <row r="116" ht="15.75" customHeight="1" s="36"/>
    <row r="117" ht="15.75" customHeight="1" s="36"/>
    <row r="118" ht="15.75" customHeight="1" s="36"/>
    <row r="119" ht="15.75" customHeight="1" s="36"/>
    <row r="120" ht="15.75" customHeight="1" s="36"/>
    <row r="121" ht="15.75" customHeight="1" s="36"/>
    <row r="122" ht="15.75" customHeight="1" s="36"/>
    <row r="123" ht="15.75" customHeight="1" s="36"/>
    <row r="124" ht="15.75" customHeight="1" s="36"/>
    <row r="125" ht="15.75" customHeight="1" s="36"/>
    <row r="126" ht="15.75" customHeight="1" s="36"/>
    <row r="127" ht="15.75" customHeight="1" s="36"/>
    <row r="128" ht="15.75" customHeight="1" s="36"/>
    <row r="129" ht="15.75" customHeight="1" s="36"/>
    <row r="130" ht="15.75" customHeight="1" s="36"/>
    <row r="131" ht="15.75" customHeight="1" s="36"/>
    <row r="132" ht="15.75" customHeight="1" s="36"/>
    <row r="133" ht="15.75" customHeight="1" s="36"/>
    <row r="134" ht="15.75" customHeight="1" s="36"/>
    <row r="135" ht="15.75" customHeight="1" s="36"/>
    <row r="136" ht="15.75" customHeight="1" s="36"/>
    <row r="137" ht="15.75" customHeight="1" s="36"/>
    <row r="138" ht="15.75" customHeight="1" s="36"/>
    <row r="139" ht="15.75" customHeight="1" s="36"/>
    <row r="140" ht="15.75" customHeight="1" s="36"/>
    <row r="141" ht="15.75" customHeight="1" s="36"/>
    <row r="142" ht="15.75" customHeight="1" s="36"/>
    <row r="143" ht="15.75" customHeight="1" s="36"/>
    <row r="144" ht="15.75" customHeight="1" s="36"/>
    <row r="145" ht="15.75" customHeight="1" s="36"/>
    <row r="146" ht="15.75" customHeight="1" s="36"/>
    <row r="147" ht="15.75" customHeight="1" s="36"/>
    <row r="148" ht="15.75" customHeight="1" s="36"/>
    <row r="149" ht="15.75" customHeight="1" s="36"/>
    <row r="150" ht="15.75" customHeight="1" s="36"/>
    <row r="151" ht="15.75" customHeight="1" s="36"/>
    <row r="152" ht="15.75" customHeight="1" s="36"/>
    <row r="153" ht="15.75" customHeight="1" s="36"/>
    <row r="154" ht="15.75" customHeight="1" s="36"/>
    <row r="155" ht="15.75" customHeight="1" s="36"/>
    <row r="156" ht="15.75" customHeight="1" s="36"/>
    <row r="157" ht="15.75" customHeight="1" s="36"/>
    <row r="158" ht="15.75" customHeight="1" s="36"/>
    <row r="159" ht="15.75" customHeight="1" s="36"/>
    <row r="160" ht="15.75" customHeight="1" s="36"/>
    <row r="161" ht="15.75" customHeight="1" s="36"/>
    <row r="162" ht="15.75" customHeight="1" s="36"/>
    <row r="163" ht="15.75" customHeight="1" s="36"/>
    <row r="164" ht="15.75" customHeight="1" s="36"/>
    <row r="165" ht="15.75" customHeight="1" s="36"/>
    <row r="166" ht="15.75" customHeight="1" s="36"/>
    <row r="167" ht="15.75" customHeight="1" s="36"/>
    <row r="168" ht="15.75" customHeight="1" s="36"/>
    <row r="169" ht="15.75" customHeight="1" s="36"/>
    <row r="170" ht="15.75" customHeight="1" s="36"/>
    <row r="171" ht="15.75" customHeight="1" s="36"/>
    <row r="172" ht="15.75" customHeight="1" s="36"/>
    <row r="173" ht="15.75" customHeight="1" s="36"/>
    <row r="174" ht="15.75" customHeight="1" s="36"/>
    <row r="175" ht="15.75" customHeight="1" s="36"/>
    <row r="176" ht="15.75" customHeight="1" s="36"/>
    <row r="177" ht="15.75" customHeight="1" s="36"/>
    <row r="178" ht="15.75" customHeight="1" s="36"/>
    <row r="179" ht="15.75" customHeight="1" s="36"/>
    <row r="180" ht="15.75" customHeight="1" s="36"/>
    <row r="181" ht="15.75" customHeight="1" s="36"/>
    <row r="182" ht="15.75" customHeight="1" s="36"/>
    <row r="183" ht="15.75" customHeight="1" s="36"/>
    <row r="184" ht="15.75" customHeight="1" s="36"/>
    <row r="185" ht="15.75" customHeight="1" s="36"/>
    <row r="186" ht="15.75" customHeight="1" s="36"/>
    <row r="187" ht="15.75" customHeight="1" s="36"/>
    <row r="188" ht="15.75" customHeight="1" s="36"/>
    <row r="189" ht="15.75" customHeight="1" s="36"/>
    <row r="190" ht="15.75" customHeight="1" s="36"/>
    <row r="191" ht="15.75" customHeight="1" s="36"/>
    <row r="192" ht="15.75" customHeight="1" s="36"/>
    <row r="193" ht="15.75" customHeight="1" s="36"/>
    <row r="194" ht="15.75" customHeight="1" s="36"/>
    <row r="195" ht="15.75" customHeight="1" s="36"/>
    <row r="196" ht="15.75" customHeight="1" s="36"/>
    <row r="197" ht="15.75" customHeight="1" s="36"/>
    <row r="198" ht="15.75" customHeight="1" s="36"/>
    <row r="199" ht="15.75" customHeight="1" s="36"/>
    <row r="200" ht="15.75" customHeight="1" s="36"/>
    <row r="201" ht="15.75" customHeight="1" s="36"/>
    <row r="202" ht="15.75" customHeight="1" s="36"/>
    <row r="203" ht="15.75" customHeight="1" s="36"/>
    <row r="204" ht="15.75" customHeight="1" s="36"/>
    <row r="205" ht="15.75" customHeight="1" s="36"/>
    <row r="206" ht="15.75" customHeight="1" s="36"/>
    <row r="207" ht="15.75" customHeight="1" s="36"/>
    <row r="208" ht="15.75" customHeight="1" s="36"/>
    <row r="209" ht="15.75" customHeight="1" s="36"/>
    <row r="210" ht="15.75" customHeight="1" s="36"/>
    <row r="211" ht="15.75" customHeight="1" s="36"/>
    <row r="212" ht="15.75" customHeight="1" s="36"/>
    <row r="213" ht="15.75" customHeight="1" s="36"/>
    <row r="214" ht="15.75" customHeight="1" s="36"/>
    <row r="215" ht="15.75" customHeight="1" s="36"/>
    <row r="216" ht="15.75" customHeight="1" s="36"/>
    <row r="217" ht="15.75" customHeight="1" s="36"/>
    <row r="218" ht="15.75" customHeight="1" s="36"/>
    <row r="219" ht="15.75" customHeight="1" s="36"/>
    <row r="220" ht="15.75" customHeight="1" s="36"/>
    <row r="221" ht="15.75" customHeight="1" s="36"/>
    <row r="222" ht="15.75" customHeight="1" s="36"/>
    <row r="223" ht="15.75" customHeight="1" s="36"/>
    <row r="224" ht="15.75" customHeight="1" s="36"/>
    <row r="225" ht="15.75" customHeight="1" s="36"/>
    <row r="226" ht="15.75" customHeight="1" s="36"/>
    <row r="227" ht="15.75" customHeight="1" s="36"/>
    <row r="228" ht="15.75" customHeight="1" s="36"/>
    <row r="229" ht="15.75" customHeight="1" s="36"/>
    <row r="230" ht="15.75" customHeight="1" s="36"/>
    <row r="231" ht="15.75" customHeight="1" s="36"/>
    <row r="232" ht="15.75" customHeight="1" s="36"/>
    <row r="233" ht="15.75" customHeight="1" s="36"/>
    <row r="234" ht="15.75" customHeight="1" s="36"/>
    <row r="235" ht="15.75" customHeight="1" s="36"/>
    <row r="236" ht="15.75" customHeight="1" s="36"/>
    <row r="237" ht="15.75" customHeight="1" s="36"/>
    <row r="238" ht="15.75" customHeight="1" s="36"/>
    <row r="239" ht="15.75" customHeight="1" s="36"/>
    <row r="240" ht="15.75" customHeight="1" s="36"/>
    <row r="241" ht="15.75" customHeight="1" s="36"/>
    <row r="242" ht="15.75" customHeight="1" s="36"/>
    <row r="243" ht="15.75" customHeight="1" s="36"/>
    <row r="244" ht="15.75" customHeight="1" s="36"/>
    <row r="245" ht="15.75" customHeight="1" s="36"/>
    <row r="246" ht="15.75" customHeight="1" s="36"/>
    <row r="247" ht="15.75" customHeight="1" s="36"/>
    <row r="248" ht="15.75" customHeight="1" s="36"/>
    <row r="249" ht="15.75" customHeight="1" s="36"/>
    <row r="250" ht="15.75" customHeight="1" s="36"/>
    <row r="251" ht="15.75" customHeight="1" s="36"/>
    <row r="252" ht="15.75" customHeight="1" s="36"/>
    <row r="253" ht="15.75" customHeight="1" s="36"/>
    <row r="254" ht="15.75" customHeight="1" s="36"/>
    <row r="255" ht="15.75" customHeight="1" s="36"/>
    <row r="256" ht="15.75" customHeight="1" s="36"/>
    <row r="257" ht="15.75" customHeight="1" s="36"/>
    <row r="258" ht="15.75" customHeight="1" s="36"/>
    <row r="259" ht="15.75" customHeight="1" s="36"/>
    <row r="260" ht="15.75" customHeight="1" s="36"/>
    <row r="261" ht="15.75" customHeight="1" s="36"/>
    <row r="262" ht="15.75" customHeight="1" s="36"/>
    <row r="263" ht="15.75" customHeight="1" s="36"/>
    <row r="264" ht="15.75" customHeight="1" s="36"/>
    <row r="265" ht="15.75" customHeight="1" s="36"/>
    <row r="266" ht="15.75" customHeight="1" s="36"/>
    <row r="267" ht="15.75" customHeight="1" s="36"/>
    <row r="268" ht="15.75" customHeight="1" s="36"/>
    <row r="269" ht="15.75" customHeight="1" s="36"/>
    <row r="270" ht="15.75" customHeight="1" s="36"/>
    <row r="271" ht="15.75" customHeight="1" s="36"/>
    <row r="272" ht="15.75" customHeight="1" s="36"/>
    <row r="273" ht="15.75" customHeight="1" s="36"/>
    <row r="274" ht="15.75" customHeight="1" s="36"/>
    <row r="275" ht="15.75" customHeight="1" s="36"/>
    <row r="276" ht="15.75" customHeight="1" s="36"/>
    <row r="277" ht="15.75" customHeight="1" s="36"/>
    <row r="278" ht="15.75" customHeight="1" s="36"/>
    <row r="279" ht="15.75" customHeight="1" s="36"/>
    <row r="280" ht="15.75" customHeight="1" s="36"/>
    <row r="281" ht="15.75" customHeight="1" s="36"/>
    <row r="282" ht="15.75" customHeight="1" s="36"/>
    <row r="283" ht="15.75" customHeight="1" s="36"/>
    <row r="284" ht="15.75" customHeight="1" s="36"/>
    <row r="285" ht="15.75" customHeight="1" s="36"/>
    <row r="286" ht="15.75" customHeight="1" s="36"/>
    <row r="287" ht="15.75" customHeight="1" s="36"/>
    <row r="288" ht="15.75" customHeight="1" s="36"/>
    <row r="289" ht="15.75" customHeight="1" s="36"/>
    <row r="290" ht="15.75" customHeight="1" s="36"/>
    <row r="291" ht="15.75" customHeight="1" s="36"/>
    <row r="292" ht="15.75" customHeight="1" s="36"/>
    <row r="293" ht="15.75" customHeight="1" s="36"/>
    <row r="294" ht="15.75" customHeight="1" s="36"/>
    <row r="295" ht="15.75" customHeight="1" s="36"/>
    <row r="296" ht="15.75" customHeight="1" s="36"/>
    <row r="297" ht="15.75" customHeight="1" s="36"/>
    <row r="298" ht="15.75" customHeight="1" s="36"/>
    <row r="299" ht="15.75" customHeight="1" s="36"/>
    <row r="300" ht="15.75" customHeight="1" s="36"/>
    <row r="301" ht="15.75" customHeight="1" s="36"/>
    <row r="302" ht="15.75" customHeight="1" s="36"/>
    <row r="303" ht="15.75" customHeight="1" s="36"/>
    <row r="304" ht="15.75" customHeight="1" s="36"/>
    <row r="305" ht="15.75" customHeight="1" s="36"/>
    <row r="306" ht="15.75" customHeight="1" s="36"/>
    <row r="307" ht="15.75" customHeight="1" s="36"/>
    <row r="308" ht="15.75" customHeight="1" s="36"/>
    <row r="309" ht="15.75" customHeight="1" s="36"/>
    <row r="310" ht="15.75" customHeight="1" s="36"/>
    <row r="311" ht="15.75" customHeight="1" s="36"/>
    <row r="312" ht="15.75" customHeight="1" s="36"/>
    <row r="313" ht="15.75" customHeight="1" s="36"/>
    <row r="314" ht="15.75" customHeight="1" s="36"/>
    <row r="315" ht="15.75" customHeight="1" s="36"/>
    <row r="316" ht="15.75" customHeight="1" s="36"/>
    <row r="317" ht="15.75" customHeight="1" s="36"/>
    <row r="318" ht="15.75" customHeight="1" s="36"/>
    <row r="319" ht="15.75" customHeight="1" s="36"/>
    <row r="320" ht="15.75" customHeight="1" s="36"/>
    <row r="321" ht="15.75" customHeight="1" s="36"/>
    <row r="322" ht="15.75" customHeight="1" s="36"/>
    <row r="323" ht="15.75" customHeight="1" s="36"/>
    <row r="324" ht="15.75" customHeight="1" s="36"/>
    <row r="325" ht="15.75" customHeight="1" s="36"/>
    <row r="326" ht="15.75" customHeight="1" s="36"/>
    <row r="327" ht="15.75" customHeight="1" s="36"/>
    <row r="328" ht="15.75" customHeight="1" s="36"/>
    <row r="329" ht="15.75" customHeight="1" s="36"/>
    <row r="330" ht="15.75" customHeight="1" s="36"/>
    <row r="331" ht="15.75" customHeight="1" s="36"/>
    <row r="332" ht="15.75" customHeight="1" s="36"/>
    <row r="333" ht="15.75" customHeight="1" s="36"/>
    <row r="334" ht="15.75" customHeight="1" s="36"/>
    <row r="335" ht="15.75" customHeight="1" s="36"/>
    <row r="336" ht="15.75" customHeight="1" s="36"/>
    <row r="337" ht="15.75" customHeight="1" s="36"/>
    <row r="338" ht="15.75" customHeight="1" s="36"/>
    <row r="339" ht="15.75" customHeight="1" s="36"/>
    <row r="340" ht="15.75" customHeight="1" s="36"/>
    <row r="341" ht="15.75" customHeight="1" s="36"/>
    <row r="342" ht="15.75" customHeight="1" s="36"/>
    <row r="343" ht="15.75" customHeight="1" s="36"/>
    <row r="344" ht="15.75" customHeight="1" s="36"/>
    <row r="345" ht="15.75" customHeight="1" s="36"/>
    <row r="346" ht="15.75" customHeight="1" s="36"/>
    <row r="347" ht="15.75" customHeight="1" s="36"/>
    <row r="348" ht="15.75" customHeight="1" s="36"/>
    <row r="349" ht="15.75" customHeight="1" s="36"/>
    <row r="350" ht="15.75" customHeight="1" s="36"/>
    <row r="351" ht="15.75" customHeight="1" s="36"/>
    <row r="352" ht="15.75" customHeight="1" s="36"/>
    <row r="353" ht="15.75" customHeight="1" s="36"/>
    <row r="354" ht="15.75" customHeight="1" s="36"/>
    <row r="355" ht="15.75" customHeight="1" s="36"/>
    <row r="356" ht="15.75" customHeight="1" s="36"/>
    <row r="357" ht="15.75" customHeight="1" s="36"/>
    <row r="358" ht="15.75" customHeight="1" s="36"/>
    <row r="359" ht="15.75" customHeight="1" s="36"/>
    <row r="360" ht="15.75" customHeight="1" s="36"/>
    <row r="361" ht="15.75" customHeight="1" s="36"/>
    <row r="362" ht="15.75" customHeight="1" s="36"/>
    <row r="363" ht="15.75" customHeight="1" s="36"/>
    <row r="364" ht="15.75" customHeight="1" s="36"/>
    <row r="365" ht="15.75" customHeight="1" s="36"/>
    <row r="366" ht="15.75" customHeight="1" s="36"/>
    <row r="367" ht="15.75" customHeight="1" s="36"/>
    <row r="368" ht="15.75" customHeight="1" s="36"/>
    <row r="369" ht="15.75" customHeight="1" s="36"/>
    <row r="370" ht="15.75" customHeight="1" s="36"/>
    <row r="371" ht="15.75" customHeight="1" s="36"/>
    <row r="372" ht="15.75" customHeight="1" s="36"/>
    <row r="373" ht="15.75" customHeight="1" s="36"/>
    <row r="374" ht="15.75" customHeight="1" s="36"/>
    <row r="375" ht="15.75" customHeight="1" s="36"/>
    <row r="376" ht="15.75" customHeight="1" s="36"/>
    <row r="377" ht="15.75" customHeight="1" s="36"/>
    <row r="378" ht="15.75" customHeight="1" s="36"/>
    <row r="379" ht="15.75" customHeight="1" s="36"/>
    <row r="380" ht="15.75" customHeight="1" s="36"/>
    <row r="381" ht="15.75" customHeight="1" s="36"/>
    <row r="382" ht="15.75" customHeight="1" s="36"/>
    <row r="383" ht="15.75" customHeight="1" s="36"/>
    <row r="384" ht="15.75" customHeight="1" s="36"/>
    <row r="385" ht="15.75" customHeight="1" s="36"/>
    <row r="386" ht="15.75" customHeight="1" s="36"/>
    <row r="387" ht="15.75" customHeight="1" s="36"/>
    <row r="388" ht="15.75" customHeight="1" s="36"/>
    <row r="389" ht="15.75" customHeight="1" s="36"/>
    <row r="390" ht="15.75" customHeight="1" s="36"/>
    <row r="391" ht="15.75" customHeight="1" s="36"/>
    <row r="392" ht="15.75" customHeight="1" s="36"/>
    <row r="393" ht="15.75" customHeight="1" s="36"/>
    <row r="394" ht="15.75" customHeight="1" s="36"/>
    <row r="395" ht="15.75" customHeight="1" s="36"/>
    <row r="396" ht="15.75" customHeight="1" s="36"/>
    <row r="397" ht="15.75" customHeight="1" s="36"/>
    <row r="398" ht="15.75" customHeight="1" s="36"/>
    <row r="399" ht="15.75" customHeight="1" s="36"/>
    <row r="400" ht="15.75" customHeight="1" s="36"/>
    <row r="401" ht="15.75" customHeight="1" s="36"/>
    <row r="402" ht="15.75" customHeight="1" s="36"/>
    <row r="403" ht="15.75" customHeight="1" s="36"/>
    <row r="404" ht="15.75" customHeight="1" s="36"/>
    <row r="405" ht="15.75" customHeight="1" s="36"/>
    <row r="406" ht="15.75" customHeight="1" s="36"/>
    <row r="407" ht="15.75" customHeight="1" s="36"/>
    <row r="408" ht="15.75" customHeight="1" s="36"/>
    <row r="409" ht="15.75" customHeight="1" s="36"/>
    <row r="410" ht="15.75" customHeight="1" s="36"/>
    <row r="411" ht="15.75" customHeight="1" s="36"/>
    <row r="412" ht="15.75" customHeight="1" s="36"/>
    <row r="413" ht="15.75" customHeight="1" s="36"/>
    <row r="414" ht="15.75" customHeight="1" s="36"/>
    <row r="415" ht="15.75" customHeight="1" s="36"/>
    <row r="416" ht="15.75" customHeight="1" s="36"/>
    <row r="417" ht="15.75" customHeight="1" s="36"/>
    <row r="418" ht="15.75" customHeight="1" s="36"/>
    <row r="419" ht="15.75" customHeight="1" s="36"/>
    <row r="420" ht="15.75" customHeight="1" s="36"/>
    <row r="421" ht="15.75" customHeight="1" s="36"/>
    <row r="422" ht="15.75" customHeight="1" s="36"/>
    <row r="423" ht="15.75" customHeight="1" s="36"/>
    <row r="424" ht="15.75" customHeight="1" s="36"/>
    <row r="425" ht="15.75" customHeight="1" s="36"/>
    <row r="426" ht="15.75" customHeight="1" s="36"/>
    <row r="427" ht="15.75" customHeight="1" s="36"/>
    <row r="428" ht="15.75" customHeight="1" s="36"/>
    <row r="429" ht="15.75" customHeight="1" s="36"/>
    <row r="430" ht="15.75" customHeight="1" s="36"/>
    <row r="431" ht="15.75" customHeight="1" s="36"/>
    <row r="432" ht="15.75" customHeight="1" s="36"/>
    <row r="433" ht="15.75" customHeight="1" s="36"/>
    <row r="434" ht="15.75" customHeight="1" s="36"/>
    <row r="435" ht="15.75" customHeight="1" s="36"/>
    <row r="436" ht="15.75" customHeight="1" s="36"/>
    <row r="437" ht="15.75" customHeight="1" s="36"/>
    <row r="438" ht="15.75" customHeight="1" s="36"/>
    <row r="439" ht="15.75" customHeight="1" s="36"/>
    <row r="440" ht="15.75" customHeight="1" s="36"/>
    <row r="441" ht="15.75" customHeight="1" s="36"/>
    <row r="442" ht="15.75" customHeight="1" s="36"/>
    <row r="443" ht="15.75" customHeight="1" s="36"/>
    <row r="444" ht="15.75" customHeight="1" s="36"/>
    <row r="445" ht="15.75" customHeight="1" s="36"/>
    <row r="446" ht="15.75" customHeight="1" s="36"/>
    <row r="447" ht="15.75" customHeight="1" s="36"/>
    <row r="448" ht="15.75" customHeight="1" s="36"/>
    <row r="449" ht="15.75" customHeight="1" s="36"/>
    <row r="450" ht="15.75" customHeight="1" s="36"/>
    <row r="451" ht="15.75" customHeight="1" s="36"/>
    <row r="452" ht="15.75" customHeight="1" s="36"/>
    <row r="453" ht="15.75" customHeight="1" s="36"/>
    <row r="454" ht="15.75" customHeight="1" s="36"/>
    <row r="455" ht="15.75" customHeight="1" s="36"/>
    <row r="456" ht="15.75" customHeight="1" s="36"/>
    <row r="457" ht="15.75" customHeight="1" s="36"/>
    <row r="458" ht="15.75" customHeight="1" s="36"/>
    <row r="459" ht="15.75" customHeight="1" s="36"/>
    <row r="460" ht="15.75" customHeight="1" s="36"/>
    <row r="461" ht="15.75" customHeight="1" s="36"/>
    <row r="462" ht="15.75" customHeight="1" s="36"/>
    <row r="463" ht="15.75" customHeight="1" s="36"/>
    <row r="464" ht="15.75" customHeight="1" s="36"/>
    <row r="465" ht="15.75" customHeight="1" s="36"/>
    <row r="466" ht="15.75" customHeight="1" s="36"/>
    <row r="467" ht="15.75" customHeight="1" s="36"/>
    <row r="468" ht="15.75" customHeight="1" s="36"/>
    <row r="469" ht="15.75" customHeight="1" s="36"/>
    <row r="470" ht="15.75" customHeight="1" s="36"/>
    <row r="471" ht="15.75" customHeight="1" s="36"/>
    <row r="472" ht="15.75" customHeight="1" s="36"/>
    <row r="473" ht="15.75" customHeight="1" s="36"/>
    <row r="474" ht="15.75" customHeight="1" s="36"/>
    <row r="475" ht="15.75" customHeight="1" s="36"/>
    <row r="476" ht="15.75" customHeight="1" s="36"/>
    <row r="477" ht="15.75" customHeight="1" s="36"/>
    <row r="478" ht="15.75" customHeight="1" s="36"/>
    <row r="479" ht="15.75" customHeight="1" s="36"/>
    <row r="480" ht="15.75" customHeight="1" s="36"/>
    <row r="481" ht="15.75" customHeight="1" s="36"/>
    <row r="482" ht="15.75" customHeight="1" s="36"/>
    <row r="483" ht="15.75" customHeight="1" s="36"/>
    <row r="484" ht="15.75" customHeight="1" s="36"/>
    <row r="485" ht="15.75" customHeight="1" s="36"/>
    <row r="486" ht="15.75" customHeight="1" s="36"/>
    <row r="487" ht="15.75" customHeight="1" s="36"/>
    <row r="488" ht="15.75" customHeight="1" s="36"/>
    <row r="489" ht="15.75" customHeight="1" s="36"/>
    <row r="490" ht="15.75" customHeight="1" s="36"/>
    <row r="491" ht="15.75" customHeight="1" s="36"/>
    <row r="492" ht="15.75" customHeight="1" s="36"/>
    <row r="493" ht="15.75" customHeight="1" s="36"/>
    <row r="494" ht="15.75" customHeight="1" s="36"/>
    <row r="495" ht="15.75" customHeight="1" s="36"/>
    <row r="496" ht="15.75" customHeight="1" s="36"/>
    <row r="497" ht="15.75" customHeight="1" s="36"/>
    <row r="498" ht="15.75" customHeight="1" s="36"/>
    <row r="499" ht="15.75" customHeight="1" s="36"/>
    <row r="500" ht="15.75" customHeight="1" s="36"/>
    <row r="501" ht="15.75" customHeight="1" s="36"/>
    <row r="502" ht="15.75" customHeight="1" s="36"/>
    <row r="503" ht="15.75" customHeight="1" s="36"/>
    <row r="504" ht="15.75" customHeight="1" s="36"/>
    <row r="505" ht="15.75" customHeight="1" s="36"/>
    <row r="506" ht="15.75" customHeight="1" s="36"/>
    <row r="507" ht="15.75" customHeight="1" s="36"/>
    <row r="508" ht="15.75" customHeight="1" s="36"/>
    <row r="509" ht="15.75" customHeight="1" s="36"/>
    <row r="510" ht="15.75" customHeight="1" s="36"/>
    <row r="511" ht="15.75" customHeight="1" s="36"/>
    <row r="512" ht="15.75" customHeight="1" s="36"/>
    <row r="513" ht="15.75" customHeight="1" s="36"/>
    <row r="514" ht="15.75" customHeight="1" s="36"/>
    <row r="515" ht="15.75" customHeight="1" s="36"/>
    <row r="516" ht="15.75" customHeight="1" s="36"/>
    <row r="517" ht="15.75" customHeight="1" s="36"/>
    <row r="518" ht="15.75" customHeight="1" s="36"/>
    <row r="519" ht="15.75" customHeight="1" s="36"/>
    <row r="520" ht="15.75" customHeight="1" s="36"/>
    <row r="521" ht="15.75" customHeight="1" s="36"/>
    <row r="522" ht="15.75" customHeight="1" s="36"/>
    <row r="523" ht="15.75" customHeight="1" s="36"/>
    <row r="524" ht="15.75" customHeight="1" s="36"/>
    <row r="525" ht="15.75" customHeight="1" s="36"/>
    <row r="526" ht="15.75" customHeight="1" s="36"/>
    <row r="527" ht="15.75" customHeight="1" s="36"/>
    <row r="528" ht="15.75" customHeight="1" s="36"/>
    <row r="529" ht="15.75" customHeight="1" s="36"/>
    <row r="530" ht="15.75" customHeight="1" s="36"/>
    <row r="531" ht="15.75" customHeight="1" s="36"/>
    <row r="532" ht="15.75" customHeight="1" s="36"/>
    <row r="533" ht="15.75" customHeight="1" s="36"/>
    <row r="534" ht="15.75" customHeight="1" s="36"/>
    <row r="535" ht="15.75" customHeight="1" s="36"/>
    <row r="536" ht="15.75" customHeight="1" s="36"/>
    <row r="537" ht="15.75" customHeight="1" s="36"/>
    <row r="538" ht="15.75" customHeight="1" s="36"/>
    <row r="539" ht="15.75" customHeight="1" s="36"/>
    <row r="540" ht="15.75" customHeight="1" s="36"/>
    <row r="541" ht="15.75" customHeight="1" s="36"/>
    <row r="542" ht="15.75" customHeight="1" s="36"/>
    <row r="543" ht="15.75" customHeight="1" s="36"/>
    <row r="544" ht="15.75" customHeight="1" s="36"/>
    <row r="545" ht="15.75" customHeight="1" s="36"/>
    <row r="546" ht="15.75" customHeight="1" s="36"/>
    <row r="547" ht="15.75" customHeight="1" s="36"/>
    <row r="548" ht="15.75" customHeight="1" s="36"/>
    <row r="549" ht="15.75" customHeight="1" s="36"/>
    <row r="550" ht="15.75" customHeight="1" s="36"/>
    <row r="551" ht="15.75" customHeight="1" s="36"/>
    <row r="552" ht="15.75" customHeight="1" s="36"/>
    <row r="553" ht="15.75" customHeight="1" s="36"/>
    <row r="554" ht="15.75" customHeight="1" s="36"/>
    <row r="555" ht="15.75" customHeight="1" s="36"/>
    <row r="556" ht="15.75" customHeight="1" s="36"/>
    <row r="557" ht="15.75" customHeight="1" s="36"/>
    <row r="558" ht="15.75" customHeight="1" s="36"/>
    <row r="559" ht="15.75" customHeight="1" s="36"/>
    <row r="560" ht="15.75" customHeight="1" s="36"/>
    <row r="561" ht="15.75" customHeight="1" s="36"/>
    <row r="562" ht="15.75" customHeight="1" s="36"/>
    <row r="563" ht="15.75" customHeight="1" s="36"/>
    <row r="564" ht="15.75" customHeight="1" s="36"/>
    <row r="565" ht="15.75" customHeight="1" s="36"/>
    <row r="566" ht="15.75" customHeight="1" s="36"/>
    <row r="567" ht="15.75" customHeight="1" s="36"/>
    <row r="568" ht="15.75" customHeight="1" s="36"/>
    <row r="569" ht="15.75" customHeight="1" s="36"/>
    <row r="570" ht="15.75" customHeight="1" s="36"/>
    <row r="571" ht="15.75" customHeight="1" s="36"/>
    <row r="572" ht="15.75" customHeight="1" s="36"/>
    <row r="573" ht="15.75" customHeight="1" s="36"/>
    <row r="574" ht="15.75" customHeight="1" s="36"/>
    <row r="575" ht="15.75" customHeight="1" s="36"/>
    <row r="576" ht="15.75" customHeight="1" s="36"/>
    <row r="577" ht="15.75" customHeight="1" s="36"/>
    <row r="578" ht="15.75" customHeight="1" s="36"/>
    <row r="579" ht="15.75" customHeight="1" s="36"/>
    <row r="580" ht="15.75" customHeight="1" s="36"/>
    <row r="581" ht="15.75" customHeight="1" s="36"/>
    <row r="582" ht="15.75" customHeight="1" s="36"/>
    <row r="583" ht="15.75" customHeight="1" s="36"/>
    <row r="584" ht="15.75" customHeight="1" s="36"/>
    <row r="585" ht="15.75" customHeight="1" s="36"/>
    <row r="586" ht="15.75" customHeight="1" s="36"/>
    <row r="587" ht="15.75" customHeight="1" s="36"/>
    <row r="588" ht="15.75" customHeight="1" s="36"/>
    <row r="589" ht="15.75" customHeight="1" s="36"/>
    <row r="590" ht="15.75" customHeight="1" s="36"/>
    <row r="591" ht="15.75" customHeight="1" s="36"/>
    <row r="592" ht="15.75" customHeight="1" s="36"/>
    <row r="593" ht="15.75" customHeight="1" s="36"/>
    <row r="594" ht="15.75" customHeight="1" s="36"/>
    <row r="595" ht="15.75" customHeight="1" s="36"/>
    <row r="596" ht="15.75" customHeight="1" s="36"/>
    <row r="597" ht="15.75" customHeight="1" s="36"/>
    <row r="598" ht="15.75" customHeight="1" s="36"/>
    <row r="599" ht="15.75" customHeight="1" s="36"/>
    <row r="600" ht="15.75" customHeight="1" s="36"/>
    <row r="601" ht="15.75" customHeight="1" s="36"/>
    <row r="602" ht="15.75" customHeight="1" s="36"/>
    <row r="603" ht="15.75" customHeight="1" s="36"/>
    <row r="604" ht="15.75" customHeight="1" s="36"/>
    <row r="605" ht="15.75" customHeight="1" s="36"/>
    <row r="606" ht="15.75" customHeight="1" s="36"/>
    <row r="607" ht="15.75" customHeight="1" s="36"/>
    <row r="608" ht="15.75" customHeight="1" s="36"/>
    <row r="609" ht="15.75" customHeight="1" s="36"/>
    <row r="610" ht="15.75" customHeight="1" s="36"/>
    <row r="611" ht="15.75" customHeight="1" s="36"/>
    <row r="612" ht="15.75" customHeight="1" s="36"/>
    <row r="613" ht="15.75" customHeight="1" s="36"/>
    <row r="614" ht="15.75" customHeight="1" s="36"/>
    <row r="615" ht="15.75" customHeight="1" s="36"/>
    <row r="616" ht="15.75" customHeight="1" s="36"/>
    <row r="617" ht="15.75" customHeight="1" s="36"/>
    <row r="618" ht="15.75" customHeight="1" s="36"/>
    <row r="619" ht="15.75" customHeight="1" s="36"/>
    <row r="620" ht="15.75" customHeight="1" s="36"/>
    <row r="621" ht="15.75" customHeight="1" s="36"/>
    <row r="622" ht="15.75" customHeight="1" s="36"/>
    <row r="623" ht="15.75" customHeight="1" s="36"/>
    <row r="624" ht="15.75" customHeight="1" s="36"/>
    <row r="625" ht="15.75" customHeight="1" s="36"/>
    <row r="626" ht="15.75" customHeight="1" s="36"/>
    <row r="627" ht="15.75" customHeight="1" s="36"/>
    <row r="628" ht="15.75" customHeight="1" s="36"/>
    <row r="629" ht="15.75" customHeight="1" s="36"/>
    <row r="630" ht="15.75" customHeight="1" s="36"/>
    <row r="631" ht="15.75" customHeight="1" s="36"/>
    <row r="632" ht="15.75" customHeight="1" s="36"/>
    <row r="633" ht="15.75" customHeight="1" s="36"/>
    <row r="634" ht="15.75" customHeight="1" s="36"/>
    <row r="635" ht="15.75" customHeight="1" s="36"/>
    <row r="636" ht="15.75" customHeight="1" s="36"/>
    <row r="637" ht="15.75" customHeight="1" s="36"/>
    <row r="638" ht="15.75" customHeight="1" s="36"/>
    <row r="639" ht="15.75" customHeight="1" s="36"/>
    <row r="640" ht="15.75" customHeight="1" s="36"/>
    <row r="641" ht="15.75" customHeight="1" s="36"/>
    <row r="642" ht="15.75" customHeight="1" s="36"/>
    <row r="643" ht="15.75" customHeight="1" s="36"/>
    <row r="644" ht="15.75" customHeight="1" s="36"/>
    <row r="645" ht="15.75" customHeight="1" s="36"/>
    <row r="646" ht="15.75" customHeight="1" s="36"/>
    <row r="647" ht="15.75" customHeight="1" s="36"/>
    <row r="648" ht="15.75" customHeight="1" s="36"/>
    <row r="649" ht="15.75" customHeight="1" s="36"/>
    <row r="650" ht="15.75" customHeight="1" s="36"/>
    <row r="651" ht="15.75" customHeight="1" s="36"/>
    <row r="652" ht="15.75" customHeight="1" s="36"/>
    <row r="653" ht="15.75" customHeight="1" s="36"/>
    <row r="654" ht="15.75" customHeight="1" s="36"/>
    <row r="655" ht="15.75" customHeight="1" s="36"/>
    <row r="656" ht="15.75" customHeight="1" s="36"/>
    <row r="657" ht="15.75" customHeight="1" s="36"/>
    <row r="658" ht="15.75" customHeight="1" s="36"/>
    <row r="659" ht="15.75" customHeight="1" s="36"/>
    <row r="660" ht="15.75" customHeight="1" s="36"/>
    <row r="661" ht="15.75" customHeight="1" s="36"/>
    <row r="662" ht="15.75" customHeight="1" s="36"/>
    <row r="663" ht="15.75" customHeight="1" s="36"/>
    <row r="664" ht="15.75" customHeight="1" s="36"/>
    <row r="665" ht="15.75" customHeight="1" s="36"/>
    <row r="666" ht="15.75" customHeight="1" s="36"/>
    <row r="667" ht="15.75" customHeight="1" s="36"/>
    <row r="668" ht="15.75" customHeight="1" s="36"/>
    <row r="669" ht="15.75" customHeight="1" s="36"/>
    <row r="670" ht="15.75" customHeight="1" s="36"/>
    <row r="671" ht="15.75" customHeight="1" s="36"/>
    <row r="672" ht="15.75" customHeight="1" s="36"/>
    <row r="673" ht="15.75" customHeight="1" s="36"/>
    <row r="674" ht="15.75" customHeight="1" s="36"/>
    <row r="675" ht="15.75" customHeight="1" s="36"/>
    <row r="676" ht="15.75" customHeight="1" s="36"/>
    <row r="677" ht="15.75" customHeight="1" s="36"/>
    <row r="678" ht="15.75" customHeight="1" s="36"/>
    <row r="679" ht="15.75" customHeight="1" s="36"/>
    <row r="680" ht="15.75" customHeight="1" s="36"/>
    <row r="681" ht="15.75" customHeight="1" s="36"/>
    <row r="682" ht="15.75" customHeight="1" s="36"/>
    <row r="683" ht="15.75" customHeight="1" s="36"/>
    <row r="684" ht="15.75" customHeight="1" s="36"/>
    <row r="685" ht="15.75" customHeight="1" s="36"/>
    <row r="686" ht="15.75" customHeight="1" s="36"/>
    <row r="687" ht="15.75" customHeight="1" s="36"/>
    <row r="688" ht="15.75" customHeight="1" s="36"/>
    <row r="689" ht="15.75" customHeight="1" s="36"/>
    <row r="690" ht="15.75" customHeight="1" s="36"/>
    <row r="691" ht="15.75" customHeight="1" s="36"/>
    <row r="692" ht="15.75" customHeight="1" s="36"/>
    <row r="693" ht="15.75" customHeight="1" s="36"/>
    <row r="694" ht="15.75" customHeight="1" s="36"/>
    <row r="695" ht="15.75" customHeight="1" s="36"/>
    <row r="696" ht="15.75" customHeight="1" s="36"/>
    <row r="697" ht="15.75" customHeight="1" s="36"/>
    <row r="698" ht="15.75" customHeight="1" s="36"/>
    <row r="699" ht="15.75" customHeight="1" s="36"/>
    <row r="700" ht="15.75" customHeight="1" s="36"/>
    <row r="701" ht="15.75" customHeight="1" s="36"/>
    <row r="702" ht="15.75" customHeight="1" s="36"/>
    <row r="703" ht="15.75" customHeight="1" s="36"/>
    <row r="704" ht="15.75" customHeight="1" s="36"/>
    <row r="705" ht="15.75" customHeight="1" s="36"/>
    <row r="706" ht="15.75" customHeight="1" s="36"/>
    <row r="707" ht="15.75" customHeight="1" s="36"/>
    <row r="708" ht="15.75" customHeight="1" s="36"/>
    <row r="709" ht="15.75" customHeight="1" s="36"/>
    <row r="710" ht="15.75" customHeight="1" s="36"/>
    <row r="711" ht="15.75" customHeight="1" s="36"/>
    <row r="712" ht="15.75" customHeight="1" s="36"/>
    <row r="713" ht="15.75" customHeight="1" s="36"/>
    <row r="714" ht="15.75" customHeight="1" s="36"/>
    <row r="715" ht="15.75" customHeight="1" s="36"/>
    <row r="716" ht="15.75" customHeight="1" s="36"/>
    <row r="717" ht="15.75" customHeight="1" s="36"/>
    <row r="718" ht="15.75" customHeight="1" s="36"/>
    <row r="719" ht="15.75" customHeight="1" s="36"/>
    <row r="720" ht="15.75" customHeight="1" s="36"/>
    <row r="721" ht="15.75" customHeight="1" s="36"/>
    <row r="722" ht="15.75" customHeight="1" s="36"/>
    <row r="723" ht="15.75" customHeight="1" s="36"/>
    <row r="724" ht="15.75" customHeight="1" s="36"/>
    <row r="725" ht="15.75" customHeight="1" s="36"/>
    <row r="726" ht="15.75" customHeight="1" s="36"/>
    <row r="727" ht="15.75" customHeight="1" s="36"/>
    <row r="728" ht="15.75" customHeight="1" s="36"/>
    <row r="729" ht="15.75" customHeight="1" s="36"/>
    <row r="730" ht="15.75" customHeight="1" s="36"/>
    <row r="731" ht="15.75" customHeight="1" s="36"/>
    <row r="732" ht="15.75" customHeight="1" s="36"/>
    <row r="733" ht="15.75" customHeight="1" s="36"/>
    <row r="734" ht="15.75" customHeight="1" s="36"/>
    <row r="735" ht="15.75" customHeight="1" s="36"/>
    <row r="736" ht="15.75" customHeight="1" s="36"/>
    <row r="737" ht="15.75" customHeight="1" s="36"/>
    <row r="738" ht="15.75" customHeight="1" s="36"/>
    <row r="739" ht="15.75" customHeight="1" s="36"/>
    <row r="740" ht="15.75" customHeight="1" s="36"/>
    <row r="741" ht="15.75" customHeight="1" s="36"/>
    <row r="742" ht="15.75" customHeight="1" s="36"/>
    <row r="743" ht="15.75" customHeight="1" s="36"/>
    <row r="744" ht="15.75" customHeight="1" s="36"/>
    <row r="745" ht="15.75" customHeight="1" s="36"/>
    <row r="746" ht="15.75" customHeight="1" s="36"/>
    <row r="747" ht="15.75" customHeight="1" s="36"/>
    <row r="748" ht="15.75" customHeight="1" s="36"/>
    <row r="749" ht="15.75" customHeight="1" s="36"/>
    <row r="750" ht="15.75" customHeight="1" s="36"/>
    <row r="751" ht="15.75" customHeight="1" s="36"/>
    <row r="752" ht="15.75" customHeight="1" s="36"/>
    <row r="753" ht="15.75" customHeight="1" s="36"/>
    <row r="754" ht="15.75" customHeight="1" s="36"/>
    <row r="755" ht="15.75" customHeight="1" s="36"/>
    <row r="756" ht="15.75" customHeight="1" s="36"/>
    <row r="757" ht="15.75" customHeight="1" s="36"/>
    <row r="758" ht="15.75" customHeight="1" s="36"/>
    <row r="759" ht="15.75" customHeight="1" s="36"/>
    <row r="760" ht="15.75" customHeight="1" s="36"/>
    <row r="761" ht="15.75" customHeight="1" s="36"/>
    <row r="762" ht="15.75" customHeight="1" s="36"/>
    <row r="763" ht="15.75" customHeight="1" s="36"/>
    <row r="764" ht="15.75" customHeight="1" s="36"/>
    <row r="765" ht="15.75" customHeight="1" s="36"/>
    <row r="766" ht="15.75" customHeight="1" s="36"/>
    <row r="767" ht="15.75" customHeight="1" s="36"/>
    <row r="768" ht="15.75" customHeight="1" s="36"/>
    <row r="769" ht="15.75" customHeight="1" s="36"/>
    <row r="770" ht="15.75" customHeight="1" s="36"/>
    <row r="771" ht="15.75" customHeight="1" s="36"/>
    <row r="772" ht="15.75" customHeight="1" s="36"/>
    <row r="773" ht="15.75" customHeight="1" s="36"/>
    <row r="774" ht="15.75" customHeight="1" s="36"/>
    <row r="775" ht="15.75" customHeight="1" s="36"/>
    <row r="776" ht="15.75" customHeight="1" s="36"/>
    <row r="777" ht="15.75" customHeight="1" s="36"/>
    <row r="778" ht="15.75" customHeight="1" s="36"/>
    <row r="779" ht="15.75" customHeight="1" s="36"/>
    <row r="780" ht="15.75" customHeight="1" s="36"/>
    <row r="781" ht="15.75" customHeight="1" s="36"/>
    <row r="782" ht="15.75" customHeight="1" s="36"/>
    <row r="783" ht="15.75" customHeight="1" s="36"/>
    <row r="784" ht="15.75" customHeight="1" s="36"/>
    <row r="785" ht="15.75" customHeight="1" s="36"/>
    <row r="786" ht="15.75" customHeight="1" s="36"/>
    <row r="787" ht="15.75" customHeight="1" s="36"/>
    <row r="788" ht="15.75" customHeight="1" s="36"/>
    <row r="789" ht="15.75" customHeight="1" s="36"/>
    <row r="790" ht="15.75" customHeight="1" s="36"/>
    <row r="791" ht="15.75" customHeight="1" s="36"/>
    <row r="792" ht="15.75" customHeight="1" s="36"/>
    <row r="793" ht="15.75" customHeight="1" s="36"/>
    <row r="794" ht="15.75" customHeight="1" s="36"/>
    <row r="795" ht="15.75" customHeight="1" s="36"/>
    <row r="796" ht="15.75" customHeight="1" s="36"/>
    <row r="797" ht="15.75" customHeight="1" s="36"/>
    <row r="798" ht="15.75" customHeight="1" s="36"/>
    <row r="799" ht="15.75" customHeight="1" s="36"/>
    <row r="800" ht="15.75" customHeight="1" s="36"/>
    <row r="801" ht="15.75" customHeight="1" s="36"/>
    <row r="802" ht="15.75" customHeight="1" s="36"/>
    <row r="803" ht="15.75" customHeight="1" s="36"/>
    <row r="804" ht="15.75" customHeight="1" s="36"/>
    <row r="805" ht="15.75" customHeight="1" s="36"/>
    <row r="806" ht="15.75" customHeight="1" s="36"/>
    <row r="807" ht="15.75" customHeight="1" s="36"/>
    <row r="808" ht="15.75" customHeight="1" s="36"/>
    <row r="809" ht="15.75" customHeight="1" s="36"/>
    <row r="810" ht="15.75" customHeight="1" s="36"/>
    <row r="811" ht="15.75" customHeight="1" s="36"/>
    <row r="812" ht="15.75" customHeight="1" s="36"/>
    <row r="813" ht="15.75" customHeight="1" s="36"/>
    <row r="814" ht="15.75" customHeight="1" s="36"/>
    <row r="815" ht="15.75" customHeight="1" s="36"/>
    <row r="816" ht="15.75" customHeight="1" s="36"/>
    <row r="817" ht="15.75" customHeight="1" s="36"/>
    <row r="818" ht="15.75" customHeight="1" s="36"/>
    <row r="819" ht="15.75" customHeight="1" s="36"/>
    <row r="820" ht="15.75" customHeight="1" s="36"/>
    <row r="821" ht="15.75" customHeight="1" s="36"/>
    <row r="822" ht="15.75" customHeight="1" s="36"/>
    <row r="823" ht="15.75" customHeight="1" s="36"/>
    <row r="824" ht="15.75" customHeight="1" s="36"/>
    <row r="825" ht="15.75" customHeight="1" s="36"/>
    <row r="826" ht="15.75" customHeight="1" s="36"/>
    <row r="827" ht="15.75" customHeight="1" s="36"/>
    <row r="828" ht="15.75" customHeight="1" s="36"/>
    <row r="829" ht="15.75" customHeight="1" s="36"/>
    <row r="830" ht="15.75" customHeight="1" s="36"/>
    <row r="831" ht="15.75" customHeight="1" s="36"/>
    <row r="832" ht="15.75" customHeight="1" s="36"/>
    <row r="833" ht="15.75" customHeight="1" s="36"/>
    <row r="834" ht="15.75" customHeight="1" s="36"/>
    <row r="835" ht="15.75" customHeight="1" s="36"/>
    <row r="836" ht="15.75" customHeight="1" s="36"/>
    <row r="837" ht="15.75" customHeight="1" s="36"/>
    <row r="838" ht="15.75" customHeight="1" s="36"/>
    <row r="839" ht="15.75" customHeight="1" s="36"/>
    <row r="840" ht="15.75" customHeight="1" s="36"/>
    <row r="841" ht="15.75" customHeight="1" s="36"/>
    <row r="842" ht="15.75" customHeight="1" s="36"/>
    <row r="843" ht="15.75" customHeight="1" s="36"/>
    <row r="844" ht="15.75" customHeight="1" s="36"/>
    <row r="845" ht="15.75" customHeight="1" s="36"/>
    <row r="846" ht="15.75" customHeight="1" s="36"/>
    <row r="847" ht="15.75" customHeight="1" s="36"/>
    <row r="848" ht="15.75" customHeight="1" s="36"/>
    <row r="849" ht="15.75" customHeight="1" s="36"/>
    <row r="850" ht="15.75" customHeight="1" s="36"/>
    <row r="851" ht="15.75" customHeight="1" s="36"/>
    <row r="852" ht="15.75" customHeight="1" s="36"/>
    <row r="853" ht="15.75" customHeight="1" s="36"/>
    <row r="854" ht="15.75" customHeight="1" s="36"/>
    <row r="855" ht="15.75" customHeight="1" s="36"/>
    <row r="856" ht="15.75" customHeight="1" s="36"/>
    <row r="857" ht="15.75" customHeight="1" s="36"/>
    <row r="858" ht="15.75" customHeight="1" s="36"/>
    <row r="859" ht="15.75" customHeight="1" s="36"/>
    <row r="860" ht="15.75" customHeight="1" s="36"/>
    <row r="861" ht="15.75" customHeight="1" s="36"/>
    <row r="862" ht="15.75" customHeight="1" s="36"/>
    <row r="863" ht="15.75" customHeight="1" s="36"/>
    <row r="864" ht="15.75" customHeight="1" s="36"/>
    <row r="865" ht="15.75" customHeight="1" s="36"/>
    <row r="866" ht="15.75" customHeight="1" s="36"/>
    <row r="867" ht="15.75" customHeight="1" s="36"/>
    <row r="868" ht="15.75" customHeight="1" s="36"/>
    <row r="869" ht="15.75" customHeight="1" s="36"/>
    <row r="870" ht="15.75" customHeight="1" s="36"/>
    <row r="871" ht="15.75" customHeight="1" s="36"/>
    <row r="872" ht="15.75" customHeight="1" s="36"/>
    <row r="873" ht="15.75" customHeight="1" s="36"/>
    <row r="874" ht="15.75" customHeight="1" s="36"/>
    <row r="875" ht="15.75" customHeight="1" s="36"/>
    <row r="876" ht="15.75" customHeight="1" s="36"/>
    <row r="877" ht="15.75" customHeight="1" s="36"/>
    <row r="878" ht="15.75" customHeight="1" s="36"/>
    <row r="879" ht="15.75" customHeight="1" s="36"/>
    <row r="880" ht="15.75" customHeight="1" s="36"/>
    <row r="881" ht="15.75" customHeight="1" s="36"/>
    <row r="882" ht="15.75" customHeight="1" s="36"/>
    <row r="883" ht="15.75" customHeight="1" s="36"/>
    <row r="884" ht="15.75" customHeight="1" s="36"/>
    <row r="885" ht="15.75" customHeight="1" s="36"/>
    <row r="886" ht="15.75" customHeight="1" s="36"/>
    <row r="887" ht="15.75" customHeight="1" s="36"/>
    <row r="888" ht="15.75" customHeight="1" s="36"/>
    <row r="889" ht="15.75" customHeight="1" s="36"/>
    <row r="890" ht="15.75" customHeight="1" s="36"/>
    <row r="891" ht="15.75" customHeight="1" s="36"/>
    <row r="892" ht="15.75" customHeight="1" s="36"/>
    <row r="893" ht="15.75" customHeight="1" s="36"/>
    <row r="894" ht="15.75" customHeight="1" s="36"/>
    <row r="895" ht="15.75" customHeight="1" s="36"/>
    <row r="896" ht="15.75" customHeight="1" s="36"/>
    <row r="897" ht="15.75" customHeight="1" s="36"/>
    <row r="898" ht="15.75" customHeight="1" s="36"/>
    <row r="899" ht="15.75" customHeight="1" s="36"/>
    <row r="900" ht="15.75" customHeight="1" s="36"/>
    <row r="901" ht="15.75" customHeight="1" s="36"/>
    <row r="902" ht="15.75" customHeight="1" s="36"/>
    <row r="903" ht="15.75" customHeight="1" s="36"/>
    <row r="904" ht="15.75" customHeight="1" s="36"/>
    <row r="905" ht="15.75" customHeight="1" s="36"/>
    <row r="906" ht="15.75" customHeight="1" s="36"/>
    <row r="907" ht="15.75" customHeight="1" s="36"/>
    <row r="908" ht="15.75" customHeight="1" s="36"/>
    <row r="909" ht="15.75" customHeight="1" s="36"/>
    <row r="910" ht="15.75" customHeight="1" s="36"/>
    <row r="911" ht="15.75" customHeight="1" s="36"/>
    <row r="912" ht="15.75" customHeight="1" s="36"/>
    <row r="913" ht="15.75" customHeight="1" s="36"/>
    <row r="914" ht="15.75" customHeight="1" s="36"/>
    <row r="915" ht="15.75" customHeight="1" s="36"/>
    <row r="916" ht="15.75" customHeight="1" s="36"/>
    <row r="917" ht="15.75" customHeight="1" s="36"/>
    <row r="918" ht="15.75" customHeight="1" s="36"/>
    <row r="919" ht="15.75" customHeight="1" s="36"/>
    <row r="920" ht="15.75" customHeight="1" s="36"/>
    <row r="921" ht="15.75" customHeight="1" s="36"/>
    <row r="922" ht="15.75" customHeight="1" s="36"/>
    <row r="923" ht="15.75" customHeight="1" s="36"/>
    <row r="924" ht="15.75" customHeight="1" s="36"/>
    <row r="925" ht="15.75" customHeight="1" s="36"/>
    <row r="926" ht="15.75" customHeight="1" s="36"/>
    <row r="927" ht="15.75" customHeight="1" s="36"/>
    <row r="928" ht="15.75" customHeight="1" s="36"/>
    <row r="929" ht="15.75" customHeight="1" s="36"/>
    <row r="930" ht="15.75" customHeight="1" s="36"/>
    <row r="931" ht="15.75" customHeight="1" s="36"/>
    <row r="932" ht="15.75" customHeight="1" s="36"/>
    <row r="933" ht="15.75" customHeight="1" s="36"/>
    <row r="934" ht="15.75" customHeight="1" s="36"/>
    <row r="935" ht="15.75" customHeight="1" s="36"/>
    <row r="936" ht="15.75" customHeight="1" s="36"/>
    <row r="937" ht="15.75" customHeight="1" s="36"/>
    <row r="938" ht="15.75" customHeight="1" s="36"/>
    <row r="939" ht="15.75" customHeight="1" s="36"/>
    <row r="940" ht="15.75" customHeight="1" s="36"/>
    <row r="941" ht="15.75" customHeight="1" s="36"/>
    <row r="942" ht="15.75" customHeight="1" s="36"/>
    <row r="943" ht="15.75" customHeight="1" s="36"/>
    <row r="944" ht="15.75" customHeight="1" s="36"/>
    <row r="945" ht="15.75" customHeight="1" s="36"/>
    <row r="946" ht="15.75" customHeight="1" s="36"/>
    <row r="947" ht="15.75" customHeight="1" s="36"/>
    <row r="948" ht="15.75" customHeight="1" s="36"/>
    <row r="949" ht="15.75" customHeight="1" s="36"/>
    <row r="950" ht="15.75" customHeight="1" s="36"/>
    <row r="951" ht="15.75" customHeight="1" s="36"/>
    <row r="952" ht="15.75" customHeight="1" s="36"/>
    <row r="953" ht="15.75" customHeight="1" s="36"/>
    <row r="954" ht="15.75" customHeight="1" s="36"/>
    <row r="955" ht="15.75" customHeight="1" s="36"/>
    <row r="956" ht="15.75" customHeight="1" s="36"/>
    <row r="957" ht="15.75" customHeight="1" s="36"/>
    <row r="958" ht="15.75" customHeight="1" s="36"/>
    <row r="959" ht="15.75" customHeight="1" s="36"/>
    <row r="960" ht="15.75" customHeight="1" s="36"/>
    <row r="961" ht="15.75" customHeight="1" s="36"/>
    <row r="962" ht="15.75" customHeight="1" s="36"/>
    <row r="963" ht="15.75" customHeight="1" s="36"/>
    <row r="964" ht="15.75" customHeight="1" s="36"/>
    <row r="965" ht="15.75" customHeight="1" s="36"/>
    <row r="966" ht="15.75" customHeight="1" s="36"/>
    <row r="967" ht="15.75" customHeight="1" s="36"/>
    <row r="968" ht="15.75" customHeight="1" s="36"/>
    <row r="969" ht="15.75" customHeight="1" s="36"/>
    <row r="970" ht="15.75" customHeight="1" s="36"/>
    <row r="971" ht="15.75" customHeight="1" s="36"/>
    <row r="972" ht="15.75" customHeight="1" s="36"/>
    <row r="973" ht="15.75" customHeight="1" s="36"/>
    <row r="974" ht="15.75" customHeight="1" s="36"/>
    <row r="975" ht="15.75" customHeight="1" s="36"/>
    <row r="976" ht="15.75" customHeight="1" s="36"/>
    <row r="977" ht="15.75" customHeight="1" s="36"/>
    <row r="978" ht="15.75" customHeight="1" s="36"/>
    <row r="979" ht="15.75" customHeight="1" s="36"/>
    <row r="980" ht="15.75" customHeight="1" s="36"/>
    <row r="981" ht="15.75" customHeight="1" s="36"/>
    <row r="982" ht="15.75" customHeight="1" s="36"/>
    <row r="983" ht="15.75" customHeight="1" s="36"/>
    <row r="984" ht="15.75" customHeight="1" s="36"/>
    <row r="985" ht="15.75" customHeight="1" s="36"/>
    <row r="986" ht="15.75" customHeight="1" s="36"/>
    <row r="987" ht="15.75" customHeight="1" s="36"/>
    <row r="988" ht="15.75" customHeight="1" s="36"/>
    <row r="989" ht="15.75" customHeight="1" s="36"/>
    <row r="990" ht="15.75" customHeight="1" s="36"/>
    <row r="991" ht="15.75" customHeight="1" s="36"/>
    <row r="992" ht="15.75" customHeight="1" s="36"/>
    <row r="993" ht="15.75" customHeight="1" s="36"/>
    <row r="994" ht="15.75" customHeight="1" s="36"/>
    <row r="995" ht="15.75" customHeight="1" s="36"/>
    <row r="996" ht="15.75" customHeight="1" s="36"/>
    <row r="997" ht="15.75" customHeight="1" s="36"/>
    <row r="998" ht="15.75" customHeight="1" s="36"/>
    <row r="999" ht="15.75" customHeight="1" s="36"/>
  </sheetData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3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10" customWidth="1" style="36" min="1" max="2"/>
    <col width="8.710000000000001" customWidth="1" style="36" min="3" max="3"/>
    <col width="24" customWidth="1" style="36" min="4" max="4"/>
    <col width="12" customWidth="1" style="36" min="5" max="5"/>
    <col width="8.710000000000001" customWidth="1" style="36" min="6" max="26"/>
  </cols>
  <sheetData>
    <row r="1">
      <c r="A1" s="1" t="inlineStr">
        <is>
          <t>Llegadas por intervalo de 5 minutos (verificación del supuesto de Poisson)</t>
        </is>
      </c>
    </row>
    <row r="2">
      <c r="A2" s="2" t="inlineStr">
        <is>
          <t>Llegadas en intervalos consecutivos de 5 minutos de la franja 9:00-10:00 (12 intervalos por día, días 1 a 10).</t>
        </is>
      </c>
    </row>
    <row r="3">
      <c r="A3" s="6" t="inlineStr">
        <is>
          <t>Intervalo</t>
        </is>
      </c>
      <c r="B3" s="6" t="inlineStr">
        <is>
          <t>Llegadas</t>
        </is>
      </c>
      <c r="D3" s="9" t="inlineStr">
        <is>
          <t>Número de intervalos</t>
        </is>
      </c>
      <c r="E3" s="15">
        <f>COUNT(B4:B303)</f>
        <v/>
      </c>
    </row>
    <row r="4">
      <c r="A4" s="17" t="n">
        <v>1</v>
      </c>
      <c r="B4" s="16" t="n">
        <v>7</v>
      </c>
      <c r="D4" s="9" t="inlineStr">
        <is>
          <t>Media</t>
        </is>
      </c>
      <c r="E4" s="19">
        <f>IF(E3=0,"",AVERAGE(B4:B303))</f>
        <v/>
      </c>
    </row>
    <row r="5">
      <c r="A5" s="17" t="n">
        <v>2</v>
      </c>
      <c r="B5" s="16" t="n">
        <v>5</v>
      </c>
      <c r="D5" s="9" t="inlineStr">
        <is>
          <t>Varianza</t>
        </is>
      </c>
      <c r="E5" s="19">
        <f>IF(E3&lt;2,"",VAR(B4:B303))</f>
        <v/>
      </c>
    </row>
    <row r="6">
      <c r="A6" s="17" t="n">
        <v>3</v>
      </c>
      <c r="B6" s="16" t="n">
        <v>7</v>
      </c>
      <c r="D6" s="9" t="inlineStr">
        <is>
          <t>Varianza / media</t>
        </is>
      </c>
      <c r="E6" s="19">
        <f>IF(OR(E4="",E5=""),"",IF(E4=0,"",E5/E4))</f>
        <v/>
      </c>
    </row>
    <row r="7">
      <c r="A7" s="17" t="n">
        <v>4</v>
      </c>
      <c r="B7" s="16" t="n">
        <v>7</v>
      </c>
    </row>
    <row r="8">
      <c r="A8" s="17" t="n">
        <v>5</v>
      </c>
      <c r="B8" s="16" t="n">
        <v>5</v>
      </c>
      <c r="D8" s="2" t="inlineStr">
        <is>
          <t>En una distribución de Poisson, media y varianza son iguales (cociente ≈ 1). Es un indicio, no una prueba:</t>
        </is>
      </c>
    </row>
    <row r="9">
      <c r="A9" s="17" t="n">
        <v>6</v>
      </c>
      <c r="B9" s="16" t="n">
        <v>9</v>
      </c>
      <c r="D9" s="2" t="inlineStr">
        <is>
          <t>la prueba chi-cuadrado y la de Kolmogorov-Smirnov se hacen aparte (por ejemplo, con SciPy).</t>
        </is>
      </c>
    </row>
    <row r="10">
      <c r="A10" s="17" t="n">
        <v>7</v>
      </c>
      <c r="B10" s="16" t="n">
        <v>10</v>
      </c>
    </row>
    <row r="11">
      <c r="A11" s="17" t="n">
        <v>8</v>
      </c>
      <c r="B11" s="16" t="n">
        <v>7</v>
      </c>
    </row>
    <row r="12">
      <c r="A12" s="17" t="n">
        <v>9</v>
      </c>
      <c r="B12" s="16" t="n">
        <v>8</v>
      </c>
    </row>
    <row r="13">
      <c r="A13" s="17" t="n">
        <v>10</v>
      </c>
      <c r="B13" s="16" t="n">
        <v>4</v>
      </c>
    </row>
    <row r="14">
      <c r="A14" s="17" t="n">
        <v>11</v>
      </c>
      <c r="B14" s="16" t="n">
        <v>5</v>
      </c>
    </row>
    <row r="15">
      <c r="A15" s="17" t="n">
        <v>12</v>
      </c>
      <c r="B15" s="16" t="n">
        <v>9</v>
      </c>
    </row>
    <row r="16">
      <c r="A16" s="17" t="n">
        <v>13</v>
      </c>
      <c r="B16" s="16" t="n">
        <v>4</v>
      </c>
    </row>
    <row r="17">
      <c r="A17" s="17" t="n">
        <v>14</v>
      </c>
      <c r="B17" s="16" t="n">
        <v>8</v>
      </c>
    </row>
    <row r="18">
      <c r="A18" s="17" t="n">
        <v>15</v>
      </c>
      <c r="B18" s="16" t="n">
        <v>8</v>
      </c>
    </row>
    <row r="19">
      <c r="A19" s="17" t="n">
        <v>16</v>
      </c>
      <c r="B19" s="16" t="n">
        <v>6</v>
      </c>
    </row>
    <row r="20" ht="15.75" customHeight="1" s="36">
      <c r="A20" s="17" t="n">
        <v>17</v>
      </c>
      <c r="B20" s="16" t="n">
        <v>8</v>
      </c>
    </row>
    <row r="21" ht="15.75" customHeight="1" s="36">
      <c r="A21" s="17" t="n">
        <v>18</v>
      </c>
      <c r="B21" s="16" t="n">
        <v>10</v>
      </c>
    </row>
    <row r="22" ht="15.75" customHeight="1" s="36">
      <c r="A22" s="17" t="n">
        <v>19</v>
      </c>
      <c r="B22" s="16" t="n">
        <v>3</v>
      </c>
    </row>
    <row r="23" ht="15.75" customHeight="1" s="36">
      <c r="A23" s="17" t="n">
        <v>20</v>
      </c>
      <c r="B23" s="16" t="n">
        <v>9</v>
      </c>
    </row>
    <row r="24" ht="15.75" customHeight="1" s="36">
      <c r="A24" s="17" t="n">
        <v>21</v>
      </c>
      <c r="B24" s="16" t="n">
        <v>2</v>
      </c>
    </row>
    <row r="25" ht="15.75" customHeight="1" s="36">
      <c r="A25" s="17" t="n">
        <v>22</v>
      </c>
      <c r="B25" s="16" t="n">
        <v>8</v>
      </c>
    </row>
    <row r="26" ht="15.75" customHeight="1" s="36">
      <c r="A26" s="17" t="n">
        <v>23</v>
      </c>
      <c r="B26" s="16" t="n">
        <v>8</v>
      </c>
    </row>
    <row r="27" ht="15.75" customHeight="1" s="36">
      <c r="A27" s="17" t="n">
        <v>24</v>
      </c>
      <c r="B27" s="16" t="n">
        <v>4</v>
      </c>
    </row>
    <row r="28" ht="15.75" customHeight="1" s="36">
      <c r="A28" s="17" t="n">
        <v>25</v>
      </c>
      <c r="B28" s="16" t="n">
        <v>12</v>
      </c>
    </row>
    <row r="29" ht="15.75" customHeight="1" s="36">
      <c r="A29" s="17" t="n">
        <v>26</v>
      </c>
      <c r="B29" s="16" t="n">
        <v>9</v>
      </c>
    </row>
    <row r="30" ht="15.75" customHeight="1" s="36">
      <c r="A30" s="17" t="n">
        <v>27</v>
      </c>
      <c r="B30" s="16" t="n">
        <v>7</v>
      </c>
    </row>
    <row r="31" ht="15.75" customHeight="1" s="36">
      <c r="A31" s="17" t="n">
        <v>28</v>
      </c>
      <c r="B31" s="16" t="n">
        <v>7</v>
      </c>
    </row>
    <row r="32" ht="15.75" customHeight="1" s="36">
      <c r="A32" s="17" t="n">
        <v>29</v>
      </c>
      <c r="B32" s="16" t="n">
        <v>9</v>
      </c>
    </row>
    <row r="33" ht="15.75" customHeight="1" s="36">
      <c r="A33" s="17" t="n">
        <v>30</v>
      </c>
      <c r="B33" s="16" t="n">
        <v>9</v>
      </c>
    </row>
    <row r="34" ht="15.75" customHeight="1" s="36">
      <c r="A34" s="17" t="n">
        <v>31</v>
      </c>
      <c r="B34" s="16" t="n">
        <v>9</v>
      </c>
    </row>
    <row r="35" ht="15.75" customHeight="1" s="36">
      <c r="A35" s="17" t="n">
        <v>32</v>
      </c>
      <c r="B35" s="16" t="n">
        <v>7</v>
      </c>
    </row>
    <row r="36" ht="15.75" customHeight="1" s="36">
      <c r="A36" s="17" t="n">
        <v>33</v>
      </c>
      <c r="B36" s="16" t="n">
        <v>10</v>
      </c>
    </row>
    <row r="37" ht="15.75" customHeight="1" s="36">
      <c r="A37" s="17" t="n">
        <v>34</v>
      </c>
      <c r="B37" s="16" t="n">
        <v>5</v>
      </c>
    </row>
    <row r="38" ht="15.75" customHeight="1" s="36">
      <c r="A38" s="17" t="n">
        <v>35</v>
      </c>
      <c r="B38" s="16" t="n">
        <v>6</v>
      </c>
    </row>
    <row r="39" ht="15.75" customHeight="1" s="36">
      <c r="A39" s="17" t="n">
        <v>36</v>
      </c>
      <c r="B39" s="16" t="n">
        <v>11</v>
      </c>
    </row>
    <row r="40" ht="15.75" customHeight="1" s="36">
      <c r="A40" s="17" t="n">
        <v>37</v>
      </c>
      <c r="B40" s="16" t="n">
        <v>5</v>
      </c>
    </row>
    <row r="41" ht="15.75" customHeight="1" s="36">
      <c r="A41" s="17" t="n">
        <v>38</v>
      </c>
      <c r="B41" s="16" t="n">
        <v>8</v>
      </c>
    </row>
    <row r="42" ht="15.75" customHeight="1" s="36">
      <c r="A42" s="17" t="n">
        <v>39</v>
      </c>
      <c r="B42" s="16" t="n">
        <v>7</v>
      </c>
    </row>
    <row r="43" ht="15.75" customHeight="1" s="36">
      <c r="A43" s="17" t="n">
        <v>40</v>
      </c>
      <c r="B43" s="16" t="n">
        <v>7</v>
      </c>
    </row>
    <row r="44" ht="15.75" customHeight="1" s="36">
      <c r="A44" s="17" t="n">
        <v>41</v>
      </c>
      <c r="B44" s="16" t="n">
        <v>6</v>
      </c>
    </row>
    <row r="45" ht="15.75" customHeight="1" s="36">
      <c r="A45" s="17" t="n">
        <v>42</v>
      </c>
      <c r="B45" s="16" t="n">
        <v>7</v>
      </c>
    </row>
    <row r="46" ht="15.75" customHeight="1" s="36">
      <c r="A46" s="17" t="n">
        <v>43</v>
      </c>
      <c r="B46" s="16" t="n">
        <v>5</v>
      </c>
    </row>
    <row r="47" ht="15.75" customHeight="1" s="36">
      <c r="A47" s="17" t="n">
        <v>44</v>
      </c>
      <c r="B47" s="16" t="n">
        <v>7</v>
      </c>
    </row>
    <row r="48" ht="15.75" customHeight="1" s="36">
      <c r="A48" s="17" t="n">
        <v>45</v>
      </c>
      <c r="B48" s="16" t="n">
        <v>9</v>
      </c>
    </row>
    <row r="49" ht="15.75" customHeight="1" s="36">
      <c r="A49" s="17" t="n">
        <v>46</v>
      </c>
      <c r="B49" s="16" t="n">
        <v>4</v>
      </c>
    </row>
    <row r="50" ht="15.75" customHeight="1" s="36">
      <c r="A50" s="17" t="n">
        <v>47</v>
      </c>
      <c r="B50" s="16" t="n">
        <v>12</v>
      </c>
    </row>
    <row r="51" ht="15.75" customHeight="1" s="36">
      <c r="A51" s="17" t="n">
        <v>48</v>
      </c>
      <c r="B51" s="16" t="n">
        <v>11</v>
      </c>
    </row>
    <row r="52" ht="15.75" customHeight="1" s="36">
      <c r="A52" s="17" t="n">
        <v>49</v>
      </c>
      <c r="B52" s="16" t="n">
        <v>14</v>
      </c>
    </row>
    <row r="53" ht="15.75" customHeight="1" s="36">
      <c r="A53" s="17" t="n">
        <v>50</v>
      </c>
      <c r="B53" s="16" t="n">
        <v>9</v>
      </c>
    </row>
    <row r="54" ht="15.75" customHeight="1" s="36">
      <c r="A54" s="17" t="n">
        <v>51</v>
      </c>
      <c r="B54" s="16" t="n">
        <v>6</v>
      </c>
    </row>
    <row r="55" ht="15.75" customHeight="1" s="36">
      <c r="A55" s="17" t="n">
        <v>52</v>
      </c>
      <c r="B55" s="16" t="n">
        <v>7</v>
      </c>
    </row>
    <row r="56" ht="15.75" customHeight="1" s="36">
      <c r="A56" s="17" t="n">
        <v>53</v>
      </c>
      <c r="B56" s="16" t="n">
        <v>10</v>
      </c>
    </row>
    <row r="57" ht="15.75" customHeight="1" s="36">
      <c r="A57" s="17" t="n">
        <v>54</v>
      </c>
      <c r="B57" s="16" t="n">
        <v>2</v>
      </c>
    </row>
    <row r="58" ht="15.75" customHeight="1" s="36">
      <c r="A58" s="17" t="n">
        <v>55</v>
      </c>
      <c r="B58" s="16" t="n">
        <v>13</v>
      </c>
    </row>
    <row r="59" ht="15.75" customHeight="1" s="36">
      <c r="A59" s="17" t="n">
        <v>56</v>
      </c>
      <c r="B59" s="16" t="n">
        <v>8</v>
      </c>
    </row>
    <row r="60" ht="15.75" customHeight="1" s="36">
      <c r="A60" s="17" t="n">
        <v>57</v>
      </c>
      <c r="B60" s="16" t="n">
        <v>12</v>
      </c>
    </row>
    <row r="61" ht="15.75" customHeight="1" s="36">
      <c r="A61" s="17" t="n">
        <v>58</v>
      </c>
      <c r="B61" s="16" t="n">
        <v>11</v>
      </c>
    </row>
    <row r="62" ht="15.75" customHeight="1" s="36">
      <c r="A62" s="17" t="n">
        <v>59</v>
      </c>
      <c r="B62" s="16" t="n">
        <v>5</v>
      </c>
    </row>
    <row r="63" ht="15.75" customHeight="1" s="36">
      <c r="A63" s="17" t="n">
        <v>60</v>
      </c>
      <c r="B63" s="16" t="n">
        <v>12</v>
      </c>
    </row>
    <row r="64" ht="15.75" customHeight="1" s="36">
      <c r="A64" s="17" t="n">
        <v>61</v>
      </c>
      <c r="B64" s="16" t="n">
        <v>7</v>
      </c>
    </row>
    <row r="65" ht="15.75" customHeight="1" s="36">
      <c r="A65" s="17" t="n">
        <v>62</v>
      </c>
      <c r="B65" s="16" t="n">
        <v>7</v>
      </c>
    </row>
    <row r="66" ht="15.75" customHeight="1" s="36">
      <c r="A66" s="17" t="n">
        <v>63</v>
      </c>
      <c r="B66" s="16" t="n">
        <v>3</v>
      </c>
    </row>
    <row r="67" ht="15.75" customHeight="1" s="36">
      <c r="A67" s="17" t="n">
        <v>64</v>
      </c>
      <c r="B67" s="16" t="n">
        <v>7</v>
      </c>
    </row>
    <row r="68" ht="15.75" customHeight="1" s="36">
      <c r="A68" s="17" t="n">
        <v>65</v>
      </c>
      <c r="B68" s="16" t="n">
        <v>7</v>
      </c>
    </row>
    <row r="69" ht="15.75" customHeight="1" s="36">
      <c r="A69" s="17" t="n">
        <v>66</v>
      </c>
      <c r="B69" s="16" t="n">
        <v>6</v>
      </c>
    </row>
    <row r="70" ht="15.75" customHeight="1" s="36">
      <c r="A70" s="17" t="n">
        <v>67</v>
      </c>
      <c r="B70" s="16" t="n">
        <v>9</v>
      </c>
    </row>
    <row r="71" ht="15.75" customHeight="1" s="36">
      <c r="A71" s="17" t="n">
        <v>68</v>
      </c>
      <c r="B71" s="16" t="n">
        <v>4</v>
      </c>
    </row>
    <row r="72" ht="15.75" customHeight="1" s="36">
      <c r="A72" s="17" t="n">
        <v>69</v>
      </c>
      <c r="B72" s="16" t="n">
        <v>7</v>
      </c>
    </row>
    <row r="73" ht="15.75" customHeight="1" s="36">
      <c r="A73" s="17" t="n">
        <v>70</v>
      </c>
      <c r="B73" s="16" t="n">
        <v>4</v>
      </c>
    </row>
    <row r="74" ht="15.75" customHeight="1" s="36">
      <c r="A74" s="17" t="n">
        <v>71</v>
      </c>
      <c r="B74" s="16" t="n">
        <v>3</v>
      </c>
    </row>
    <row r="75" ht="15.75" customHeight="1" s="36">
      <c r="A75" s="17" t="n">
        <v>72</v>
      </c>
      <c r="B75" s="16" t="n">
        <v>8</v>
      </c>
    </row>
    <row r="76" ht="15.75" customHeight="1" s="36">
      <c r="A76" s="17" t="n">
        <v>73</v>
      </c>
      <c r="B76" s="16" t="n">
        <v>9</v>
      </c>
    </row>
    <row r="77" ht="15.75" customHeight="1" s="36">
      <c r="A77" s="17" t="n">
        <v>74</v>
      </c>
      <c r="B77" s="16" t="n">
        <v>5</v>
      </c>
    </row>
    <row r="78" ht="15.75" customHeight="1" s="36">
      <c r="A78" s="17" t="n">
        <v>75</v>
      </c>
      <c r="B78" s="16" t="n">
        <v>6</v>
      </c>
    </row>
    <row r="79" ht="15.75" customHeight="1" s="36">
      <c r="A79" s="17" t="n">
        <v>76</v>
      </c>
      <c r="B79" s="16" t="n">
        <v>5</v>
      </c>
    </row>
    <row r="80" ht="15.75" customHeight="1" s="36">
      <c r="A80" s="17" t="n">
        <v>77</v>
      </c>
      <c r="B80" s="16" t="n">
        <v>12</v>
      </c>
    </row>
    <row r="81" ht="15.75" customHeight="1" s="36">
      <c r="A81" s="17" t="n">
        <v>78</v>
      </c>
      <c r="B81" s="16" t="n">
        <v>4</v>
      </c>
    </row>
    <row r="82" ht="15.75" customHeight="1" s="36">
      <c r="A82" s="17" t="n">
        <v>79</v>
      </c>
      <c r="B82" s="16" t="n">
        <v>9</v>
      </c>
    </row>
    <row r="83" ht="15.75" customHeight="1" s="36">
      <c r="A83" s="17" t="n">
        <v>80</v>
      </c>
      <c r="B83" s="16" t="n">
        <v>9</v>
      </c>
    </row>
    <row r="84" ht="15.75" customHeight="1" s="36">
      <c r="A84" s="17" t="n">
        <v>81</v>
      </c>
      <c r="B84" s="16" t="n">
        <v>7</v>
      </c>
    </row>
    <row r="85" ht="15.75" customHeight="1" s="36">
      <c r="A85" s="17" t="n">
        <v>82</v>
      </c>
      <c r="B85" s="16" t="n">
        <v>8</v>
      </c>
    </row>
    <row r="86" ht="15.75" customHeight="1" s="36">
      <c r="A86" s="17" t="n">
        <v>83</v>
      </c>
      <c r="B86" s="16" t="n">
        <v>7</v>
      </c>
    </row>
    <row r="87" ht="15.75" customHeight="1" s="36">
      <c r="A87" s="17" t="n">
        <v>84</v>
      </c>
      <c r="B87" s="16" t="n">
        <v>12</v>
      </c>
    </row>
    <row r="88" ht="15.75" customHeight="1" s="36">
      <c r="A88" s="17" t="n">
        <v>85</v>
      </c>
      <c r="B88" s="16" t="n">
        <v>8</v>
      </c>
    </row>
    <row r="89" ht="15.75" customHeight="1" s="36">
      <c r="A89" s="17" t="n">
        <v>86</v>
      </c>
      <c r="B89" s="16" t="n">
        <v>7</v>
      </c>
    </row>
    <row r="90" ht="15.75" customHeight="1" s="36">
      <c r="A90" s="17" t="n">
        <v>87</v>
      </c>
      <c r="B90" s="16" t="n">
        <v>6</v>
      </c>
    </row>
    <row r="91" ht="15.75" customHeight="1" s="36">
      <c r="A91" s="17" t="n">
        <v>88</v>
      </c>
      <c r="B91" s="16" t="n">
        <v>6</v>
      </c>
    </row>
    <row r="92" ht="15.75" customHeight="1" s="36">
      <c r="A92" s="17" t="n">
        <v>89</v>
      </c>
      <c r="B92" s="16" t="n">
        <v>4</v>
      </c>
    </row>
    <row r="93" ht="15.75" customHeight="1" s="36">
      <c r="A93" s="17" t="n">
        <v>90</v>
      </c>
      <c r="B93" s="16" t="n">
        <v>11</v>
      </c>
    </row>
    <row r="94" ht="15.75" customHeight="1" s="36">
      <c r="A94" s="17" t="n">
        <v>91</v>
      </c>
      <c r="B94" s="16" t="n">
        <v>5</v>
      </c>
    </row>
    <row r="95" ht="15.75" customHeight="1" s="36">
      <c r="A95" s="17" t="n">
        <v>92</v>
      </c>
      <c r="B95" s="16" t="n">
        <v>5</v>
      </c>
    </row>
    <row r="96" ht="15.75" customHeight="1" s="36">
      <c r="A96" s="17" t="n">
        <v>93</v>
      </c>
      <c r="B96" s="16" t="n">
        <v>5</v>
      </c>
    </row>
    <row r="97" ht="15.75" customHeight="1" s="36">
      <c r="A97" s="17" t="n">
        <v>94</v>
      </c>
      <c r="B97" s="16" t="n">
        <v>3</v>
      </c>
    </row>
    <row r="98" ht="15.75" customHeight="1" s="36">
      <c r="A98" s="17" t="n">
        <v>95</v>
      </c>
      <c r="B98" s="16" t="n">
        <v>5</v>
      </c>
    </row>
    <row r="99" ht="15.75" customHeight="1" s="36">
      <c r="A99" s="17" t="n">
        <v>96</v>
      </c>
      <c r="B99" s="16" t="n">
        <v>14</v>
      </c>
    </row>
    <row r="100" ht="15.75" customHeight="1" s="36">
      <c r="A100" s="17" t="n">
        <v>97</v>
      </c>
      <c r="B100" s="16" t="n">
        <v>10</v>
      </c>
    </row>
    <row r="101" ht="15.75" customHeight="1" s="36">
      <c r="A101" s="17" t="n">
        <v>98</v>
      </c>
      <c r="B101" s="16" t="n">
        <v>13</v>
      </c>
    </row>
    <row r="102" ht="15.75" customHeight="1" s="36">
      <c r="A102" s="17" t="n">
        <v>99</v>
      </c>
      <c r="B102" s="16" t="n">
        <v>9</v>
      </c>
    </row>
    <row r="103" ht="15.75" customHeight="1" s="36">
      <c r="A103" s="17" t="n">
        <v>100</v>
      </c>
      <c r="B103" s="16" t="n">
        <v>4</v>
      </c>
    </row>
    <row r="104" ht="15.75" customHeight="1" s="36">
      <c r="A104" s="17" t="n">
        <v>101</v>
      </c>
      <c r="B104" s="16" t="n">
        <v>13</v>
      </c>
    </row>
    <row r="105" ht="15.75" customHeight="1" s="36">
      <c r="A105" s="17" t="n">
        <v>102</v>
      </c>
      <c r="B105" s="16" t="n">
        <v>12</v>
      </c>
    </row>
    <row r="106" ht="15.75" customHeight="1" s="36">
      <c r="A106" s="17" t="n">
        <v>103</v>
      </c>
      <c r="B106" s="16" t="n">
        <v>5</v>
      </c>
    </row>
    <row r="107" ht="15.75" customHeight="1" s="36">
      <c r="A107" s="17" t="n">
        <v>104</v>
      </c>
      <c r="B107" s="16" t="n">
        <v>6</v>
      </c>
    </row>
    <row r="108" ht="15.75" customHeight="1" s="36">
      <c r="A108" s="17" t="n">
        <v>105</v>
      </c>
      <c r="B108" s="16" t="n">
        <v>11</v>
      </c>
    </row>
    <row r="109" ht="15.75" customHeight="1" s="36">
      <c r="A109" s="17" t="n">
        <v>106</v>
      </c>
      <c r="B109" s="16" t="n">
        <v>6</v>
      </c>
    </row>
    <row r="110" ht="15.75" customHeight="1" s="36">
      <c r="A110" s="17" t="n">
        <v>107</v>
      </c>
      <c r="B110" s="16" t="n">
        <v>11</v>
      </c>
    </row>
    <row r="111" ht="15.75" customHeight="1" s="36">
      <c r="A111" s="17" t="n">
        <v>108</v>
      </c>
      <c r="B111" s="16" t="n">
        <v>5</v>
      </c>
    </row>
    <row r="112" ht="15.75" customHeight="1" s="36">
      <c r="A112" s="17" t="n">
        <v>109</v>
      </c>
      <c r="B112" s="16" t="n">
        <v>7</v>
      </c>
    </row>
    <row r="113" ht="15.75" customHeight="1" s="36">
      <c r="A113" s="17" t="n">
        <v>110</v>
      </c>
      <c r="B113" s="16" t="n">
        <v>8</v>
      </c>
    </row>
    <row r="114" ht="15.75" customHeight="1" s="36">
      <c r="A114" s="17" t="n">
        <v>111</v>
      </c>
      <c r="B114" s="16" t="n">
        <v>7</v>
      </c>
    </row>
    <row r="115" ht="15.75" customHeight="1" s="36">
      <c r="A115" s="17" t="n">
        <v>112</v>
      </c>
      <c r="B115" s="16" t="n">
        <v>3</v>
      </c>
    </row>
    <row r="116" ht="15.75" customHeight="1" s="36">
      <c r="A116" s="17" t="n">
        <v>113</v>
      </c>
      <c r="B116" s="16" t="n">
        <v>10</v>
      </c>
    </row>
    <row r="117" ht="15.75" customHeight="1" s="36">
      <c r="A117" s="17" t="n">
        <v>114</v>
      </c>
      <c r="B117" s="16" t="n">
        <v>5</v>
      </c>
    </row>
    <row r="118" ht="15.75" customHeight="1" s="36">
      <c r="A118" s="17" t="n">
        <v>115</v>
      </c>
      <c r="B118" s="16" t="n">
        <v>11</v>
      </c>
    </row>
    <row r="119" ht="15.75" customHeight="1" s="36">
      <c r="A119" s="17" t="n">
        <v>116</v>
      </c>
      <c r="B119" s="16" t="n">
        <v>4</v>
      </c>
    </row>
    <row r="120" ht="15.75" customHeight="1" s="36">
      <c r="A120" s="17" t="n">
        <v>117</v>
      </c>
      <c r="B120" s="16" t="n">
        <v>5</v>
      </c>
    </row>
    <row r="121" ht="15.75" customHeight="1" s="36">
      <c r="A121" s="17" t="n">
        <v>118</v>
      </c>
      <c r="B121" s="16" t="n">
        <v>6</v>
      </c>
    </row>
    <row r="122" ht="15.75" customHeight="1" s="36">
      <c r="A122" s="17" t="n">
        <v>119</v>
      </c>
      <c r="B122" s="16" t="n">
        <v>9</v>
      </c>
    </row>
    <row r="123" ht="15.75" customHeight="1" s="36">
      <c r="A123" s="17" t="n">
        <v>120</v>
      </c>
      <c r="B123" s="16" t="n">
        <v>8</v>
      </c>
    </row>
    <row r="124" ht="15.75" customHeight="1" s="36">
      <c r="A124" s="17" t="n"/>
      <c r="B124" s="16" t="n"/>
    </row>
    <row r="125" ht="15.75" customHeight="1" s="36">
      <c r="A125" s="17" t="n"/>
      <c r="B125" s="16" t="n"/>
    </row>
    <row r="126" ht="15.75" customHeight="1" s="36">
      <c r="A126" s="17" t="n"/>
      <c r="B126" s="16" t="n"/>
    </row>
    <row r="127" ht="15.75" customHeight="1" s="36">
      <c r="A127" s="17" t="n"/>
      <c r="B127" s="16" t="n"/>
    </row>
    <row r="128" ht="15.75" customHeight="1" s="36">
      <c r="A128" s="17" t="n"/>
      <c r="B128" s="16" t="n"/>
    </row>
    <row r="129" ht="15.75" customHeight="1" s="36">
      <c r="A129" s="17" t="n"/>
      <c r="B129" s="16" t="n"/>
    </row>
    <row r="130" ht="15.75" customHeight="1" s="36">
      <c r="A130" s="17" t="n"/>
      <c r="B130" s="16" t="n"/>
    </row>
    <row r="131" ht="15.75" customHeight="1" s="36">
      <c r="A131" s="17" t="n"/>
      <c r="B131" s="16" t="n"/>
    </row>
    <row r="132" ht="15.75" customHeight="1" s="36">
      <c r="A132" s="17" t="n"/>
      <c r="B132" s="16" t="n"/>
    </row>
    <row r="133" ht="15.75" customHeight="1" s="36">
      <c r="A133" s="17" t="n"/>
      <c r="B133" s="16" t="n"/>
    </row>
    <row r="134" ht="15.75" customHeight="1" s="36">
      <c r="A134" s="17" t="n"/>
      <c r="B134" s="16" t="n"/>
    </row>
    <row r="135" ht="15.75" customHeight="1" s="36">
      <c r="A135" s="17" t="n"/>
      <c r="B135" s="16" t="n"/>
    </row>
    <row r="136" ht="15.75" customHeight="1" s="36">
      <c r="A136" s="17" t="n"/>
      <c r="B136" s="16" t="n"/>
    </row>
    <row r="137" ht="15.75" customHeight="1" s="36">
      <c r="A137" s="17" t="n"/>
      <c r="B137" s="16" t="n"/>
    </row>
    <row r="138" ht="15.75" customHeight="1" s="36">
      <c r="A138" s="17" t="n"/>
      <c r="B138" s="16" t="n"/>
    </row>
    <row r="139" ht="15.75" customHeight="1" s="36">
      <c r="A139" s="17" t="n"/>
      <c r="B139" s="16" t="n"/>
    </row>
    <row r="140" ht="15.75" customHeight="1" s="36">
      <c r="A140" s="17" t="n"/>
      <c r="B140" s="16" t="n"/>
    </row>
    <row r="141" ht="15.75" customHeight="1" s="36">
      <c r="A141" s="17" t="n"/>
      <c r="B141" s="16" t="n"/>
    </row>
    <row r="142" ht="15.75" customHeight="1" s="36">
      <c r="A142" s="17" t="n"/>
      <c r="B142" s="16" t="n"/>
    </row>
    <row r="143" ht="15.75" customHeight="1" s="36">
      <c r="A143" s="17" t="n"/>
      <c r="B143" s="16" t="n"/>
    </row>
    <row r="144" ht="15.75" customHeight="1" s="36">
      <c r="A144" s="17" t="n"/>
      <c r="B144" s="16" t="n"/>
    </row>
    <row r="145" ht="15.75" customHeight="1" s="36">
      <c r="A145" s="17" t="n"/>
      <c r="B145" s="16" t="n"/>
    </row>
    <row r="146" ht="15.75" customHeight="1" s="36">
      <c r="A146" s="17" t="n"/>
      <c r="B146" s="16" t="n"/>
    </row>
    <row r="147" ht="15.75" customHeight="1" s="36">
      <c r="A147" s="17" t="n"/>
      <c r="B147" s="16" t="n"/>
    </row>
    <row r="148" ht="15.75" customHeight="1" s="36">
      <c r="A148" s="17" t="n"/>
      <c r="B148" s="16" t="n"/>
    </row>
    <row r="149" ht="15.75" customHeight="1" s="36">
      <c r="A149" s="17" t="n"/>
      <c r="B149" s="16" t="n"/>
    </row>
    <row r="150" ht="15.75" customHeight="1" s="36">
      <c r="A150" s="17" t="n"/>
      <c r="B150" s="16" t="n"/>
    </row>
    <row r="151" ht="15.75" customHeight="1" s="36">
      <c r="A151" s="17" t="n"/>
      <c r="B151" s="16" t="n"/>
    </row>
    <row r="152" ht="15.75" customHeight="1" s="36">
      <c r="A152" s="17" t="n"/>
      <c r="B152" s="16" t="n"/>
    </row>
    <row r="153" ht="15.75" customHeight="1" s="36">
      <c r="A153" s="17" t="n"/>
      <c r="B153" s="16" t="n"/>
    </row>
    <row r="154" ht="15.75" customHeight="1" s="36">
      <c r="A154" s="17" t="n"/>
      <c r="B154" s="16" t="n"/>
    </row>
    <row r="155" ht="15.75" customHeight="1" s="36">
      <c r="A155" s="17" t="n"/>
      <c r="B155" s="16" t="n"/>
    </row>
    <row r="156" ht="15.75" customHeight="1" s="36">
      <c r="A156" s="17" t="n"/>
      <c r="B156" s="16" t="n"/>
    </row>
    <row r="157" ht="15.75" customHeight="1" s="36">
      <c r="A157" s="17" t="n"/>
      <c r="B157" s="16" t="n"/>
    </row>
    <row r="158" ht="15.75" customHeight="1" s="36">
      <c r="A158" s="17" t="n"/>
      <c r="B158" s="16" t="n"/>
    </row>
    <row r="159" ht="15.75" customHeight="1" s="36">
      <c r="A159" s="17" t="n"/>
      <c r="B159" s="16" t="n"/>
    </row>
    <row r="160" ht="15.75" customHeight="1" s="36">
      <c r="A160" s="17" t="n"/>
      <c r="B160" s="16" t="n"/>
    </row>
    <row r="161" ht="15.75" customHeight="1" s="36">
      <c r="A161" s="17" t="n"/>
      <c r="B161" s="16" t="n"/>
    </row>
    <row r="162" ht="15.75" customHeight="1" s="36">
      <c r="A162" s="17" t="n"/>
      <c r="B162" s="16" t="n"/>
    </row>
    <row r="163" ht="15.75" customHeight="1" s="36">
      <c r="A163" s="17" t="n"/>
      <c r="B163" s="16" t="n"/>
    </row>
    <row r="164" ht="15.75" customHeight="1" s="36">
      <c r="A164" s="17" t="n"/>
      <c r="B164" s="16" t="n"/>
    </row>
    <row r="165" ht="15.75" customHeight="1" s="36">
      <c r="A165" s="17" t="n"/>
      <c r="B165" s="16" t="n"/>
    </row>
    <row r="166" ht="15.75" customHeight="1" s="36">
      <c r="A166" s="17" t="n"/>
      <c r="B166" s="16" t="n"/>
    </row>
    <row r="167" ht="15.75" customHeight="1" s="36">
      <c r="A167" s="17" t="n"/>
      <c r="B167" s="16" t="n"/>
    </row>
    <row r="168" ht="15.75" customHeight="1" s="36">
      <c r="A168" s="17" t="n"/>
      <c r="B168" s="16" t="n"/>
    </row>
    <row r="169" ht="15.75" customHeight="1" s="36">
      <c r="A169" s="17" t="n"/>
      <c r="B169" s="16" t="n"/>
    </row>
    <row r="170" ht="15.75" customHeight="1" s="36">
      <c r="A170" s="17" t="n"/>
      <c r="B170" s="16" t="n"/>
    </row>
    <row r="171" ht="15.75" customHeight="1" s="36">
      <c r="A171" s="17" t="n"/>
      <c r="B171" s="16" t="n"/>
    </row>
    <row r="172" ht="15.75" customHeight="1" s="36">
      <c r="A172" s="17" t="n"/>
      <c r="B172" s="16" t="n"/>
    </row>
    <row r="173" ht="15.75" customHeight="1" s="36">
      <c r="A173" s="17" t="n"/>
      <c r="B173" s="16" t="n"/>
    </row>
    <row r="174" ht="15.75" customHeight="1" s="36">
      <c r="A174" s="17" t="n"/>
      <c r="B174" s="16" t="n"/>
    </row>
    <row r="175" ht="15.75" customHeight="1" s="36">
      <c r="A175" s="17" t="n"/>
      <c r="B175" s="16" t="n"/>
    </row>
    <row r="176" ht="15.75" customHeight="1" s="36">
      <c r="A176" s="17" t="n"/>
      <c r="B176" s="16" t="n"/>
    </row>
    <row r="177" ht="15.75" customHeight="1" s="36">
      <c r="A177" s="17" t="n"/>
      <c r="B177" s="16" t="n"/>
    </row>
    <row r="178" ht="15.75" customHeight="1" s="36">
      <c r="A178" s="17" t="n"/>
      <c r="B178" s="16" t="n"/>
    </row>
    <row r="179" ht="15.75" customHeight="1" s="36">
      <c r="A179" s="17" t="n"/>
      <c r="B179" s="16" t="n"/>
    </row>
    <row r="180" ht="15.75" customHeight="1" s="36">
      <c r="A180" s="17" t="n"/>
      <c r="B180" s="16" t="n"/>
    </row>
    <row r="181" ht="15.75" customHeight="1" s="36">
      <c r="A181" s="17" t="n"/>
      <c r="B181" s="16" t="n"/>
    </row>
    <row r="182" ht="15.75" customHeight="1" s="36">
      <c r="A182" s="17" t="n"/>
      <c r="B182" s="16" t="n"/>
    </row>
    <row r="183" ht="15.75" customHeight="1" s="36">
      <c r="A183" s="17" t="n"/>
      <c r="B183" s="16" t="n"/>
    </row>
    <row r="184" ht="15.75" customHeight="1" s="36">
      <c r="A184" s="17" t="n"/>
      <c r="B184" s="16" t="n"/>
    </row>
    <row r="185" ht="15.75" customHeight="1" s="36">
      <c r="A185" s="17" t="n"/>
      <c r="B185" s="16" t="n"/>
    </row>
    <row r="186" ht="15.75" customHeight="1" s="36">
      <c r="A186" s="17" t="n"/>
      <c r="B186" s="16" t="n"/>
    </row>
    <row r="187" ht="15.75" customHeight="1" s="36">
      <c r="A187" s="17" t="n"/>
      <c r="B187" s="16" t="n"/>
    </row>
    <row r="188" ht="15.75" customHeight="1" s="36">
      <c r="A188" s="17" t="n"/>
      <c r="B188" s="16" t="n"/>
    </row>
    <row r="189" ht="15.75" customHeight="1" s="36">
      <c r="A189" s="17" t="n"/>
      <c r="B189" s="16" t="n"/>
    </row>
    <row r="190" ht="15.75" customHeight="1" s="36">
      <c r="A190" s="17" t="n"/>
      <c r="B190" s="16" t="n"/>
    </row>
    <row r="191" ht="15.75" customHeight="1" s="36">
      <c r="A191" s="17" t="n"/>
      <c r="B191" s="16" t="n"/>
    </row>
    <row r="192" ht="15.75" customHeight="1" s="36">
      <c r="A192" s="17" t="n"/>
      <c r="B192" s="16" t="n"/>
    </row>
    <row r="193" ht="15.75" customHeight="1" s="36">
      <c r="A193" s="17" t="n"/>
      <c r="B193" s="16" t="n"/>
    </row>
    <row r="194" ht="15.75" customHeight="1" s="36">
      <c r="A194" s="17" t="n"/>
      <c r="B194" s="16" t="n"/>
    </row>
    <row r="195" ht="15.75" customHeight="1" s="36">
      <c r="A195" s="17" t="n"/>
      <c r="B195" s="16" t="n"/>
    </row>
    <row r="196" ht="15.75" customHeight="1" s="36">
      <c r="A196" s="17" t="n"/>
      <c r="B196" s="16" t="n"/>
    </row>
    <row r="197" ht="15.75" customHeight="1" s="36">
      <c r="A197" s="17" t="n"/>
      <c r="B197" s="16" t="n"/>
    </row>
    <row r="198" ht="15.75" customHeight="1" s="36">
      <c r="A198" s="17" t="n"/>
      <c r="B198" s="16" t="n"/>
    </row>
    <row r="199" ht="15.75" customHeight="1" s="36">
      <c r="A199" s="17" t="n"/>
      <c r="B199" s="16" t="n"/>
    </row>
    <row r="200" ht="15.75" customHeight="1" s="36">
      <c r="A200" s="17" t="n"/>
      <c r="B200" s="16" t="n"/>
    </row>
    <row r="201" ht="15.75" customHeight="1" s="36">
      <c r="A201" s="17" t="n"/>
      <c r="B201" s="16" t="n"/>
    </row>
    <row r="202" ht="15.75" customHeight="1" s="36">
      <c r="A202" s="17" t="n"/>
      <c r="B202" s="16" t="n"/>
    </row>
    <row r="203" ht="15.75" customHeight="1" s="36">
      <c r="A203" s="17" t="n"/>
      <c r="B203" s="16" t="n"/>
    </row>
    <row r="204" ht="15.75" customHeight="1" s="36">
      <c r="A204" s="17" t="n"/>
      <c r="B204" s="16" t="n"/>
    </row>
    <row r="205" ht="15.75" customHeight="1" s="36">
      <c r="A205" s="17" t="n"/>
      <c r="B205" s="16" t="n"/>
    </row>
    <row r="206" ht="15.75" customHeight="1" s="36">
      <c r="A206" s="17" t="n"/>
      <c r="B206" s="16" t="n"/>
    </row>
    <row r="207" ht="15.75" customHeight="1" s="36">
      <c r="A207" s="17" t="n"/>
      <c r="B207" s="16" t="n"/>
    </row>
    <row r="208" ht="15.75" customHeight="1" s="36">
      <c r="A208" s="17" t="n"/>
      <c r="B208" s="16" t="n"/>
    </row>
    <row r="209" ht="15.75" customHeight="1" s="36">
      <c r="A209" s="17" t="n"/>
      <c r="B209" s="16" t="n"/>
    </row>
    <row r="210" ht="15.75" customHeight="1" s="36">
      <c r="A210" s="17" t="n"/>
      <c r="B210" s="16" t="n"/>
    </row>
    <row r="211" ht="15.75" customHeight="1" s="36">
      <c r="A211" s="17" t="n"/>
      <c r="B211" s="16" t="n"/>
    </row>
    <row r="212" ht="15.75" customHeight="1" s="36">
      <c r="A212" s="17" t="n"/>
      <c r="B212" s="16" t="n"/>
    </row>
    <row r="213" ht="15.75" customHeight="1" s="36">
      <c r="A213" s="17" t="n"/>
      <c r="B213" s="16" t="n"/>
    </row>
    <row r="214" ht="15.75" customHeight="1" s="36">
      <c r="A214" s="17" t="n"/>
      <c r="B214" s="16" t="n"/>
    </row>
    <row r="215" ht="15.75" customHeight="1" s="36">
      <c r="A215" s="17" t="n"/>
      <c r="B215" s="16" t="n"/>
    </row>
    <row r="216" ht="15.75" customHeight="1" s="36">
      <c r="A216" s="17" t="n"/>
      <c r="B216" s="16" t="n"/>
    </row>
    <row r="217" ht="15.75" customHeight="1" s="36">
      <c r="A217" s="17" t="n"/>
      <c r="B217" s="16" t="n"/>
    </row>
    <row r="218" ht="15.75" customHeight="1" s="36">
      <c r="A218" s="17" t="n"/>
      <c r="B218" s="16" t="n"/>
    </row>
    <row r="219" ht="15.75" customHeight="1" s="36">
      <c r="A219" s="17" t="n"/>
      <c r="B219" s="16" t="n"/>
    </row>
    <row r="220" ht="15.75" customHeight="1" s="36">
      <c r="A220" s="17" t="n"/>
      <c r="B220" s="16" t="n"/>
    </row>
    <row r="221" ht="15.75" customHeight="1" s="36">
      <c r="A221" s="17" t="n"/>
      <c r="B221" s="16" t="n"/>
    </row>
    <row r="222" ht="15.75" customHeight="1" s="36">
      <c r="A222" s="17" t="n"/>
      <c r="B222" s="16" t="n"/>
    </row>
    <row r="223" ht="15.75" customHeight="1" s="36">
      <c r="A223" s="17" t="n"/>
      <c r="B223" s="16" t="n"/>
    </row>
    <row r="224" ht="15.75" customHeight="1" s="36">
      <c r="A224" s="17" t="n"/>
      <c r="B224" s="16" t="n"/>
    </row>
    <row r="225" ht="15.75" customHeight="1" s="36">
      <c r="A225" s="17" t="n"/>
      <c r="B225" s="16" t="n"/>
    </row>
    <row r="226" ht="15.75" customHeight="1" s="36">
      <c r="A226" s="17" t="n"/>
      <c r="B226" s="16" t="n"/>
    </row>
    <row r="227" ht="15.75" customHeight="1" s="36">
      <c r="A227" s="17" t="n"/>
      <c r="B227" s="16" t="n"/>
    </row>
    <row r="228" ht="15.75" customHeight="1" s="36">
      <c r="A228" s="17" t="n"/>
      <c r="B228" s="16" t="n"/>
    </row>
    <row r="229" ht="15.75" customHeight="1" s="36">
      <c r="A229" s="17" t="n"/>
      <c r="B229" s="16" t="n"/>
    </row>
    <row r="230" ht="15.75" customHeight="1" s="36">
      <c r="A230" s="17" t="n"/>
      <c r="B230" s="16" t="n"/>
    </row>
    <row r="231" ht="15.75" customHeight="1" s="36">
      <c r="A231" s="17" t="n"/>
      <c r="B231" s="16" t="n"/>
    </row>
    <row r="232" ht="15.75" customHeight="1" s="36">
      <c r="A232" s="17" t="n"/>
      <c r="B232" s="16" t="n"/>
    </row>
    <row r="233" ht="15.75" customHeight="1" s="36">
      <c r="A233" s="17" t="n"/>
      <c r="B233" s="16" t="n"/>
    </row>
    <row r="234" ht="15.75" customHeight="1" s="36">
      <c r="A234" s="17" t="n"/>
      <c r="B234" s="16" t="n"/>
    </row>
    <row r="235" ht="15.75" customHeight="1" s="36">
      <c r="A235" s="17" t="n"/>
      <c r="B235" s="16" t="n"/>
    </row>
    <row r="236" ht="15.75" customHeight="1" s="36">
      <c r="A236" s="17" t="n"/>
      <c r="B236" s="16" t="n"/>
    </row>
    <row r="237" ht="15.75" customHeight="1" s="36">
      <c r="A237" s="17" t="n"/>
      <c r="B237" s="16" t="n"/>
    </row>
    <row r="238" ht="15.75" customHeight="1" s="36">
      <c r="A238" s="17" t="n"/>
      <c r="B238" s="16" t="n"/>
    </row>
    <row r="239" ht="15.75" customHeight="1" s="36">
      <c r="A239" s="17" t="n"/>
      <c r="B239" s="16" t="n"/>
    </row>
    <row r="240" ht="15.75" customHeight="1" s="36">
      <c r="A240" s="17" t="n"/>
      <c r="B240" s="16" t="n"/>
    </row>
    <row r="241" ht="15.75" customHeight="1" s="36">
      <c r="A241" s="17" t="n"/>
      <c r="B241" s="16" t="n"/>
    </row>
    <row r="242" ht="15.75" customHeight="1" s="36">
      <c r="A242" s="17" t="n"/>
      <c r="B242" s="16" t="n"/>
    </row>
    <row r="243" ht="15.75" customHeight="1" s="36">
      <c r="A243" s="17" t="n"/>
      <c r="B243" s="16" t="n"/>
    </row>
    <row r="244" ht="15.75" customHeight="1" s="36">
      <c r="A244" s="17" t="n"/>
      <c r="B244" s="16" t="n"/>
    </row>
    <row r="245" ht="15.75" customHeight="1" s="36">
      <c r="A245" s="17" t="n"/>
      <c r="B245" s="16" t="n"/>
    </row>
    <row r="246" ht="15.75" customHeight="1" s="36">
      <c r="A246" s="17" t="n"/>
      <c r="B246" s="16" t="n"/>
    </row>
    <row r="247" ht="15.75" customHeight="1" s="36">
      <c r="A247" s="17" t="n"/>
      <c r="B247" s="16" t="n"/>
    </row>
    <row r="248" ht="15.75" customHeight="1" s="36">
      <c r="A248" s="17" t="n"/>
      <c r="B248" s="16" t="n"/>
    </row>
    <row r="249" ht="15.75" customHeight="1" s="36">
      <c r="A249" s="17" t="n"/>
      <c r="B249" s="16" t="n"/>
    </row>
    <row r="250" ht="15.75" customHeight="1" s="36">
      <c r="A250" s="17" t="n"/>
      <c r="B250" s="16" t="n"/>
    </row>
    <row r="251" ht="15.75" customHeight="1" s="36">
      <c r="A251" s="17" t="n"/>
      <c r="B251" s="16" t="n"/>
    </row>
    <row r="252" ht="15.75" customHeight="1" s="36">
      <c r="A252" s="17" t="n"/>
      <c r="B252" s="16" t="n"/>
    </row>
    <row r="253" ht="15.75" customHeight="1" s="36">
      <c r="A253" s="17" t="n"/>
      <c r="B253" s="16" t="n"/>
    </row>
    <row r="254" ht="15.75" customHeight="1" s="36">
      <c r="A254" s="17" t="n"/>
      <c r="B254" s="16" t="n"/>
    </row>
    <row r="255" ht="15.75" customHeight="1" s="36">
      <c r="A255" s="17" t="n"/>
      <c r="B255" s="16" t="n"/>
    </row>
    <row r="256" ht="15.75" customHeight="1" s="36">
      <c r="A256" s="17" t="n"/>
      <c r="B256" s="16" t="n"/>
    </row>
    <row r="257" ht="15.75" customHeight="1" s="36">
      <c r="A257" s="17" t="n"/>
      <c r="B257" s="16" t="n"/>
    </row>
    <row r="258" ht="15.75" customHeight="1" s="36">
      <c r="A258" s="17" t="n"/>
      <c r="B258" s="16" t="n"/>
    </row>
    <row r="259" ht="15.75" customHeight="1" s="36">
      <c r="A259" s="17" t="n"/>
      <c r="B259" s="16" t="n"/>
    </row>
    <row r="260" ht="15.75" customHeight="1" s="36">
      <c r="A260" s="17" t="n"/>
      <c r="B260" s="16" t="n"/>
    </row>
    <row r="261" ht="15.75" customHeight="1" s="36">
      <c r="A261" s="17" t="n"/>
      <c r="B261" s="16" t="n"/>
    </row>
    <row r="262" ht="15.75" customHeight="1" s="36">
      <c r="A262" s="17" t="n"/>
      <c r="B262" s="16" t="n"/>
    </row>
    <row r="263" ht="15.75" customHeight="1" s="36">
      <c r="A263" s="17" t="n"/>
      <c r="B263" s="16" t="n"/>
    </row>
    <row r="264" ht="15.75" customHeight="1" s="36">
      <c r="A264" s="17" t="n"/>
      <c r="B264" s="16" t="n"/>
    </row>
    <row r="265" ht="15.75" customHeight="1" s="36">
      <c r="A265" s="17" t="n"/>
      <c r="B265" s="16" t="n"/>
    </row>
    <row r="266" ht="15.75" customHeight="1" s="36">
      <c r="A266" s="17" t="n"/>
      <c r="B266" s="16" t="n"/>
    </row>
    <row r="267" ht="15.75" customHeight="1" s="36">
      <c r="A267" s="17" t="n"/>
      <c r="B267" s="16" t="n"/>
    </row>
    <row r="268" ht="15.75" customHeight="1" s="36">
      <c r="A268" s="17" t="n"/>
      <c r="B268" s="16" t="n"/>
    </row>
    <row r="269" ht="15.75" customHeight="1" s="36">
      <c r="A269" s="17" t="n"/>
      <c r="B269" s="16" t="n"/>
    </row>
    <row r="270" ht="15.75" customHeight="1" s="36">
      <c r="A270" s="17" t="n"/>
      <c r="B270" s="16" t="n"/>
    </row>
    <row r="271" ht="15.75" customHeight="1" s="36">
      <c r="A271" s="17" t="n"/>
      <c r="B271" s="16" t="n"/>
    </row>
    <row r="272" ht="15.75" customHeight="1" s="36">
      <c r="A272" s="17" t="n"/>
      <c r="B272" s="16" t="n"/>
    </row>
    <row r="273" ht="15.75" customHeight="1" s="36">
      <c r="A273" s="17" t="n"/>
      <c r="B273" s="16" t="n"/>
    </row>
    <row r="274" ht="15.75" customHeight="1" s="36">
      <c r="A274" s="17" t="n"/>
      <c r="B274" s="16" t="n"/>
    </row>
    <row r="275" ht="15.75" customHeight="1" s="36">
      <c r="A275" s="17" t="n"/>
      <c r="B275" s="16" t="n"/>
    </row>
    <row r="276" ht="15.75" customHeight="1" s="36">
      <c r="A276" s="17" t="n"/>
      <c r="B276" s="16" t="n"/>
    </row>
    <row r="277" ht="15.75" customHeight="1" s="36">
      <c r="A277" s="17" t="n"/>
      <c r="B277" s="16" t="n"/>
    </row>
    <row r="278" ht="15.75" customHeight="1" s="36">
      <c r="A278" s="17" t="n"/>
      <c r="B278" s="16" t="n"/>
    </row>
    <row r="279" ht="15.75" customHeight="1" s="36">
      <c r="A279" s="17" t="n"/>
      <c r="B279" s="16" t="n"/>
    </row>
    <row r="280" ht="15.75" customHeight="1" s="36">
      <c r="A280" s="17" t="n"/>
      <c r="B280" s="16" t="n"/>
    </row>
    <row r="281" ht="15.75" customHeight="1" s="36">
      <c r="A281" s="17" t="n"/>
      <c r="B281" s="16" t="n"/>
    </row>
    <row r="282" ht="15.75" customHeight="1" s="36">
      <c r="A282" s="17" t="n"/>
      <c r="B282" s="16" t="n"/>
    </row>
    <row r="283" ht="15.75" customHeight="1" s="36">
      <c r="A283" s="17" t="n"/>
      <c r="B283" s="16" t="n"/>
    </row>
    <row r="284" ht="15.75" customHeight="1" s="36">
      <c r="A284" s="17" t="n"/>
      <c r="B284" s="16" t="n"/>
    </row>
    <row r="285" ht="15.75" customHeight="1" s="36">
      <c r="A285" s="17" t="n"/>
      <c r="B285" s="16" t="n"/>
    </row>
    <row r="286" ht="15.75" customHeight="1" s="36">
      <c r="A286" s="17" t="n"/>
      <c r="B286" s="16" t="n"/>
    </row>
    <row r="287" ht="15.75" customHeight="1" s="36">
      <c r="A287" s="17" t="n"/>
      <c r="B287" s="16" t="n"/>
    </row>
    <row r="288" ht="15.75" customHeight="1" s="36">
      <c r="A288" s="17" t="n"/>
      <c r="B288" s="16" t="n"/>
    </row>
    <row r="289" ht="15.75" customHeight="1" s="36">
      <c r="A289" s="17" t="n"/>
      <c r="B289" s="16" t="n"/>
    </row>
    <row r="290" ht="15.75" customHeight="1" s="36">
      <c r="A290" s="17" t="n"/>
      <c r="B290" s="16" t="n"/>
    </row>
    <row r="291" ht="15.75" customHeight="1" s="36">
      <c r="A291" s="17" t="n"/>
      <c r="B291" s="16" t="n"/>
    </row>
    <row r="292" ht="15.75" customHeight="1" s="36">
      <c r="A292" s="17" t="n"/>
      <c r="B292" s="16" t="n"/>
    </row>
    <row r="293" ht="15.75" customHeight="1" s="36">
      <c r="A293" s="17" t="n"/>
      <c r="B293" s="16" t="n"/>
    </row>
    <row r="294" ht="15.75" customHeight="1" s="36">
      <c r="A294" s="17" t="n"/>
      <c r="B294" s="16" t="n"/>
    </row>
    <row r="295" ht="15.75" customHeight="1" s="36">
      <c r="A295" s="17" t="n"/>
      <c r="B295" s="16" t="n"/>
    </row>
    <row r="296" ht="15.75" customHeight="1" s="36">
      <c r="A296" s="17" t="n"/>
      <c r="B296" s="16" t="n"/>
    </row>
    <row r="297" ht="15.75" customHeight="1" s="36">
      <c r="A297" s="17" t="n"/>
      <c r="B297" s="16" t="n"/>
    </row>
    <row r="298" ht="15.75" customHeight="1" s="36">
      <c r="A298" s="17" t="n"/>
      <c r="B298" s="16" t="n"/>
    </row>
    <row r="299" ht="15.75" customHeight="1" s="36">
      <c r="A299" s="17" t="n"/>
      <c r="B299" s="16" t="n"/>
    </row>
    <row r="300" ht="15.75" customHeight="1" s="36">
      <c r="A300" s="17" t="n"/>
      <c r="B300" s="16" t="n"/>
    </row>
    <row r="301" ht="15.75" customHeight="1" s="36">
      <c r="A301" s="17" t="n"/>
      <c r="B301" s="16" t="n"/>
    </row>
    <row r="302" ht="15.75" customHeight="1" s="36">
      <c r="A302" s="17" t="n"/>
      <c r="B302" s="16" t="n"/>
    </row>
    <row r="303" ht="15.75" customHeight="1" s="36">
      <c r="A303" s="17" t="n"/>
      <c r="B303" s="16" t="n"/>
    </row>
    <row r="304" ht="15.75" customHeight="1" s="36"/>
    <row r="305" ht="15.75" customHeight="1" s="36"/>
    <row r="306" ht="15.75" customHeight="1" s="36"/>
    <row r="307" ht="15.75" customHeight="1" s="36"/>
    <row r="308" ht="15.75" customHeight="1" s="36"/>
    <row r="309" ht="15.75" customHeight="1" s="36"/>
    <row r="310" ht="15.75" customHeight="1" s="36"/>
    <row r="311" ht="15.75" customHeight="1" s="36"/>
    <row r="312" ht="15.75" customHeight="1" s="36"/>
    <row r="313" ht="15.75" customHeight="1" s="36"/>
    <row r="314" ht="15.75" customHeight="1" s="36"/>
    <row r="315" ht="15.75" customHeight="1" s="36"/>
    <row r="316" ht="15.75" customHeight="1" s="36"/>
    <row r="317" ht="15.75" customHeight="1" s="36"/>
    <row r="318" ht="15.75" customHeight="1" s="36"/>
    <row r="319" ht="15.75" customHeight="1" s="36"/>
    <row r="320" ht="15.75" customHeight="1" s="36"/>
    <row r="321" ht="15.75" customHeight="1" s="36"/>
    <row r="322" ht="15.75" customHeight="1" s="36"/>
    <row r="323" ht="15.75" customHeight="1" s="36"/>
    <row r="324" ht="15.75" customHeight="1" s="36"/>
    <row r="325" ht="15.75" customHeight="1" s="36"/>
    <row r="326" ht="15.75" customHeight="1" s="36"/>
    <row r="327" ht="15.75" customHeight="1" s="36"/>
    <row r="328" ht="15.75" customHeight="1" s="36"/>
    <row r="329" ht="15.75" customHeight="1" s="36"/>
    <row r="330" ht="15.75" customHeight="1" s="36"/>
    <row r="331" ht="15.75" customHeight="1" s="36"/>
    <row r="332" ht="15.75" customHeight="1" s="36"/>
    <row r="333" ht="15.75" customHeight="1" s="36"/>
    <row r="334" ht="15.75" customHeight="1" s="36"/>
    <row r="335" ht="15.75" customHeight="1" s="36"/>
    <row r="336" ht="15.75" customHeight="1" s="36"/>
    <row r="337" ht="15.75" customHeight="1" s="36"/>
    <row r="338" ht="15.75" customHeight="1" s="36"/>
    <row r="339" ht="15.75" customHeight="1" s="36"/>
    <row r="340" ht="15.75" customHeight="1" s="36"/>
    <row r="341" ht="15.75" customHeight="1" s="36"/>
    <row r="342" ht="15.75" customHeight="1" s="36"/>
    <row r="343" ht="15.75" customHeight="1" s="36"/>
    <row r="344" ht="15.75" customHeight="1" s="36"/>
    <row r="345" ht="15.75" customHeight="1" s="36"/>
    <row r="346" ht="15.75" customHeight="1" s="36"/>
    <row r="347" ht="15.75" customHeight="1" s="36"/>
    <row r="348" ht="15.75" customHeight="1" s="36"/>
    <row r="349" ht="15.75" customHeight="1" s="36"/>
    <row r="350" ht="15.75" customHeight="1" s="36"/>
    <row r="351" ht="15.75" customHeight="1" s="36"/>
    <row r="352" ht="15.75" customHeight="1" s="36"/>
    <row r="353" ht="15.75" customHeight="1" s="36"/>
    <row r="354" ht="15.75" customHeight="1" s="36"/>
    <row r="355" ht="15.75" customHeight="1" s="36"/>
    <row r="356" ht="15.75" customHeight="1" s="36"/>
    <row r="357" ht="15.75" customHeight="1" s="36"/>
    <row r="358" ht="15.75" customHeight="1" s="36"/>
    <row r="359" ht="15.75" customHeight="1" s="36"/>
    <row r="360" ht="15.75" customHeight="1" s="36"/>
    <row r="361" ht="15.75" customHeight="1" s="36"/>
    <row r="362" ht="15.75" customHeight="1" s="36"/>
    <row r="363" ht="15.75" customHeight="1" s="36"/>
    <row r="364" ht="15.75" customHeight="1" s="36"/>
    <row r="365" ht="15.75" customHeight="1" s="36"/>
    <row r="366" ht="15.75" customHeight="1" s="36"/>
    <row r="367" ht="15.75" customHeight="1" s="36"/>
    <row r="368" ht="15.75" customHeight="1" s="36"/>
    <row r="369" ht="15.75" customHeight="1" s="36"/>
    <row r="370" ht="15.75" customHeight="1" s="36"/>
    <row r="371" ht="15.75" customHeight="1" s="36"/>
    <row r="372" ht="15.75" customHeight="1" s="36"/>
    <row r="373" ht="15.75" customHeight="1" s="36"/>
    <row r="374" ht="15.75" customHeight="1" s="36"/>
    <row r="375" ht="15.75" customHeight="1" s="36"/>
    <row r="376" ht="15.75" customHeight="1" s="36"/>
    <row r="377" ht="15.75" customHeight="1" s="36"/>
    <row r="378" ht="15.75" customHeight="1" s="36"/>
    <row r="379" ht="15.75" customHeight="1" s="36"/>
    <row r="380" ht="15.75" customHeight="1" s="36"/>
    <row r="381" ht="15.75" customHeight="1" s="36"/>
    <row r="382" ht="15.75" customHeight="1" s="36"/>
    <row r="383" ht="15.75" customHeight="1" s="36"/>
    <row r="384" ht="15.75" customHeight="1" s="36"/>
    <row r="385" ht="15.75" customHeight="1" s="36"/>
    <row r="386" ht="15.75" customHeight="1" s="36"/>
    <row r="387" ht="15.75" customHeight="1" s="36"/>
    <row r="388" ht="15.75" customHeight="1" s="36"/>
    <row r="389" ht="15.75" customHeight="1" s="36"/>
    <row r="390" ht="15.75" customHeight="1" s="36"/>
    <row r="391" ht="15.75" customHeight="1" s="36"/>
    <row r="392" ht="15.75" customHeight="1" s="36"/>
    <row r="393" ht="15.75" customHeight="1" s="36"/>
    <row r="394" ht="15.75" customHeight="1" s="36"/>
    <row r="395" ht="15.75" customHeight="1" s="36"/>
    <row r="396" ht="15.75" customHeight="1" s="36"/>
    <row r="397" ht="15.75" customHeight="1" s="36"/>
    <row r="398" ht="15.75" customHeight="1" s="36"/>
    <row r="399" ht="15.75" customHeight="1" s="36"/>
    <row r="400" ht="15.75" customHeight="1" s="36"/>
    <row r="401" ht="15.75" customHeight="1" s="36"/>
    <row r="402" ht="15.75" customHeight="1" s="36"/>
    <row r="403" ht="15.75" customHeight="1" s="36"/>
    <row r="404" ht="15.75" customHeight="1" s="36"/>
    <row r="405" ht="15.75" customHeight="1" s="36"/>
    <row r="406" ht="15.75" customHeight="1" s="36"/>
    <row r="407" ht="15.75" customHeight="1" s="36"/>
    <row r="408" ht="15.75" customHeight="1" s="36"/>
    <row r="409" ht="15.75" customHeight="1" s="36"/>
    <row r="410" ht="15.75" customHeight="1" s="36"/>
    <row r="411" ht="15.75" customHeight="1" s="36"/>
    <row r="412" ht="15.75" customHeight="1" s="36"/>
    <row r="413" ht="15.75" customHeight="1" s="36"/>
    <row r="414" ht="15.75" customHeight="1" s="36"/>
    <row r="415" ht="15.75" customHeight="1" s="36"/>
    <row r="416" ht="15.75" customHeight="1" s="36"/>
    <row r="417" ht="15.75" customHeight="1" s="36"/>
    <row r="418" ht="15.75" customHeight="1" s="36"/>
    <row r="419" ht="15.75" customHeight="1" s="36"/>
    <row r="420" ht="15.75" customHeight="1" s="36"/>
    <row r="421" ht="15.75" customHeight="1" s="36"/>
    <row r="422" ht="15.75" customHeight="1" s="36"/>
    <row r="423" ht="15.75" customHeight="1" s="36"/>
    <row r="424" ht="15.75" customHeight="1" s="36"/>
    <row r="425" ht="15.75" customHeight="1" s="36"/>
    <row r="426" ht="15.75" customHeight="1" s="36"/>
    <row r="427" ht="15.75" customHeight="1" s="36"/>
    <row r="428" ht="15.75" customHeight="1" s="36"/>
    <row r="429" ht="15.75" customHeight="1" s="36"/>
    <row r="430" ht="15.75" customHeight="1" s="36"/>
    <row r="431" ht="15.75" customHeight="1" s="36"/>
    <row r="432" ht="15.75" customHeight="1" s="36"/>
    <row r="433" ht="15.75" customHeight="1" s="36"/>
    <row r="434" ht="15.75" customHeight="1" s="36"/>
    <row r="435" ht="15.75" customHeight="1" s="36"/>
    <row r="436" ht="15.75" customHeight="1" s="36"/>
    <row r="437" ht="15.75" customHeight="1" s="36"/>
    <row r="438" ht="15.75" customHeight="1" s="36"/>
    <row r="439" ht="15.75" customHeight="1" s="36"/>
    <row r="440" ht="15.75" customHeight="1" s="36"/>
    <row r="441" ht="15.75" customHeight="1" s="36"/>
    <row r="442" ht="15.75" customHeight="1" s="36"/>
    <row r="443" ht="15.75" customHeight="1" s="36"/>
    <row r="444" ht="15.75" customHeight="1" s="36"/>
    <row r="445" ht="15.75" customHeight="1" s="36"/>
    <row r="446" ht="15.75" customHeight="1" s="36"/>
    <row r="447" ht="15.75" customHeight="1" s="36"/>
    <row r="448" ht="15.75" customHeight="1" s="36"/>
    <row r="449" ht="15.75" customHeight="1" s="36"/>
    <row r="450" ht="15.75" customHeight="1" s="36"/>
    <row r="451" ht="15.75" customHeight="1" s="36"/>
    <row r="452" ht="15.75" customHeight="1" s="36"/>
    <row r="453" ht="15.75" customHeight="1" s="36"/>
    <row r="454" ht="15.75" customHeight="1" s="36"/>
    <row r="455" ht="15.75" customHeight="1" s="36"/>
    <row r="456" ht="15.75" customHeight="1" s="36"/>
    <row r="457" ht="15.75" customHeight="1" s="36"/>
    <row r="458" ht="15.75" customHeight="1" s="36"/>
    <row r="459" ht="15.75" customHeight="1" s="36"/>
    <row r="460" ht="15.75" customHeight="1" s="36"/>
    <row r="461" ht="15.75" customHeight="1" s="36"/>
    <row r="462" ht="15.75" customHeight="1" s="36"/>
    <row r="463" ht="15.75" customHeight="1" s="36"/>
    <row r="464" ht="15.75" customHeight="1" s="36"/>
    <row r="465" ht="15.75" customHeight="1" s="36"/>
    <row r="466" ht="15.75" customHeight="1" s="36"/>
    <row r="467" ht="15.75" customHeight="1" s="36"/>
    <row r="468" ht="15.75" customHeight="1" s="36"/>
    <row r="469" ht="15.75" customHeight="1" s="36"/>
    <row r="470" ht="15.75" customHeight="1" s="36"/>
    <row r="471" ht="15.75" customHeight="1" s="36"/>
    <row r="472" ht="15.75" customHeight="1" s="36"/>
    <row r="473" ht="15.75" customHeight="1" s="36"/>
    <row r="474" ht="15.75" customHeight="1" s="36"/>
    <row r="475" ht="15.75" customHeight="1" s="36"/>
    <row r="476" ht="15.75" customHeight="1" s="36"/>
    <row r="477" ht="15.75" customHeight="1" s="36"/>
    <row r="478" ht="15.75" customHeight="1" s="36"/>
    <row r="479" ht="15.75" customHeight="1" s="36"/>
    <row r="480" ht="15.75" customHeight="1" s="36"/>
    <row r="481" ht="15.75" customHeight="1" s="36"/>
    <row r="482" ht="15.75" customHeight="1" s="36"/>
    <row r="483" ht="15.75" customHeight="1" s="36"/>
    <row r="484" ht="15.75" customHeight="1" s="36"/>
    <row r="485" ht="15.75" customHeight="1" s="36"/>
    <row r="486" ht="15.75" customHeight="1" s="36"/>
    <row r="487" ht="15.75" customHeight="1" s="36"/>
    <row r="488" ht="15.75" customHeight="1" s="36"/>
    <row r="489" ht="15.75" customHeight="1" s="36"/>
    <row r="490" ht="15.75" customHeight="1" s="36"/>
    <row r="491" ht="15.75" customHeight="1" s="36"/>
    <row r="492" ht="15.75" customHeight="1" s="36"/>
    <row r="493" ht="15.75" customHeight="1" s="36"/>
    <row r="494" ht="15.75" customHeight="1" s="36"/>
    <row r="495" ht="15.75" customHeight="1" s="36"/>
    <row r="496" ht="15.75" customHeight="1" s="36"/>
    <row r="497" ht="15.75" customHeight="1" s="36"/>
    <row r="498" ht="15.75" customHeight="1" s="36"/>
    <row r="499" ht="15.75" customHeight="1" s="36"/>
    <row r="500" ht="15.75" customHeight="1" s="36"/>
    <row r="501" ht="15.75" customHeight="1" s="36"/>
    <row r="502" ht="15.75" customHeight="1" s="36"/>
    <row r="503" ht="15.75" customHeight="1" s="36"/>
    <row r="504" ht="15.75" customHeight="1" s="36"/>
    <row r="505" ht="15.75" customHeight="1" s="36"/>
    <row r="506" ht="15.75" customHeight="1" s="36"/>
    <row r="507" ht="15.75" customHeight="1" s="36"/>
    <row r="508" ht="15.75" customHeight="1" s="36"/>
    <row r="509" ht="15.75" customHeight="1" s="36"/>
    <row r="510" ht="15.75" customHeight="1" s="36"/>
    <row r="511" ht="15.75" customHeight="1" s="36"/>
    <row r="512" ht="15.75" customHeight="1" s="36"/>
    <row r="513" ht="15.75" customHeight="1" s="36"/>
    <row r="514" ht="15.75" customHeight="1" s="36"/>
    <row r="515" ht="15.75" customHeight="1" s="36"/>
    <row r="516" ht="15.75" customHeight="1" s="36"/>
    <row r="517" ht="15.75" customHeight="1" s="36"/>
    <row r="518" ht="15.75" customHeight="1" s="36"/>
    <row r="519" ht="15.75" customHeight="1" s="36"/>
    <row r="520" ht="15.75" customHeight="1" s="36"/>
    <row r="521" ht="15.75" customHeight="1" s="36"/>
    <row r="522" ht="15.75" customHeight="1" s="36"/>
    <row r="523" ht="15.75" customHeight="1" s="36"/>
    <row r="524" ht="15.75" customHeight="1" s="36"/>
    <row r="525" ht="15.75" customHeight="1" s="36"/>
    <row r="526" ht="15.75" customHeight="1" s="36"/>
    <row r="527" ht="15.75" customHeight="1" s="36"/>
    <row r="528" ht="15.75" customHeight="1" s="36"/>
    <row r="529" ht="15.75" customHeight="1" s="36"/>
    <row r="530" ht="15.75" customHeight="1" s="36"/>
    <row r="531" ht="15.75" customHeight="1" s="36"/>
    <row r="532" ht="15.75" customHeight="1" s="36"/>
    <row r="533" ht="15.75" customHeight="1" s="36"/>
    <row r="534" ht="15.75" customHeight="1" s="36"/>
    <row r="535" ht="15.75" customHeight="1" s="36"/>
    <row r="536" ht="15.75" customHeight="1" s="36"/>
    <row r="537" ht="15.75" customHeight="1" s="36"/>
    <row r="538" ht="15.75" customHeight="1" s="36"/>
    <row r="539" ht="15.75" customHeight="1" s="36"/>
    <row r="540" ht="15.75" customHeight="1" s="36"/>
    <row r="541" ht="15.75" customHeight="1" s="36"/>
    <row r="542" ht="15.75" customHeight="1" s="36"/>
    <row r="543" ht="15.75" customHeight="1" s="36"/>
    <row r="544" ht="15.75" customHeight="1" s="36"/>
    <row r="545" ht="15.75" customHeight="1" s="36"/>
    <row r="546" ht="15.75" customHeight="1" s="36"/>
    <row r="547" ht="15.75" customHeight="1" s="36"/>
    <row r="548" ht="15.75" customHeight="1" s="36"/>
    <row r="549" ht="15.75" customHeight="1" s="36"/>
    <row r="550" ht="15.75" customHeight="1" s="36"/>
    <row r="551" ht="15.75" customHeight="1" s="36"/>
    <row r="552" ht="15.75" customHeight="1" s="36"/>
    <row r="553" ht="15.75" customHeight="1" s="36"/>
    <row r="554" ht="15.75" customHeight="1" s="36"/>
    <row r="555" ht="15.75" customHeight="1" s="36"/>
    <row r="556" ht="15.75" customHeight="1" s="36"/>
    <row r="557" ht="15.75" customHeight="1" s="36"/>
    <row r="558" ht="15.75" customHeight="1" s="36"/>
    <row r="559" ht="15.75" customHeight="1" s="36"/>
    <row r="560" ht="15.75" customHeight="1" s="36"/>
    <row r="561" ht="15.75" customHeight="1" s="36"/>
    <row r="562" ht="15.75" customHeight="1" s="36"/>
    <row r="563" ht="15.75" customHeight="1" s="36"/>
    <row r="564" ht="15.75" customHeight="1" s="36"/>
    <row r="565" ht="15.75" customHeight="1" s="36"/>
    <row r="566" ht="15.75" customHeight="1" s="36"/>
    <row r="567" ht="15.75" customHeight="1" s="36"/>
    <row r="568" ht="15.75" customHeight="1" s="36"/>
    <row r="569" ht="15.75" customHeight="1" s="36"/>
    <row r="570" ht="15.75" customHeight="1" s="36"/>
    <row r="571" ht="15.75" customHeight="1" s="36"/>
    <row r="572" ht="15.75" customHeight="1" s="36"/>
    <row r="573" ht="15.75" customHeight="1" s="36"/>
    <row r="574" ht="15.75" customHeight="1" s="36"/>
    <row r="575" ht="15.75" customHeight="1" s="36"/>
    <row r="576" ht="15.75" customHeight="1" s="36"/>
    <row r="577" ht="15.75" customHeight="1" s="36"/>
    <row r="578" ht="15.75" customHeight="1" s="36"/>
    <row r="579" ht="15.75" customHeight="1" s="36"/>
    <row r="580" ht="15.75" customHeight="1" s="36"/>
    <row r="581" ht="15.75" customHeight="1" s="36"/>
    <row r="582" ht="15.75" customHeight="1" s="36"/>
    <row r="583" ht="15.75" customHeight="1" s="36"/>
    <row r="584" ht="15.75" customHeight="1" s="36"/>
    <row r="585" ht="15.75" customHeight="1" s="36"/>
    <row r="586" ht="15.75" customHeight="1" s="36"/>
    <row r="587" ht="15.75" customHeight="1" s="36"/>
    <row r="588" ht="15.75" customHeight="1" s="36"/>
    <row r="589" ht="15.75" customHeight="1" s="36"/>
    <row r="590" ht="15.75" customHeight="1" s="36"/>
    <row r="591" ht="15.75" customHeight="1" s="36"/>
    <row r="592" ht="15.75" customHeight="1" s="36"/>
    <row r="593" ht="15.75" customHeight="1" s="36"/>
    <row r="594" ht="15.75" customHeight="1" s="36"/>
    <row r="595" ht="15.75" customHeight="1" s="36"/>
    <row r="596" ht="15.75" customHeight="1" s="36"/>
    <row r="597" ht="15.75" customHeight="1" s="36"/>
    <row r="598" ht="15.75" customHeight="1" s="36"/>
    <row r="599" ht="15.75" customHeight="1" s="36"/>
    <row r="600" ht="15.75" customHeight="1" s="36"/>
    <row r="601" ht="15.75" customHeight="1" s="36"/>
    <row r="602" ht="15.75" customHeight="1" s="36"/>
    <row r="603" ht="15.75" customHeight="1" s="36"/>
    <row r="604" ht="15.75" customHeight="1" s="36"/>
    <row r="605" ht="15.75" customHeight="1" s="36"/>
    <row r="606" ht="15.75" customHeight="1" s="36"/>
    <row r="607" ht="15.75" customHeight="1" s="36"/>
    <row r="608" ht="15.75" customHeight="1" s="36"/>
    <row r="609" ht="15.75" customHeight="1" s="36"/>
    <row r="610" ht="15.75" customHeight="1" s="36"/>
    <row r="611" ht="15.75" customHeight="1" s="36"/>
    <row r="612" ht="15.75" customHeight="1" s="36"/>
    <row r="613" ht="15.75" customHeight="1" s="36"/>
    <row r="614" ht="15.75" customHeight="1" s="36"/>
    <row r="615" ht="15.75" customHeight="1" s="36"/>
    <row r="616" ht="15.75" customHeight="1" s="36"/>
    <row r="617" ht="15.75" customHeight="1" s="36"/>
    <row r="618" ht="15.75" customHeight="1" s="36"/>
    <row r="619" ht="15.75" customHeight="1" s="36"/>
    <row r="620" ht="15.75" customHeight="1" s="36"/>
    <row r="621" ht="15.75" customHeight="1" s="36"/>
    <row r="622" ht="15.75" customHeight="1" s="36"/>
    <row r="623" ht="15.75" customHeight="1" s="36"/>
    <row r="624" ht="15.75" customHeight="1" s="36"/>
    <row r="625" ht="15.75" customHeight="1" s="36"/>
    <row r="626" ht="15.75" customHeight="1" s="36"/>
    <row r="627" ht="15.75" customHeight="1" s="36"/>
    <row r="628" ht="15.75" customHeight="1" s="36"/>
    <row r="629" ht="15.75" customHeight="1" s="36"/>
    <row r="630" ht="15.75" customHeight="1" s="36"/>
    <row r="631" ht="15.75" customHeight="1" s="36"/>
    <row r="632" ht="15.75" customHeight="1" s="36"/>
    <row r="633" ht="15.75" customHeight="1" s="36"/>
    <row r="634" ht="15.75" customHeight="1" s="36"/>
    <row r="635" ht="15.75" customHeight="1" s="36"/>
    <row r="636" ht="15.75" customHeight="1" s="36"/>
    <row r="637" ht="15.75" customHeight="1" s="36"/>
    <row r="638" ht="15.75" customHeight="1" s="36"/>
    <row r="639" ht="15.75" customHeight="1" s="36"/>
    <row r="640" ht="15.75" customHeight="1" s="36"/>
    <row r="641" ht="15.75" customHeight="1" s="36"/>
    <row r="642" ht="15.75" customHeight="1" s="36"/>
    <row r="643" ht="15.75" customHeight="1" s="36"/>
    <row r="644" ht="15.75" customHeight="1" s="36"/>
    <row r="645" ht="15.75" customHeight="1" s="36"/>
    <row r="646" ht="15.75" customHeight="1" s="36"/>
    <row r="647" ht="15.75" customHeight="1" s="36"/>
    <row r="648" ht="15.75" customHeight="1" s="36"/>
    <row r="649" ht="15.75" customHeight="1" s="36"/>
    <row r="650" ht="15.75" customHeight="1" s="36"/>
    <row r="651" ht="15.75" customHeight="1" s="36"/>
    <row r="652" ht="15.75" customHeight="1" s="36"/>
    <row r="653" ht="15.75" customHeight="1" s="36"/>
    <row r="654" ht="15.75" customHeight="1" s="36"/>
    <row r="655" ht="15.75" customHeight="1" s="36"/>
    <row r="656" ht="15.75" customHeight="1" s="36"/>
    <row r="657" ht="15.75" customHeight="1" s="36"/>
    <row r="658" ht="15.75" customHeight="1" s="36"/>
    <row r="659" ht="15.75" customHeight="1" s="36"/>
    <row r="660" ht="15.75" customHeight="1" s="36"/>
    <row r="661" ht="15.75" customHeight="1" s="36"/>
    <row r="662" ht="15.75" customHeight="1" s="36"/>
    <row r="663" ht="15.75" customHeight="1" s="36"/>
    <row r="664" ht="15.75" customHeight="1" s="36"/>
    <row r="665" ht="15.75" customHeight="1" s="36"/>
    <row r="666" ht="15.75" customHeight="1" s="36"/>
    <row r="667" ht="15.75" customHeight="1" s="36"/>
    <row r="668" ht="15.75" customHeight="1" s="36"/>
    <row r="669" ht="15.75" customHeight="1" s="36"/>
    <row r="670" ht="15.75" customHeight="1" s="36"/>
    <row r="671" ht="15.75" customHeight="1" s="36"/>
    <row r="672" ht="15.75" customHeight="1" s="36"/>
    <row r="673" ht="15.75" customHeight="1" s="36"/>
    <row r="674" ht="15.75" customHeight="1" s="36"/>
    <row r="675" ht="15.75" customHeight="1" s="36"/>
    <row r="676" ht="15.75" customHeight="1" s="36"/>
    <row r="677" ht="15.75" customHeight="1" s="36"/>
    <row r="678" ht="15.75" customHeight="1" s="36"/>
    <row r="679" ht="15.75" customHeight="1" s="36"/>
    <row r="680" ht="15.75" customHeight="1" s="36"/>
    <row r="681" ht="15.75" customHeight="1" s="36"/>
    <row r="682" ht="15.75" customHeight="1" s="36"/>
    <row r="683" ht="15.75" customHeight="1" s="36"/>
    <row r="684" ht="15.75" customHeight="1" s="36"/>
    <row r="685" ht="15.75" customHeight="1" s="36"/>
    <row r="686" ht="15.75" customHeight="1" s="36"/>
    <row r="687" ht="15.75" customHeight="1" s="36"/>
    <row r="688" ht="15.75" customHeight="1" s="36"/>
    <row r="689" ht="15.75" customHeight="1" s="36"/>
    <row r="690" ht="15.75" customHeight="1" s="36"/>
    <row r="691" ht="15.75" customHeight="1" s="36"/>
    <row r="692" ht="15.75" customHeight="1" s="36"/>
    <row r="693" ht="15.75" customHeight="1" s="36"/>
    <row r="694" ht="15.75" customHeight="1" s="36"/>
    <row r="695" ht="15.75" customHeight="1" s="36"/>
    <row r="696" ht="15.75" customHeight="1" s="36"/>
    <row r="697" ht="15.75" customHeight="1" s="36"/>
    <row r="698" ht="15.75" customHeight="1" s="36"/>
    <row r="699" ht="15.75" customHeight="1" s="36"/>
    <row r="700" ht="15.75" customHeight="1" s="36"/>
    <row r="701" ht="15.75" customHeight="1" s="36"/>
    <row r="702" ht="15.75" customHeight="1" s="36"/>
    <row r="703" ht="15.75" customHeight="1" s="36"/>
    <row r="704" ht="15.75" customHeight="1" s="36"/>
    <row r="705" ht="15.75" customHeight="1" s="36"/>
    <row r="706" ht="15.75" customHeight="1" s="36"/>
    <row r="707" ht="15.75" customHeight="1" s="36"/>
    <row r="708" ht="15.75" customHeight="1" s="36"/>
    <row r="709" ht="15.75" customHeight="1" s="36"/>
    <row r="710" ht="15.75" customHeight="1" s="36"/>
    <row r="711" ht="15.75" customHeight="1" s="36"/>
    <row r="712" ht="15.75" customHeight="1" s="36"/>
    <row r="713" ht="15.75" customHeight="1" s="36"/>
    <row r="714" ht="15.75" customHeight="1" s="36"/>
    <row r="715" ht="15.75" customHeight="1" s="36"/>
    <row r="716" ht="15.75" customHeight="1" s="36"/>
    <row r="717" ht="15.75" customHeight="1" s="36"/>
    <row r="718" ht="15.75" customHeight="1" s="36"/>
    <row r="719" ht="15.75" customHeight="1" s="36"/>
    <row r="720" ht="15.75" customHeight="1" s="36"/>
    <row r="721" ht="15.75" customHeight="1" s="36"/>
    <row r="722" ht="15.75" customHeight="1" s="36"/>
    <row r="723" ht="15.75" customHeight="1" s="36"/>
    <row r="724" ht="15.75" customHeight="1" s="36"/>
    <row r="725" ht="15.75" customHeight="1" s="36"/>
    <row r="726" ht="15.75" customHeight="1" s="36"/>
    <row r="727" ht="15.75" customHeight="1" s="36"/>
    <row r="728" ht="15.75" customHeight="1" s="36"/>
    <row r="729" ht="15.75" customHeight="1" s="36"/>
    <row r="730" ht="15.75" customHeight="1" s="36"/>
    <row r="731" ht="15.75" customHeight="1" s="36"/>
    <row r="732" ht="15.75" customHeight="1" s="36"/>
    <row r="733" ht="15.75" customHeight="1" s="36"/>
    <row r="734" ht="15.75" customHeight="1" s="36"/>
    <row r="735" ht="15.75" customHeight="1" s="36"/>
    <row r="736" ht="15.75" customHeight="1" s="36"/>
    <row r="737" ht="15.75" customHeight="1" s="36"/>
    <row r="738" ht="15.75" customHeight="1" s="36"/>
    <row r="739" ht="15.75" customHeight="1" s="36"/>
    <row r="740" ht="15.75" customHeight="1" s="36"/>
    <row r="741" ht="15.75" customHeight="1" s="36"/>
    <row r="742" ht="15.75" customHeight="1" s="36"/>
    <row r="743" ht="15.75" customHeight="1" s="36"/>
    <row r="744" ht="15.75" customHeight="1" s="36"/>
    <row r="745" ht="15.75" customHeight="1" s="36"/>
    <row r="746" ht="15.75" customHeight="1" s="36"/>
    <row r="747" ht="15.75" customHeight="1" s="36"/>
    <row r="748" ht="15.75" customHeight="1" s="36"/>
    <row r="749" ht="15.75" customHeight="1" s="36"/>
    <row r="750" ht="15.75" customHeight="1" s="36"/>
    <row r="751" ht="15.75" customHeight="1" s="36"/>
    <row r="752" ht="15.75" customHeight="1" s="36"/>
    <row r="753" ht="15.75" customHeight="1" s="36"/>
    <row r="754" ht="15.75" customHeight="1" s="36"/>
    <row r="755" ht="15.75" customHeight="1" s="36"/>
    <row r="756" ht="15.75" customHeight="1" s="36"/>
    <row r="757" ht="15.75" customHeight="1" s="36"/>
    <row r="758" ht="15.75" customHeight="1" s="36"/>
    <row r="759" ht="15.75" customHeight="1" s="36"/>
    <row r="760" ht="15.75" customHeight="1" s="36"/>
    <row r="761" ht="15.75" customHeight="1" s="36"/>
    <row r="762" ht="15.75" customHeight="1" s="36"/>
    <row r="763" ht="15.75" customHeight="1" s="36"/>
    <row r="764" ht="15.75" customHeight="1" s="36"/>
    <row r="765" ht="15.75" customHeight="1" s="36"/>
    <row r="766" ht="15.75" customHeight="1" s="36"/>
    <row r="767" ht="15.75" customHeight="1" s="36"/>
    <row r="768" ht="15.75" customHeight="1" s="36"/>
    <row r="769" ht="15.75" customHeight="1" s="36"/>
    <row r="770" ht="15.75" customHeight="1" s="36"/>
    <row r="771" ht="15.75" customHeight="1" s="36"/>
    <row r="772" ht="15.75" customHeight="1" s="36"/>
    <row r="773" ht="15.75" customHeight="1" s="36"/>
    <row r="774" ht="15.75" customHeight="1" s="36"/>
    <row r="775" ht="15.75" customHeight="1" s="36"/>
    <row r="776" ht="15.75" customHeight="1" s="36"/>
    <row r="777" ht="15.75" customHeight="1" s="36"/>
    <row r="778" ht="15.75" customHeight="1" s="36"/>
    <row r="779" ht="15.75" customHeight="1" s="36"/>
    <row r="780" ht="15.75" customHeight="1" s="36"/>
    <row r="781" ht="15.75" customHeight="1" s="36"/>
    <row r="782" ht="15.75" customHeight="1" s="36"/>
    <row r="783" ht="15.75" customHeight="1" s="36"/>
    <row r="784" ht="15.75" customHeight="1" s="36"/>
    <row r="785" ht="15.75" customHeight="1" s="36"/>
    <row r="786" ht="15.75" customHeight="1" s="36"/>
    <row r="787" ht="15.75" customHeight="1" s="36"/>
    <row r="788" ht="15.75" customHeight="1" s="36"/>
    <row r="789" ht="15.75" customHeight="1" s="36"/>
    <row r="790" ht="15.75" customHeight="1" s="36"/>
    <row r="791" ht="15.75" customHeight="1" s="36"/>
    <row r="792" ht="15.75" customHeight="1" s="36"/>
    <row r="793" ht="15.75" customHeight="1" s="36"/>
    <row r="794" ht="15.75" customHeight="1" s="36"/>
    <row r="795" ht="15.75" customHeight="1" s="36"/>
    <row r="796" ht="15.75" customHeight="1" s="36"/>
    <row r="797" ht="15.75" customHeight="1" s="36"/>
    <row r="798" ht="15.75" customHeight="1" s="36"/>
    <row r="799" ht="15.75" customHeight="1" s="36"/>
    <row r="800" ht="15.75" customHeight="1" s="36"/>
    <row r="801" ht="15.75" customHeight="1" s="36"/>
    <row r="802" ht="15.75" customHeight="1" s="36"/>
    <row r="803" ht="15.75" customHeight="1" s="36"/>
    <row r="804" ht="15.75" customHeight="1" s="36"/>
    <row r="805" ht="15.75" customHeight="1" s="36"/>
    <row r="806" ht="15.75" customHeight="1" s="36"/>
    <row r="807" ht="15.75" customHeight="1" s="36"/>
    <row r="808" ht="15.75" customHeight="1" s="36"/>
    <row r="809" ht="15.75" customHeight="1" s="36"/>
    <row r="810" ht="15.75" customHeight="1" s="36"/>
    <row r="811" ht="15.75" customHeight="1" s="36"/>
    <row r="812" ht="15.75" customHeight="1" s="36"/>
    <row r="813" ht="15.75" customHeight="1" s="36"/>
    <row r="814" ht="15.75" customHeight="1" s="36"/>
    <row r="815" ht="15.75" customHeight="1" s="36"/>
    <row r="816" ht="15.75" customHeight="1" s="36"/>
    <row r="817" ht="15.75" customHeight="1" s="36"/>
    <row r="818" ht="15.75" customHeight="1" s="36"/>
    <row r="819" ht="15.75" customHeight="1" s="36"/>
    <row r="820" ht="15.75" customHeight="1" s="36"/>
    <row r="821" ht="15.75" customHeight="1" s="36"/>
    <row r="822" ht="15.75" customHeight="1" s="36"/>
    <row r="823" ht="15.75" customHeight="1" s="36"/>
    <row r="824" ht="15.75" customHeight="1" s="36"/>
    <row r="825" ht="15.75" customHeight="1" s="36"/>
    <row r="826" ht="15.75" customHeight="1" s="36"/>
    <row r="827" ht="15.75" customHeight="1" s="36"/>
    <row r="828" ht="15.75" customHeight="1" s="36"/>
    <row r="829" ht="15.75" customHeight="1" s="36"/>
    <row r="830" ht="15.75" customHeight="1" s="36"/>
    <row r="831" ht="15.75" customHeight="1" s="36"/>
    <row r="832" ht="15.75" customHeight="1" s="36"/>
    <row r="833" ht="15.75" customHeight="1" s="36"/>
    <row r="834" ht="15.75" customHeight="1" s="36"/>
    <row r="835" ht="15.75" customHeight="1" s="36"/>
    <row r="836" ht="15.75" customHeight="1" s="36"/>
    <row r="837" ht="15.75" customHeight="1" s="36"/>
    <row r="838" ht="15.75" customHeight="1" s="36"/>
    <row r="839" ht="15.75" customHeight="1" s="36"/>
    <row r="840" ht="15.75" customHeight="1" s="36"/>
    <row r="841" ht="15.75" customHeight="1" s="36"/>
    <row r="842" ht="15.75" customHeight="1" s="36"/>
    <row r="843" ht="15.75" customHeight="1" s="36"/>
    <row r="844" ht="15.75" customHeight="1" s="36"/>
    <row r="845" ht="15.75" customHeight="1" s="36"/>
    <row r="846" ht="15.75" customHeight="1" s="36"/>
    <row r="847" ht="15.75" customHeight="1" s="36"/>
    <row r="848" ht="15.75" customHeight="1" s="36"/>
    <row r="849" ht="15.75" customHeight="1" s="36"/>
    <row r="850" ht="15.75" customHeight="1" s="36"/>
    <row r="851" ht="15.75" customHeight="1" s="36"/>
    <row r="852" ht="15.75" customHeight="1" s="36"/>
    <row r="853" ht="15.75" customHeight="1" s="36"/>
    <row r="854" ht="15.75" customHeight="1" s="36"/>
    <row r="855" ht="15.75" customHeight="1" s="36"/>
    <row r="856" ht="15.75" customHeight="1" s="36"/>
    <row r="857" ht="15.75" customHeight="1" s="36"/>
    <row r="858" ht="15.75" customHeight="1" s="36"/>
    <row r="859" ht="15.75" customHeight="1" s="36"/>
    <row r="860" ht="15.75" customHeight="1" s="36"/>
    <row r="861" ht="15.75" customHeight="1" s="36"/>
    <row r="862" ht="15.75" customHeight="1" s="36"/>
    <row r="863" ht="15.75" customHeight="1" s="36"/>
    <row r="864" ht="15.75" customHeight="1" s="36"/>
    <row r="865" ht="15.75" customHeight="1" s="36"/>
    <row r="866" ht="15.75" customHeight="1" s="36"/>
    <row r="867" ht="15.75" customHeight="1" s="36"/>
    <row r="868" ht="15.75" customHeight="1" s="36"/>
    <row r="869" ht="15.75" customHeight="1" s="36"/>
    <row r="870" ht="15.75" customHeight="1" s="36"/>
    <row r="871" ht="15.75" customHeight="1" s="36"/>
    <row r="872" ht="15.75" customHeight="1" s="36"/>
    <row r="873" ht="15.75" customHeight="1" s="36"/>
    <row r="874" ht="15.75" customHeight="1" s="36"/>
    <row r="875" ht="15.75" customHeight="1" s="36"/>
    <row r="876" ht="15.75" customHeight="1" s="36"/>
    <row r="877" ht="15.75" customHeight="1" s="36"/>
    <row r="878" ht="15.75" customHeight="1" s="36"/>
    <row r="879" ht="15.75" customHeight="1" s="36"/>
    <row r="880" ht="15.75" customHeight="1" s="36"/>
    <row r="881" ht="15.75" customHeight="1" s="36"/>
    <row r="882" ht="15.75" customHeight="1" s="36"/>
    <row r="883" ht="15.75" customHeight="1" s="36"/>
    <row r="884" ht="15.75" customHeight="1" s="36"/>
    <row r="885" ht="15.75" customHeight="1" s="36"/>
    <row r="886" ht="15.75" customHeight="1" s="36"/>
    <row r="887" ht="15.75" customHeight="1" s="36"/>
    <row r="888" ht="15.75" customHeight="1" s="36"/>
    <row r="889" ht="15.75" customHeight="1" s="36"/>
    <row r="890" ht="15.75" customHeight="1" s="36"/>
    <row r="891" ht="15.75" customHeight="1" s="36"/>
    <row r="892" ht="15.75" customHeight="1" s="36"/>
    <row r="893" ht="15.75" customHeight="1" s="36"/>
    <row r="894" ht="15.75" customHeight="1" s="36"/>
    <row r="895" ht="15.75" customHeight="1" s="36"/>
    <row r="896" ht="15.75" customHeight="1" s="36"/>
    <row r="897" ht="15.75" customHeight="1" s="36"/>
    <row r="898" ht="15.75" customHeight="1" s="36"/>
    <row r="899" ht="15.75" customHeight="1" s="36"/>
    <row r="900" ht="15.75" customHeight="1" s="36"/>
    <row r="901" ht="15.75" customHeight="1" s="36"/>
    <row r="902" ht="15.75" customHeight="1" s="36"/>
    <row r="903" ht="15.75" customHeight="1" s="36"/>
    <row r="904" ht="15.75" customHeight="1" s="36"/>
    <row r="905" ht="15.75" customHeight="1" s="36"/>
    <row r="906" ht="15.75" customHeight="1" s="36"/>
    <row r="907" ht="15.75" customHeight="1" s="36"/>
    <row r="908" ht="15.75" customHeight="1" s="36"/>
    <row r="909" ht="15.75" customHeight="1" s="36"/>
    <row r="910" ht="15.75" customHeight="1" s="36"/>
    <row r="911" ht="15.75" customHeight="1" s="36"/>
    <row r="912" ht="15.75" customHeight="1" s="36"/>
    <row r="913" ht="15.75" customHeight="1" s="36"/>
    <row r="914" ht="15.75" customHeight="1" s="36"/>
    <row r="915" ht="15.75" customHeight="1" s="36"/>
    <row r="916" ht="15.75" customHeight="1" s="36"/>
    <row r="917" ht="15.75" customHeight="1" s="36"/>
    <row r="918" ht="15.75" customHeight="1" s="36"/>
    <row r="919" ht="15.75" customHeight="1" s="36"/>
    <row r="920" ht="15.75" customHeight="1" s="36"/>
    <row r="921" ht="15.75" customHeight="1" s="36"/>
    <row r="922" ht="15.75" customHeight="1" s="36"/>
    <row r="923" ht="15.75" customHeight="1" s="36"/>
    <row r="924" ht="15.75" customHeight="1" s="36"/>
    <row r="925" ht="15.75" customHeight="1" s="36"/>
    <row r="926" ht="15.75" customHeight="1" s="36"/>
    <row r="927" ht="15.75" customHeight="1" s="36"/>
    <row r="928" ht="15.75" customHeight="1" s="36"/>
    <row r="929" ht="15.75" customHeight="1" s="36"/>
    <row r="930" ht="15.75" customHeight="1" s="36"/>
    <row r="931" ht="15.75" customHeight="1" s="36"/>
    <row r="932" ht="15.75" customHeight="1" s="36"/>
    <row r="933" ht="15.75" customHeight="1" s="36"/>
    <row r="934" ht="15.75" customHeight="1" s="36"/>
    <row r="935" ht="15.75" customHeight="1" s="36"/>
    <row r="936" ht="15.75" customHeight="1" s="36"/>
    <row r="937" ht="15.75" customHeight="1" s="36"/>
    <row r="938" ht="15.75" customHeight="1" s="36"/>
    <row r="939" ht="15.75" customHeight="1" s="36"/>
    <row r="940" ht="15.75" customHeight="1" s="36"/>
    <row r="941" ht="15.75" customHeight="1" s="36"/>
    <row r="942" ht="15.75" customHeight="1" s="36"/>
    <row r="943" ht="15.75" customHeight="1" s="36"/>
    <row r="944" ht="15.75" customHeight="1" s="36"/>
    <row r="945" ht="15.75" customHeight="1" s="36"/>
    <row r="946" ht="15.75" customHeight="1" s="36"/>
    <row r="947" ht="15.75" customHeight="1" s="36"/>
    <row r="948" ht="15.75" customHeight="1" s="36"/>
    <row r="949" ht="15.75" customHeight="1" s="36"/>
    <row r="950" ht="15.75" customHeight="1" s="36"/>
    <row r="951" ht="15.75" customHeight="1" s="36"/>
    <row r="952" ht="15.75" customHeight="1" s="36"/>
    <row r="953" ht="15.75" customHeight="1" s="36"/>
    <row r="954" ht="15.75" customHeight="1" s="36"/>
    <row r="955" ht="15.75" customHeight="1" s="36"/>
    <row r="956" ht="15.75" customHeight="1" s="36"/>
    <row r="957" ht="15.75" customHeight="1" s="36"/>
    <row r="958" ht="15.75" customHeight="1" s="36"/>
    <row r="959" ht="15.75" customHeight="1" s="36"/>
    <row r="960" ht="15.75" customHeight="1" s="36"/>
    <row r="961" ht="15.75" customHeight="1" s="36"/>
    <row r="962" ht="15.75" customHeight="1" s="36"/>
    <row r="963" ht="15.75" customHeight="1" s="36"/>
    <row r="964" ht="15.75" customHeight="1" s="36"/>
    <row r="965" ht="15.75" customHeight="1" s="36"/>
    <row r="966" ht="15.75" customHeight="1" s="36"/>
    <row r="967" ht="15.75" customHeight="1" s="36"/>
    <row r="968" ht="15.75" customHeight="1" s="36"/>
    <row r="969" ht="15.75" customHeight="1" s="36"/>
    <row r="970" ht="15.75" customHeight="1" s="36"/>
    <row r="971" ht="15.75" customHeight="1" s="36"/>
    <row r="972" ht="15.75" customHeight="1" s="36"/>
    <row r="973" ht="15.75" customHeight="1" s="36"/>
    <row r="974" ht="15.75" customHeight="1" s="36"/>
    <row r="975" ht="15.75" customHeight="1" s="36"/>
    <row r="976" ht="15.75" customHeight="1" s="36"/>
    <row r="977" ht="15.75" customHeight="1" s="36"/>
    <row r="978" ht="15.75" customHeight="1" s="36"/>
    <row r="979" ht="15.75" customHeight="1" s="36"/>
    <row r="980" ht="15.75" customHeight="1" s="36"/>
    <row r="981" ht="15.75" customHeight="1" s="36"/>
    <row r="982" ht="15.75" customHeight="1" s="36"/>
    <row r="983" ht="15.75" customHeight="1" s="36"/>
    <row r="984" ht="15.75" customHeight="1" s="36"/>
    <row r="985" ht="15.75" customHeight="1" s="36"/>
    <row r="986" ht="15.75" customHeight="1" s="36"/>
    <row r="987" ht="15.75" customHeight="1" s="36"/>
    <row r="988" ht="15.75" customHeight="1" s="36"/>
    <row r="989" ht="15.75" customHeight="1" s="36"/>
    <row r="990" ht="15.75" customHeight="1" s="36"/>
    <row r="991" ht="15.75" customHeight="1" s="36"/>
    <row r="992" ht="15.75" customHeight="1" s="36"/>
    <row r="993" ht="15.75" customHeight="1" s="36"/>
    <row r="994" ht="15.75" customHeight="1" s="36"/>
    <row r="995" ht="15.75" customHeight="1" s="36"/>
    <row r="996" ht="15.75" customHeight="1" s="36"/>
    <row r="997" ht="15.75" customHeight="1" s="36"/>
    <row r="998" ht="15.75" customHeight="1" s="36"/>
    <row r="999" ht="15.75" customHeight="1" s="36"/>
  </sheetData>
  <pageMargins left="0.75" right="0.75" top="1" bottom="1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84"/>
  <sheetViews>
    <sheetView workbookViewId="0">
      <selection activeCell="A1" sqref="A1"/>
    </sheetView>
  </sheetViews>
  <sheetFormatPr baseColWidth="8" defaultRowHeight="15"/>
  <cols>
    <col width="7" customWidth="1" style="36" min="1" max="1"/>
    <col width="12" customWidth="1" style="36" min="2" max="2"/>
    <col width="13" customWidth="1" style="36" min="3" max="3"/>
    <col width="20" customWidth="1" style="36" min="4" max="4"/>
    <col width="26" customWidth="1" style="36" min="5" max="5"/>
    <col width="3" customWidth="1" style="36" min="6" max="6"/>
    <col width="38" customWidth="1" style="36" min="7" max="7"/>
    <col width="12" customWidth="1" style="36" min="8" max="8"/>
  </cols>
  <sheetData>
    <row r="1">
      <c r="A1" s="37" t="inlineStr">
        <is>
          <t>Tiempos entre llegadas consecutivas - franja 9:00-10:00 (días 1 a 10)</t>
        </is>
      </c>
    </row>
    <row r="2">
      <c r="A2" t="inlineStr">
        <is>
          <t>Se toma la hora de emisión de cada turno dentro de la franja y se calcula la diferencia con el turno anterior del mismo día.</t>
        </is>
      </c>
    </row>
    <row r="3">
      <c r="A3" s="38" t="inlineStr">
        <is>
          <t>N.º</t>
        </is>
      </c>
      <c r="B3" s="38" t="inlineStr">
        <is>
          <t>Fecha</t>
        </is>
      </c>
      <c r="C3" s="38" t="inlineStr">
        <is>
          <t>Hora llegada</t>
        </is>
      </c>
      <c r="D3" s="38" t="inlineStr">
        <is>
          <t>Hora llegada anterior</t>
        </is>
      </c>
      <c r="E3" s="38" t="inlineStr">
        <is>
          <t>Tiempo entre llegadas (min)</t>
        </is>
      </c>
      <c r="G3" t="inlineStr">
        <is>
          <t>Número de tiempos</t>
        </is>
      </c>
      <c r="H3" s="39">
        <f>COUNT(E4:E884)</f>
        <v/>
      </c>
    </row>
    <row r="4">
      <c r="A4" t="n">
        <v>1</v>
      </c>
      <c r="B4" s="40" t="n">
        <v>46083</v>
      </c>
      <c r="C4" s="41" t="n">
        <v>0.3760882884027777</v>
      </c>
      <c r="D4" s="41" t="n">
        <v>0.3756633213194445</v>
      </c>
      <c r="E4" s="39">
        <f>(C4-D4)*1440</f>
        <v/>
      </c>
      <c r="G4" t="inlineStr">
        <is>
          <t>Media (min)</t>
        </is>
      </c>
      <c r="H4" s="39">
        <f>AVERAGE(E4:E884)</f>
        <v/>
      </c>
    </row>
    <row r="5">
      <c r="A5" t="n">
        <v>2</v>
      </c>
      <c r="B5" s="40" t="n">
        <v>46083</v>
      </c>
      <c r="C5" s="41" t="n">
        <v>0.3762401002430555</v>
      </c>
      <c r="D5" s="41" t="n">
        <v>0.3760882884027777</v>
      </c>
      <c r="E5" s="39">
        <f>(C5-D5)*1440</f>
        <v/>
      </c>
      <c r="G5" t="inlineStr">
        <is>
          <t>Desviación estándar (min)</t>
        </is>
      </c>
      <c r="H5" s="39">
        <f>STDEV(E4:E884)</f>
        <v/>
      </c>
    </row>
    <row r="6">
      <c r="A6" t="n">
        <v>3</v>
      </c>
      <c r="B6" s="40" t="n">
        <v>46083</v>
      </c>
      <c r="C6" s="41" t="n">
        <v>0.3762401965162037</v>
      </c>
      <c r="D6" s="41" t="n">
        <v>0.3762401002430555</v>
      </c>
      <c r="E6" s="39">
        <f>(C6-D6)*1440</f>
        <v/>
      </c>
      <c r="G6" t="inlineStr">
        <is>
          <t>Coeficiente de variación</t>
        </is>
      </c>
      <c r="H6" s="39">
        <f>H5/H4</f>
        <v/>
      </c>
    </row>
    <row r="7">
      <c r="A7" t="n">
        <v>4</v>
      </c>
      <c r="B7" s="40" t="n">
        <v>46083</v>
      </c>
      <c r="C7" s="41" t="n">
        <v>0.3769295569791667</v>
      </c>
      <c r="D7" s="41" t="n">
        <v>0.3762401965162037</v>
      </c>
      <c r="E7" s="39">
        <f>(C7-D7)*1440</f>
        <v/>
      </c>
      <c r="G7" t="inlineStr">
        <is>
          <t>Tasa implícita (usuarios/h) = 60/media</t>
        </is>
      </c>
      <c r="H7" s="39">
        <f>60/H4</f>
        <v/>
      </c>
    </row>
    <row r="8">
      <c r="A8" t="n">
        <v>5</v>
      </c>
      <c r="B8" s="40" t="n">
        <v>46083</v>
      </c>
      <c r="C8" s="41" t="n">
        <v>0.3780800507638889</v>
      </c>
      <c r="D8" s="41" t="n">
        <v>0.3769295569791667</v>
      </c>
      <c r="E8" s="39">
        <f>(C8-D8)*1440</f>
        <v/>
      </c>
    </row>
    <row r="9">
      <c r="A9" t="n">
        <v>6</v>
      </c>
      <c r="B9" s="40" t="n">
        <v>46083</v>
      </c>
      <c r="C9" s="41" t="n">
        <v>0.3782813459722222</v>
      </c>
      <c r="D9" s="41" t="n">
        <v>0.3780800507638889</v>
      </c>
      <c r="E9" s="39">
        <f>(C9-D9)*1440</f>
        <v/>
      </c>
      <c r="G9" t="inlineStr">
        <is>
          <t>En la distribución exponencial la media y la desviación estándar son iguales (CV ≈ 1).</t>
        </is>
      </c>
    </row>
    <row r="10">
      <c r="A10" t="n">
        <v>7</v>
      </c>
      <c r="B10" s="40" t="n">
        <v>46083</v>
      </c>
      <c r="C10" s="41" t="n">
        <v>0.3789669840277778</v>
      </c>
      <c r="D10" s="41" t="n">
        <v>0.3782813459722222</v>
      </c>
      <c r="E10" s="39">
        <f>(C10-D10)*1440</f>
        <v/>
      </c>
    </row>
    <row r="11">
      <c r="A11" t="n">
        <v>8</v>
      </c>
      <c r="B11" s="40" t="n">
        <v>46083</v>
      </c>
      <c r="C11" s="41" t="n">
        <v>0.3798963681365741</v>
      </c>
      <c r="D11" s="41" t="n">
        <v>0.3789669840277778</v>
      </c>
      <c r="E11" s="39">
        <f>(C11-D11)*1440</f>
        <v/>
      </c>
    </row>
    <row r="12">
      <c r="A12" t="n">
        <v>9</v>
      </c>
      <c r="B12" s="40" t="n">
        <v>46083</v>
      </c>
      <c r="C12" s="41" t="n">
        <v>0.3802627135185185</v>
      </c>
      <c r="D12" s="41" t="n">
        <v>0.3798963681365741</v>
      </c>
      <c r="E12" s="39">
        <f>(C12-D12)*1440</f>
        <v/>
      </c>
    </row>
    <row r="13">
      <c r="A13" t="n">
        <v>10</v>
      </c>
      <c r="B13" s="40" t="n">
        <v>46083</v>
      </c>
      <c r="C13" s="41" t="n">
        <v>0.3812923576273148</v>
      </c>
      <c r="D13" s="41" t="n">
        <v>0.3802627135185185</v>
      </c>
      <c r="E13" s="39">
        <f>(C13-D13)*1440</f>
        <v/>
      </c>
    </row>
    <row r="14">
      <c r="A14" t="n">
        <v>11</v>
      </c>
      <c r="B14" s="40" t="n">
        <v>46083</v>
      </c>
      <c r="C14" s="41" t="n">
        <v>0.3817903472337963</v>
      </c>
      <c r="D14" s="41" t="n">
        <v>0.3812923576273148</v>
      </c>
      <c r="E14" s="39">
        <f>(C14-D14)*1440</f>
        <v/>
      </c>
    </row>
    <row r="15">
      <c r="A15" t="n">
        <v>12</v>
      </c>
      <c r="B15" s="40" t="n">
        <v>46083</v>
      </c>
      <c r="C15" s="41" t="n">
        <v>0.3821291313541667</v>
      </c>
      <c r="D15" s="41" t="n">
        <v>0.3817903472337963</v>
      </c>
      <c r="E15" s="39">
        <f>(C15-D15)*1440</f>
        <v/>
      </c>
    </row>
    <row r="16">
      <c r="A16" t="n">
        <v>13</v>
      </c>
      <c r="B16" s="40" t="n">
        <v>46083</v>
      </c>
      <c r="C16" s="41" t="n">
        <v>0.3826188028703704</v>
      </c>
      <c r="D16" s="41" t="n">
        <v>0.3821291313541667</v>
      </c>
      <c r="E16" s="39">
        <f>(C16-D16)*1440</f>
        <v/>
      </c>
    </row>
    <row r="17">
      <c r="A17" t="n">
        <v>14</v>
      </c>
      <c r="B17" s="40" t="n">
        <v>46083</v>
      </c>
      <c r="C17" s="41" t="n">
        <v>0.3830369559722223</v>
      </c>
      <c r="D17" s="41" t="n">
        <v>0.3826188028703704</v>
      </c>
      <c r="E17" s="39">
        <f>(C17-D17)*1440</f>
        <v/>
      </c>
    </row>
    <row r="18">
      <c r="A18" t="n">
        <v>15</v>
      </c>
      <c r="B18" s="40" t="n">
        <v>46083</v>
      </c>
      <c r="C18" s="41" t="n">
        <v>0.3841731290046296</v>
      </c>
      <c r="D18" s="41" t="n">
        <v>0.3830369559722223</v>
      </c>
      <c r="E18" s="39">
        <f>(C18-D18)*1440</f>
        <v/>
      </c>
    </row>
    <row r="19">
      <c r="A19" t="n">
        <v>16</v>
      </c>
      <c r="B19" s="40" t="n">
        <v>46083</v>
      </c>
      <c r="C19" s="41" t="n">
        <v>0.3844011383564814</v>
      </c>
      <c r="D19" s="41" t="n">
        <v>0.3841731290046296</v>
      </c>
      <c r="E19" s="39">
        <f>(C19-D19)*1440</f>
        <v/>
      </c>
    </row>
    <row r="20">
      <c r="A20" t="n">
        <v>17</v>
      </c>
      <c r="B20" s="40" t="n">
        <v>46083</v>
      </c>
      <c r="C20" s="41" t="n">
        <v>0.3849587379166666</v>
      </c>
      <c r="D20" s="41" t="n">
        <v>0.3844011383564814</v>
      </c>
      <c r="E20" s="39">
        <f>(C20-D20)*1440</f>
        <v/>
      </c>
    </row>
    <row r="21">
      <c r="A21" t="n">
        <v>18</v>
      </c>
      <c r="B21" s="40" t="n">
        <v>46083</v>
      </c>
      <c r="C21" s="41" t="n">
        <v>0.385385169224537</v>
      </c>
      <c r="D21" s="41" t="n">
        <v>0.3849587379166666</v>
      </c>
      <c r="E21" s="39">
        <f>(C21-D21)*1440</f>
        <v/>
      </c>
    </row>
    <row r="22">
      <c r="A22" t="n">
        <v>19</v>
      </c>
      <c r="B22" s="40" t="n">
        <v>46083</v>
      </c>
      <c r="C22" s="41" t="n">
        <v>0.3862750088194444</v>
      </c>
      <c r="D22" s="41" t="n">
        <v>0.385385169224537</v>
      </c>
      <c r="E22" s="39">
        <f>(C22-D22)*1440</f>
        <v/>
      </c>
    </row>
    <row r="23">
      <c r="A23" t="n">
        <v>20</v>
      </c>
      <c r="B23" s="40" t="n">
        <v>46083</v>
      </c>
      <c r="C23" s="41" t="n">
        <v>0.3863387564814815</v>
      </c>
      <c r="D23" s="41" t="n">
        <v>0.3862750088194444</v>
      </c>
      <c r="E23" s="39">
        <f>(C23-D23)*1440</f>
        <v/>
      </c>
    </row>
    <row r="24">
      <c r="A24" t="n">
        <v>21</v>
      </c>
      <c r="B24" s="40" t="n">
        <v>46083</v>
      </c>
      <c r="C24" s="41" t="n">
        <v>0.3865787317939815</v>
      </c>
      <c r="D24" s="41" t="n">
        <v>0.3863387564814815</v>
      </c>
      <c r="E24" s="39">
        <f>(C24-D24)*1440</f>
        <v/>
      </c>
    </row>
    <row r="25">
      <c r="A25" t="n">
        <v>22</v>
      </c>
      <c r="B25" s="40" t="n">
        <v>46083</v>
      </c>
      <c r="C25" s="41" t="n">
        <v>0.3872939987615741</v>
      </c>
      <c r="D25" s="41" t="n">
        <v>0.3865787317939815</v>
      </c>
      <c r="E25" s="39">
        <f>(C25-D25)*1440</f>
        <v/>
      </c>
    </row>
    <row r="26">
      <c r="A26" t="n">
        <v>23</v>
      </c>
      <c r="B26" s="40" t="n">
        <v>46083</v>
      </c>
      <c r="C26" s="41" t="n">
        <v>0.3875367430324074</v>
      </c>
      <c r="D26" s="41" t="n">
        <v>0.3872939987615741</v>
      </c>
      <c r="E26" s="39">
        <f>(C26-D26)*1440</f>
        <v/>
      </c>
    </row>
    <row r="27">
      <c r="A27" t="n">
        <v>24</v>
      </c>
      <c r="B27" s="40" t="n">
        <v>46083</v>
      </c>
      <c r="C27" s="41" t="n">
        <v>0.3886056056134259</v>
      </c>
      <c r="D27" s="41" t="n">
        <v>0.3875367430324074</v>
      </c>
      <c r="E27" s="39">
        <f>(C27-D27)*1440</f>
        <v/>
      </c>
    </row>
    <row r="28">
      <c r="A28" t="n">
        <v>25</v>
      </c>
      <c r="B28" s="40" t="n">
        <v>46083</v>
      </c>
      <c r="C28" s="41" t="n">
        <v>0.3887453830902778</v>
      </c>
      <c r="D28" s="41" t="n">
        <v>0.3886056056134259</v>
      </c>
      <c r="E28" s="39">
        <f>(C28-D28)*1440</f>
        <v/>
      </c>
    </row>
    <row r="29">
      <c r="A29" t="n">
        <v>26</v>
      </c>
      <c r="B29" s="40" t="n">
        <v>46083</v>
      </c>
      <c r="C29" s="41" t="n">
        <v>0.3907702465277778</v>
      </c>
      <c r="D29" s="41" t="n">
        <v>0.3887453830902778</v>
      </c>
      <c r="E29" s="39">
        <f>(C29-D29)*1440</f>
        <v/>
      </c>
    </row>
    <row r="30">
      <c r="A30" t="n">
        <v>27</v>
      </c>
      <c r="B30" s="40" t="n">
        <v>46083</v>
      </c>
      <c r="C30" s="41" t="n">
        <v>0.3908385491898148</v>
      </c>
      <c r="D30" s="41" t="n">
        <v>0.3907702465277778</v>
      </c>
      <c r="E30" s="39">
        <f>(C30-D30)*1440</f>
        <v/>
      </c>
    </row>
    <row r="31">
      <c r="A31" t="n">
        <v>28</v>
      </c>
      <c r="B31" s="40" t="n">
        <v>46083</v>
      </c>
      <c r="C31" s="41" t="n">
        <v>0.3912939808680556</v>
      </c>
      <c r="D31" s="41" t="n">
        <v>0.3908385491898148</v>
      </c>
      <c r="E31" s="39">
        <f>(C31-D31)*1440</f>
        <v/>
      </c>
    </row>
    <row r="32">
      <c r="A32" t="n">
        <v>29</v>
      </c>
      <c r="B32" s="40" t="n">
        <v>46083</v>
      </c>
      <c r="C32" s="41" t="n">
        <v>0.3913839261458333</v>
      </c>
      <c r="D32" s="41" t="n">
        <v>0.3912939808680556</v>
      </c>
      <c r="E32" s="39">
        <f>(C32-D32)*1440</f>
        <v/>
      </c>
    </row>
    <row r="33">
      <c r="A33" t="n">
        <v>30</v>
      </c>
      <c r="B33" s="40" t="n">
        <v>46083</v>
      </c>
      <c r="C33" s="41" t="n">
        <v>0.3922374446527778</v>
      </c>
      <c r="D33" s="41" t="n">
        <v>0.3913839261458333</v>
      </c>
      <c r="E33" s="39">
        <f>(C33-D33)*1440</f>
        <v/>
      </c>
    </row>
    <row r="34">
      <c r="A34" t="n">
        <v>31</v>
      </c>
      <c r="B34" s="40" t="n">
        <v>46083</v>
      </c>
      <c r="C34" s="41" t="n">
        <v>0.3924869532638889</v>
      </c>
      <c r="D34" s="41" t="n">
        <v>0.3922374446527778</v>
      </c>
      <c r="E34" s="39">
        <f>(C34-D34)*1440</f>
        <v/>
      </c>
    </row>
    <row r="35">
      <c r="A35" t="n">
        <v>32</v>
      </c>
      <c r="B35" s="40" t="n">
        <v>46083</v>
      </c>
      <c r="C35" s="41" t="n">
        <v>0.3925710876736111</v>
      </c>
      <c r="D35" s="41" t="n">
        <v>0.3924869532638889</v>
      </c>
      <c r="E35" s="39">
        <f>(C35-D35)*1440</f>
        <v/>
      </c>
    </row>
    <row r="36">
      <c r="A36" t="n">
        <v>33</v>
      </c>
      <c r="B36" s="40" t="n">
        <v>46083</v>
      </c>
      <c r="C36" s="41" t="n">
        <v>0.3933478355439815</v>
      </c>
      <c r="D36" s="41" t="n">
        <v>0.3925710876736111</v>
      </c>
      <c r="E36" s="39">
        <f>(C36-D36)*1440</f>
        <v/>
      </c>
    </row>
    <row r="37">
      <c r="A37" t="n">
        <v>34</v>
      </c>
      <c r="B37" s="40" t="n">
        <v>46083</v>
      </c>
      <c r="C37" s="41" t="n">
        <v>0.3939188498263889</v>
      </c>
      <c r="D37" s="41" t="n">
        <v>0.3933478355439815</v>
      </c>
      <c r="E37" s="39">
        <f>(C37-D37)*1440</f>
        <v/>
      </c>
    </row>
    <row r="38">
      <c r="A38" t="n">
        <v>35</v>
      </c>
      <c r="B38" s="40" t="n">
        <v>46083</v>
      </c>
      <c r="C38" s="41" t="n">
        <v>0.3942417900231482</v>
      </c>
      <c r="D38" s="41" t="n">
        <v>0.3939188498263889</v>
      </c>
      <c r="E38" s="39">
        <f>(C38-D38)*1440</f>
        <v/>
      </c>
    </row>
    <row r="39">
      <c r="A39" t="n">
        <v>36</v>
      </c>
      <c r="B39" s="40" t="n">
        <v>46083</v>
      </c>
      <c r="C39" s="41" t="n">
        <v>0.3948571823611111</v>
      </c>
      <c r="D39" s="41" t="n">
        <v>0.3942417900231482</v>
      </c>
      <c r="E39" s="39">
        <f>(C39-D39)*1440</f>
        <v/>
      </c>
    </row>
    <row r="40">
      <c r="A40" t="n">
        <v>37</v>
      </c>
      <c r="B40" s="40" t="n">
        <v>46083</v>
      </c>
      <c r="C40" s="41" t="n">
        <v>0.3954725512847223</v>
      </c>
      <c r="D40" s="41" t="n">
        <v>0.3948571823611111</v>
      </c>
      <c r="E40" s="39">
        <f>(C40-D40)*1440</f>
        <v/>
      </c>
    </row>
    <row r="41">
      <c r="A41" t="n">
        <v>38</v>
      </c>
      <c r="B41" s="40" t="n">
        <v>46083</v>
      </c>
      <c r="C41" s="41" t="n">
        <v>0.3957275876736112</v>
      </c>
      <c r="D41" s="41" t="n">
        <v>0.3954725512847223</v>
      </c>
      <c r="E41" s="39">
        <f>(C41-D41)*1440</f>
        <v/>
      </c>
    </row>
    <row r="42">
      <c r="A42" t="n">
        <v>39</v>
      </c>
      <c r="B42" s="40" t="n">
        <v>46083</v>
      </c>
      <c r="C42" s="41" t="n">
        <v>0.3958000322685185</v>
      </c>
      <c r="D42" s="41" t="n">
        <v>0.3957275876736112</v>
      </c>
      <c r="E42" s="39">
        <f>(C42-D42)*1440</f>
        <v/>
      </c>
    </row>
    <row r="43">
      <c r="A43" t="n">
        <v>40</v>
      </c>
      <c r="B43" s="40" t="n">
        <v>46083</v>
      </c>
      <c r="C43" s="41" t="n">
        <v>0.3958357899421296</v>
      </c>
      <c r="D43" s="41" t="n">
        <v>0.3958000322685185</v>
      </c>
      <c r="E43" s="39">
        <f>(C43-D43)*1440</f>
        <v/>
      </c>
    </row>
    <row r="44">
      <c r="A44" t="n">
        <v>41</v>
      </c>
      <c r="B44" s="40" t="n">
        <v>46083</v>
      </c>
      <c r="C44" s="41" t="n">
        <v>0.395955892349537</v>
      </c>
      <c r="D44" s="41" t="n">
        <v>0.3958357899421296</v>
      </c>
      <c r="E44" s="39">
        <f>(C44-D44)*1440</f>
        <v/>
      </c>
    </row>
    <row r="45">
      <c r="A45" t="n">
        <v>42</v>
      </c>
      <c r="B45" s="40" t="n">
        <v>46083</v>
      </c>
      <c r="C45" s="41" t="n">
        <v>0.3960115737962963</v>
      </c>
      <c r="D45" s="41" t="n">
        <v>0.395955892349537</v>
      </c>
      <c r="E45" s="39">
        <f>(C45-D45)*1440</f>
        <v/>
      </c>
    </row>
    <row r="46">
      <c r="A46" t="n">
        <v>43</v>
      </c>
      <c r="B46" s="40" t="n">
        <v>46083</v>
      </c>
      <c r="C46" s="41" t="n">
        <v>0.3967015523148148</v>
      </c>
      <c r="D46" s="41" t="n">
        <v>0.3960115737962963</v>
      </c>
      <c r="E46" s="39">
        <f>(C46-D46)*1440</f>
        <v/>
      </c>
    </row>
    <row r="47">
      <c r="A47" t="n">
        <v>44</v>
      </c>
      <c r="B47" s="40" t="n">
        <v>46083</v>
      </c>
      <c r="C47" s="41" t="n">
        <v>0.3969949117476851</v>
      </c>
      <c r="D47" s="41" t="n">
        <v>0.3967015523148148</v>
      </c>
      <c r="E47" s="39">
        <f>(C47-D47)*1440</f>
        <v/>
      </c>
    </row>
    <row r="48">
      <c r="A48" t="n">
        <v>45</v>
      </c>
      <c r="B48" s="40" t="n">
        <v>46083</v>
      </c>
      <c r="C48" s="41" t="n">
        <v>0.3971362397106481</v>
      </c>
      <c r="D48" s="41" t="n">
        <v>0.3969949117476851</v>
      </c>
      <c r="E48" s="39">
        <f>(C48-D48)*1440</f>
        <v/>
      </c>
    </row>
    <row r="49">
      <c r="A49" t="n">
        <v>46</v>
      </c>
      <c r="B49" s="40" t="n">
        <v>46083</v>
      </c>
      <c r="C49" s="41" t="n">
        <v>0.3972928249768519</v>
      </c>
      <c r="D49" s="41" t="n">
        <v>0.3971362397106481</v>
      </c>
      <c r="E49" s="39">
        <f>(C49-D49)*1440</f>
        <v/>
      </c>
    </row>
    <row r="50">
      <c r="A50" t="n">
        <v>47</v>
      </c>
      <c r="B50" s="40" t="n">
        <v>46083</v>
      </c>
      <c r="C50" s="41" t="n">
        <v>0.3979772325694445</v>
      </c>
      <c r="D50" s="41" t="n">
        <v>0.3972928249768519</v>
      </c>
      <c r="E50" s="39">
        <f>(C50-D50)*1440</f>
        <v/>
      </c>
    </row>
    <row r="51">
      <c r="A51" t="n">
        <v>48</v>
      </c>
      <c r="B51" s="40" t="n">
        <v>46083</v>
      </c>
      <c r="C51" s="41" t="n">
        <v>0.3983742832407408</v>
      </c>
      <c r="D51" s="41" t="n">
        <v>0.3979772325694445</v>
      </c>
      <c r="E51" s="39">
        <f>(C51-D51)*1440</f>
        <v/>
      </c>
    </row>
    <row r="52">
      <c r="A52" t="n">
        <v>49</v>
      </c>
      <c r="B52" s="40" t="n">
        <v>46083</v>
      </c>
      <c r="C52" s="41" t="n">
        <v>0.3992137595717593</v>
      </c>
      <c r="D52" s="41" t="n">
        <v>0.3983742832407408</v>
      </c>
      <c r="E52" s="39">
        <f>(C52-D52)*1440</f>
        <v/>
      </c>
    </row>
    <row r="53">
      <c r="A53" t="n">
        <v>50</v>
      </c>
      <c r="B53" s="40" t="n">
        <v>46083</v>
      </c>
      <c r="C53" s="41" t="n">
        <v>0.3993184620717593</v>
      </c>
      <c r="D53" s="41" t="n">
        <v>0.3992137595717593</v>
      </c>
      <c r="E53" s="39">
        <f>(C53-D53)*1440</f>
        <v/>
      </c>
    </row>
    <row r="54">
      <c r="A54" t="n">
        <v>51</v>
      </c>
      <c r="B54" s="40" t="n">
        <v>46083</v>
      </c>
      <c r="C54" s="41" t="n">
        <v>0.4000461646875</v>
      </c>
      <c r="D54" s="41" t="n">
        <v>0.3993184620717593</v>
      </c>
      <c r="E54" s="39">
        <f>(C54-D54)*1440</f>
        <v/>
      </c>
    </row>
    <row r="55">
      <c r="A55" t="n">
        <v>52</v>
      </c>
      <c r="B55" s="40" t="n">
        <v>46083</v>
      </c>
      <c r="C55" s="41" t="n">
        <v>0.4004627486111111</v>
      </c>
      <c r="D55" s="41" t="n">
        <v>0.4000461646875</v>
      </c>
      <c r="E55" s="39">
        <f>(C55-D55)*1440</f>
        <v/>
      </c>
    </row>
    <row r="56">
      <c r="A56" t="n">
        <v>53</v>
      </c>
      <c r="B56" s="40" t="n">
        <v>46083</v>
      </c>
      <c r="C56" s="41" t="n">
        <v>0.4006639627893518</v>
      </c>
      <c r="D56" s="41" t="n">
        <v>0.4004627486111111</v>
      </c>
      <c r="E56" s="39">
        <f>(C56-D56)*1440</f>
        <v/>
      </c>
    </row>
    <row r="57">
      <c r="A57" t="n">
        <v>54</v>
      </c>
      <c r="B57" s="40" t="n">
        <v>46083</v>
      </c>
      <c r="C57" s="41" t="n">
        <v>0.4012211979166667</v>
      </c>
      <c r="D57" s="41" t="n">
        <v>0.4006639627893518</v>
      </c>
      <c r="E57" s="39">
        <f>(C57-D57)*1440</f>
        <v/>
      </c>
    </row>
    <row r="58">
      <c r="A58" t="n">
        <v>55</v>
      </c>
      <c r="B58" s="40" t="n">
        <v>46083</v>
      </c>
      <c r="C58" s="41" t="n">
        <v>0.4023747826736111</v>
      </c>
      <c r="D58" s="41" t="n">
        <v>0.4012211979166667</v>
      </c>
      <c r="E58" s="39">
        <f>(C58-D58)*1440</f>
        <v/>
      </c>
    </row>
    <row r="59">
      <c r="A59" t="n">
        <v>56</v>
      </c>
      <c r="B59" s="40" t="n">
        <v>46083</v>
      </c>
      <c r="C59" s="41" t="n">
        <v>0.4024045205671296</v>
      </c>
      <c r="D59" s="41" t="n">
        <v>0.4023747826736111</v>
      </c>
      <c r="E59" s="39">
        <f>(C59-D59)*1440</f>
        <v/>
      </c>
    </row>
    <row r="60">
      <c r="A60" t="n">
        <v>57</v>
      </c>
      <c r="B60" s="40" t="n">
        <v>46083</v>
      </c>
      <c r="C60" s="41" t="n">
        <v>0.4028261887152778</v>
      </c>
      <c r="D60" s="41" t="n">
        <v>0.4024045205671296</v>
      </c>
      <c r="E60" s="39">
        <f>(C60-D60)*1440</f>
        <v/>
      </c>
    </row>
    <row r="61">
      <c r="A61" t="n">
        <v>58</v>
      </c>
      <c r="B61" s="40" t="n">
        <v>46083</v>
      </c>
      <c r="C61" s="41" t="n">
        <v>0.4028300532060186</v>
      </c>
      <c r="D61" s="41" t="n">
        <v>0.4028261887152778</v>
      </c>
      <c r="E61" s="39">
        <f>(C61-D61)*1440</f>
        <v/>
      </c>
    </row>
    <row r="62">
      <c r="A62" t="n">
        <v>59</v>
      </c>
      <c r="B62" s="40" t="n">
        <v>46083</v>
      </c>
      <c r="C62" s="41" t="n">
        <v>0.4030381896759259</v>
      </c>
      <c r="D62" s="41" t="n">
        <v>0.4028300532060186</v>
      </c>
      <c r="E62" s="39">
        <f>(C62-D62)*1440</f>
        <v/>
      </c>
    </row>
    <row r="63">
      <c r="A63" t="n">
        <v>60</v>
      </c>
      <c r="B63" s="40" t="n">
        <v>46083</v>
      </c>
      <c r="C63" s="41" t="n">
        <v>0.4039959152083333</v>
      </c>
      <c r="D63" s="41" t="n">
        <v>0.4030381896759259</v>
      </c>
      <c r="E63" s="39">
        <f>(C63-D63)*1440</f>
        <v/>
      </c>
    </row>
    <row r="64">
      <c r="A64" t="n">
        <v>61</v>
      </c>
      <c r="B64" s="40" t="n">
        <v>46083</v>
      </c>
      <c r="C64" s="41" t="n">
        <v>0.4042996748842592</v>
      </c>
      <c r="D64" s="41" t="n">
        <v>0.4039959152083333</v>
      </c>
      <c r="E64" s="39">
        <f>(C64-D64)*1440</f>
        <v/>
      </c>
    </row>
    <row r="65">
      <c r="A65" t="n">
        <v>62</v>
      </c>
      <c r="B65" s="40" t="n">
        <v>46083</v>
      </c>
      <c r="C65" s="41" t="n">
        <v>0.4048146120833334</v>
      </c>
      <c r="D65" s="41" t="n">
        <v>0.4042996748842592</v>
      </c>
      <c r="E65" s="39">
        <f>(C65-D65)*1440</f>
        <v/>
      </c>
    </row>
    <row r="66">
      <c r="A66" t="n">
        <v>63</v>
      </c>
      <c r="B66" s="40" t="n">
        <v>46083</v>
      </c>
      <c r="C66" s="41" t="n">
        <v>0.4050673111111111</v>
      </c>
      <c r="D66" s="41" t="n">
        <v>0.4048146120833334</v>
      </c>
      <c r="E66" s="39">
        <f>(C66-D66)*1440</f>
        <v/>
      </c>
    </row>
    <row r="67">
      <c r="A67" t="n">
        <v>64</v>
      </c>
      <c r="B67" s="40" t="n">
        <v>46083</v>
      </c>
      <c r="C67" s="41" t="n">
        <v>0.4055900147916667</v>
      </c>
      <c r="D67" s="41" t="n">
        <v>0.4050673111111111</v>
      </c>
      <c r="E67" s="39">
        <f>(C67-D67)*1440</f>
        <v/>
      </c>
    </row>
    <row r="68">
      <c r="A68" t="n">
        <v>65</v>
      </c>
      <c r="B68" s="40" t="n">
        <v>46083</v>
      </c>
      <c r="C68" s="41" t="n">
        <v>0.4063581683101852</v>
      </c>
      <c r="D68" s="41" t="n">
        <v>0.4055900147916667</v>
      </c>
      <c r="E68" s="39">
        <f>(C68-D68)*1440</f>
        <v/>
      </c>
    </row>
    <row r="69">
      <c r="A69" t="n">
        <v>66</v>
      </c>
      <c r="B69" s="40" t="n">
        <v>46083</v>
      </c>
      <c r="C69" s="41" t="n">
        <v>0.4068012597916666</v>
      </c>
      <c r="D69" s="41" t="n">
        <v>0.4063581683101852</v>
      </c>
      <c r="E69" s="39">
        <f>(C69-D69)*1440</f>
        <v/>
      </c>
    </row>
    <row r="70">
      <c r="A70" t="n">
        <v>67</v>
      </c>
      <c r="B70" s="40" t="n">
        <v>46083</v>
      </c>
      <c r="C70" s="41" t="n">
        <v>0.4068178909953704</v>
      </c>
      <c r="D70" s="41" t="n">
        <v>0.4068012597916666</v>
      </c>
      <c r="E70" s="39">
        <f>(C70-D70)*1440</f>
        <v/>
      </c>
    </row>
    <row r="71">
      <c r="A71" t="n">
        <v>68</v>
      </c>
      <c r="B71" s="40" t="n">
        <v>46083</v>
      </c>
      <c r="C71" s="41" t="n">
        <v>0.4078644661226852</v>
      </c>
      <c r="D71" s="41" t="n">
        <v>0.4068178909953704</v>
      </c>
      <c r="E71" s="39">
        <f>(C71-D71)*1440</f>
        <v/>
      </c>
    </row>
    <row r="72">
      <c r="A72" t="n">
        <v>69</v>
      </c>
      <c r="B72" s="40" t="n">
        <v>46083</v>
      </c>
      <c r="C72" s="41" t="n">
        <v>0.4097444786111111</v>
      </c>
      <c r="D72" s="41" t="n">
        <v>0.4078644661226852</v>
      </c>
      <c r="E72" s="39">
        <f>(C72-D72)*1440</f>
        <v/>
      </c>
    </row>
    <row r="73">
      <c r="A73" t="n">
        <v>70</v>
      </c>
      <c r="B73" s="40" t="n">
        <v>46083</v>
      </c>
      <c r="C73" s="41" t="n">
        <v>0.4101534413888889</v>
      </c>
      <c r="D73" s="41" t="n">
        <v>0.4097444786111111</v>
      </c>
      <c r="E73" s="39">
        <f>(C73-D73)*1440</f>
        <v/>
      </c>
    </row>
    <row r="74">
      <c r="A74" t="n">
        <v>71</v>
      </c>
      <c r="B74" s="40" t="n">
        <v>46083</v>
      </c>
      <c r="C74" s="41" t="n">
        <v>0.4102210600115741</v>
      </c>
      <c r="D74" s="41" t="n">
        <v>0.4101534413888889</v>
      </c>
      <c r="E74" s="39">
        <f>(C74-D74)*1440</f>
        <v/>
      </c>
    </row>
    <row r="75">
      <c r="A75" t="n">
        <v>72</v>
      </c>
      <c r="B75" s="40" t="n">
        <v>46083</v>
      </c>
      <c r="C75" s="41" t="n">
        <v>0.4112940364467593</v>
      </c>
      <c r="D75" s="41" t="n">
        <v>0.4102210600115741</v>
      </c>
      <c r="E75" s="39">
        <f>(C75-D75)*1440</f>
        <v/>
      </c>
    </row>
    <row r="76">
      <c r="A76" t="n">
        <v>73</v>
      </c>
      <c r="B76" s="40" t="n">
        <v>46083</v>
      </c>
      <c r="C76" s="41" t="n">
        <v>0.412282472962963</v>
      </c>
      <c r="D76" s="41" t="n">
        <v>0.4112940364467593</v>
      </c>
      <c r="E76" s="39">
        <f>(C76-D76)*1440</f>
        <v/>
      </c>
    </row>
    <row r="77">
      <c r="A77" t="n">
        <v>74</v>
      </c>
      <c r="B77" s="40" t="n">
        <v>46083</v>
      </c>
      <c r="C77" s="41" t="n">
        <v>0.413411865625</v>
      </c>
      <c r="D77" s="41" t="n">
        <v>0.412282472962963</v>
      </c>
      <c r="E77" s="39">
        <f>(C77-D77)*1440</f>
        <v/>
      </c>
    </row>
    <row r="78">
      <c r="A78" t="n">
        <v>75</v>
      </c>
      <c r="B78" s="40" t="n">
        <v>46083</v>
      </c>
      <c r="C78" s="41" t="n">
        <v>0.4135509055787037</v>
      </c>
      <c r="D78" s="41" t="n">
        <v>0.413411865625</v>
      </c>
      <c r="E78" s="39">
        <f>(C78-D78)*1440</f>
        <v/>
      </c>
    </row>
    <row r="79">
      <c r="A79" t="n">
        <v>76</v>
      </c>
      <c r="B79" s="40" t="n">
        <v>46083</v>
      </c>
      <c r="C79" s="41" t="n">
        <v>0.4136499179976852</v>
      </c>
      <c r="D79" s="41" t="n">
        <v>0.4135509055787037</v>
      </c>
      <c r="E79" s="39">
        <f>(C79-D79)*1440</f>
        <v/>
      </c>
    </row>
    <row r="80">
      <c r="A80" t="n">
        <v>77</v>
      </c>
      <c r="B80" s="40" t="n">
        <v>46083</v>
      </c>
      <c r="C80" s="41" t="n">
        <v>0.4137156208449074</v>
      </c>
      <c r="D80" s="41" t="n">
        <v>0.4136499179976852</v>
      </c>
      <c r="E80" s="39">
        <f>(C80-D80)*1440</f>
        <v/>
      </c>
    </row>
    <row r="81">
      <c r="A81" t="n">
        <v>78</v>
      </c>
      <c r="B81" s="40" t="n">
        <v>46083</v>
      </c>
      <c r="C81" s="41" t="n">
        <v>0.4140113409837963</v>
      </c>
      <c r="D81" s="41" t="n">
        <v>0.4137156208449074</v>
      </c>
      <c r="E81" s="39">
        <f>(C81-D81)*1440</f>
        <v/>
      </c>
    </row>
    <row r="82">
      <c r="A82" t="n">
        <v>79</v>
      </c>
      <c r="B82" s="40" t="n">
        <v>46083</v>
      </c>
      <c r="C82" s="41" t="n">
        <v>0.4141713417939815</v>
      </c>
      <c r="D82" s="41" t="n">
        <v>0.4140113409837963</v>
      </c>
      <c r="E82" s="39">
        <f>(C82-D82)*1440</f>
        <v/>
      </c>
    </row>
    <row r="83">
      <c r="A83" t="n">
        <v>80</v>
      </c>
      <c r="B83" s="40" t="n">
        <v>46083</v>
      </c>
      <c r="C83" s="41" t="n">
        <v>0.4143651502662037</v>
      </c>
      <c r="D83" s="41" t="n">
        <v>0.4141713417939815</v>
      </c>
      <c r="E83" s="39">
        <f>(C83-D83)*1440</f>
        <v/>
      </c>
    </row>
    <row r="84">
      <c r="A84" t="n">
        <v>81</v>
      </c>
      <c r="B84" s="40" t="n">
        <v>46083</v>
      </c>
      <c r="C84" s="41" t="n">
        <v>0.4149996968865741</v>
      </c>
      <c r="D84" s="41" t="n">
        <v>0.4143651502662037</v>
      </c>
      <c r="E84" s="39">
        <f>(C84-D84)*1440</f>
        <v/>
      </c>
    </row>
    <row r="85">
      <c r="A85" t="n">
        <v>82</v>
      </c>
      <c r="B85" s="40" t="n">
        <v>46083</v>
      </c>
      <c r="C85" s="41" t="n">
        <v>0.415910160925926</v>
      </c>
      <c r="D85" s="41" t="n">
        <v>0.4149996968865741</v>
      </c>
      <c r="E85" s="39">
        <f>(C85-D85)*1440</f>
        <v/>
      </c>
    </row>
    <row r="86">
      <c r="A86" t="n">
        <v>83</v>
      </c>
      <c r="B86" s="40" t="n">
        <v>46084</v>
      </c>
      <c r="C86" s="41" t="n">
        <v>0.3762115384490741</v>
      </c>
      <c r="D86" s="41" t="n">
        <v>0.3750373557060185</v>
      </c>
      <c r="E86" s="39">
        <f>(C86-D86)*1440</f>
        <v/>
      </c>
    </row>
    <row r="87">
      <c r="A87" t="n">
        <v>84</v>
      </c>
      <c r="B87" s="40" t="n">
        <v>46084</v>
      </c>
      <c r="C87" s="41" t="n">
        <v>0.3762691599652778</v>
      </c>
      <c r="D87" s="41" t="n">
        <v>0.3762115384490741</v>
      </c>
      <c r="E87" s="39">
        <f>(C87-D87)*1440</f>
        <v/>
      </c>
    </row>
    <row r="88">
      <c r="A88" t="n">
        <v>85</v>
      </c>
      <c r="B88" s="40" t="n">
        <v>46084</v>
      </c>
      <c r="C88" s="41" t="n">
        <v>0.3775195569444444</v>
      </c>
      <c r="D88" s="41" t="n">
        <v>0.3762691599652778</v>
      </c>
      <c r="E88" s="39">
        <f>(C88-D88)*1440</f>
        <v/>
      </c>
    </row>
    <row r="89">
      <c r="A89" t="n">
        <v>86</v>
      </c>
      <c r="B89" s="40" t="n">
        <v>46084</v>
      </c>
      <c r="C89" s="41" t="n">
        <v>0.3793078890856481</v>
      </c>
      <c r="D89" s="41" t="n">
        <v>0.3775195569444444</v>
      </c>
      <c r="E89" s="39">
        <f>(C89-D89)*1440</f>
        <v/>
      </c>
    </row>
    <row r="90">
      <c r="A90" t="n">
        <v>87</v>
      </c>
      <c r="B90" s="40" t="n">
        <v>46084</v>
      </c>
      <c r="C90" s="41" t="n">
        <v>0.3793308542476852</v>
      </c>
      <c r="D90" s="41" t="n">
        <v>0.3793078890856481</v>
      </c>
      <c r="E90" s="39">
        <f>(C90-D90)*1440</f>
        <v/>
      </c>
    </row>
    <row r="91">
      <c r="A91" t="n">
        <v>88</v>
      </c>
      <c r="B91" s="40" t="n">
        <v>46084</v>
      </c>
      <c r="C91" s="41" t="n">
        <v>0.3793478269328703</v>
      </c>
      <c r="D91" s="41" t="n">
        <v>0.3793308542476852</v>
      </c>
      <c r="E91" s="39">
        <f>(C91-D91)*1440</f>
        <v/>
      </c>
    </row>
    <row r="92">
      <c r="A92" t="n">
        <v>89</v>
      </c>
      <c r="B92" s="40" t="n">
        <v>46084</v>
      </c>
      <c r="C92" s="41" t="n">
        <v>0.3804771256018519</v>
      </c>
      <c r="D92" s="41" t="n">
        <v>0.3793478269328703</v>
      </c>
      <c r="E92" s="39">
        <f>(C92-D92)*1440</f>
        <v/>
      </c>
    </row>
    <row r="93">
      <c r="A93" t="n">
        <v>90</v>
      </c>
      <c r="B93" s="40" t="n">
        <v>46084</v>
      </c>
      <c r="C93" s="41" t="n">
        <v>0.3805078146180555</v>
      </c>
      <c r="D93" s="41" t="n">
        <v>0.3804771256018519</v>
      </c>
      <c r="E93" s="39">
        <f>(C93-D93)*1440</f>
        <v/>
      </c>
    </row>
    <row r="94">
      <c r="A94" t="n">
        <v>91</v>
      </c>
      <c r="B94" s="40" t="n">
        <v>46084</v>
      </c>
      <c r="C94" s="41" t="n">
        <v>0.3808345857291666</v>
      </c>
      <c r="D94" s="41" t="n">
        <v>0.3805078146180555</v>
      </c>
      <c r="E94" s="39">
        <f>(C94-D94)*1440</f>
        <v/>
      </c>
    </row>
    <row r="95">
      <c r="A95" t="n">
        <v>92</v>
      </c>
      <c r="B95" s="40" t="n">
        <v>46084</v>
      </c>
      <c r="C95" s="41" t="n">
        <v>0.3813062809722222</v>
      </c>
      <c r="D95" s="41" t="n">
        <v>0.3808345857291666</v>
      </c>
      <c r="E95" s="39">
        <f>(C95-D95)*1440</f>
        <v/>
      </c>
    </row>
    <row r="96">
      <c r="A96" t="n">
        <v>93</v>
      </c>
      <c r="B96" s="40" t="n">
        <v>46084</v>
      </c>
      <c r="C96" s="41" t="n">
        <v>0.3817369951736111</v>
      </c>
      <c r="D96" s="41" t="n">
        <v>0.3813062809722222</v>
      </c>
      <c r="E96" s="39">
        <f>(C96-D96)*1440</f>
        <v/>
      </c>
    </row>
    <row r="97">
      <c r="A97" t="n">
        <v>94</v>
      </c>
      <c r="B97" s="40" t="n">
        <v>46084</v>
      </c>
      <c r="C97" s="41" t="n">
        <v>0.3821274783796296</v>
      </c>
      <c r="D97" s="41" t="n">
        <v>0.3817369951736111</v>
      </c>
      <c r="E97" s="39">
        <f>(C97-D97)*1440</f>
        <v/>
      </c>
    </row>
    <row r="98">
      <c r="A98" t="n">
        <v>95</v>
      </c>
      <c r="B98" s="40" t="n">
        <v>46084</v>
      </c>
      <c r="C98" s="41" t="n">
        <v>0.3830664700694444</v>
      </c>
      <c r="D98" s="41" t="n">
        <v>0.3821274783796296</v>
      </c>
      <c r="E98" s="39">
        <f>(C98-D98)*1440</f>
        <v/>
      </c>
    </row>
    <row r="99">
      <c r="A99" t="n">
        <v>96</v>
      </c>
      <c r="B99" s="40" t="n">
        <v>46084</v>
      </c>
      <c r="C99" s="41" t="n">
        <v>0.3831508826736111</v>
      </c>
      <c r="D99" s="41" t="n">
        <v>0.3830664700694444</v>
      </c>
      <c r="E99" s="39">
        <f>(C99-D99)*1440</f>
        <v/>
      </c>
    </row>
    <row r="100">
      <c r="A100" t="n">
        <v>97</v>
      </c>
      <c r="B100" s="40" t="n">
        <v>46084</v>
      </c>
      <c r="C100" s="41" t="n">
        <v>0.3831668791435185</v>
      </c>
      <c r="D100" s="41" t="n">
        <v>0.3831508826736111</v>
      </c>
      <c r="E100" s="39">
        <f>(C100-D100)*1440</f>
        <v/>
      </c>
    </row>
    <row r="101">
      <c r="A101" t="n">
        <v>98</v>
      </c>
      <c r="B101" s="40" t="n">
        <v>46084</v>
      </c>
      <c r="C101" s="41" t="n">
        <v>0.3833537731597222</v>
      </c>
      <c r="D101" s="41" t="n">
        <v>0.3831668791435185</v>
      </c>
      <c r="E101" s="39">
        <f>(C101-D101)*1440</f>
        <v/>
      </c>
    </row>
    <row r="102">
      <c r="A102" t="n">
        <v>99</v>
      </c>
      <c r="B102" s="40" t="n">
        <v>46084</v>
      </c>
      <c r="C102" s="41" t="n">
        <v>0.3839950963657408</v>
      </c>
      <c r="D102" s="41" t="n">
        <v>0.3833537731597222</v>
      </c>
      <c r="E102" s="39">
        <f>(C102-D102)*1440</f>
        <v/>
      </c>
    </row>
    <row r="103">
      <c r="A103" t="n">
        <v>100</v>
      </c>
      <c r="B103" s="40" t="n">
        <v>46084</v>
      </c>
      <c r="C103" s="41" t="n">
        <v>0.3849051032175926</v>
      </c>
      <c r="D103" s="41" t="n">
        <v>0.3839950963657408</v>
      </c>
      <c r="E103" s="39">
        <f>(C103-D103)*1440</f>
        <v/>
      </c>
    </row>
    <row r="104">
      <c r="A104" t="n">
        <v>101</v>
      </c>
      <c r="B104" s="40" t="n">
        <v>46084</v>
      </c>
      <c r="C104" s="41" t="n">
        <v>0.3853269249189815</v>
      </c>
      <c r="D104" s="41" t="n">
        <v>0.3849051032175926</v>
      </c>
      <c r="E104" s="39">
        <f>(C104-D104)*1440</f>
        <v/>
      </c>
    </row>
    <row r="105">
      <c r="A105" t="n">
        <v>102</v>
      </c>
      <c r="B105" s="40" t="n">
        <v>46084</v>
      </c>
      <c r="C105" s="41" t="n">
        <v>0.3866653558796296</v>
      </c>
      <c r="D105" s="41" t="n">
        <v>0.3853269249189815</v>
      </c>
      <c r="E105" s="39">
        <f>(C105-D105)*1440</f>
        <v/>
      </c>
    </row>
    <row r="106">
      <c r="A106" t="n">
        <v>103</v>
      </c>
      <c r="B106" s="40" t="n">
        <v>46084</v>
      </c>
      <c r="C106" s="41" t="n">
        <v>0.3870054491435185</v>
      </c>
      <c r="D106" s="41" t="n">
        <v>0.3866653558796296</v>
      </c>
      <c r="E106" s="39">
        <f>(C106-D106)*1440</f>
        <v/>
      </c>
    </row>
    <row r="107">
      <c r="A107" t="n">
        <v>104</v>
      </c>
      <c r="B107" s="40" t="n">
        <v>46084</v>
      </c>
      <c r="C107" s="41" t="n">
        <v>0.3878602670486112</v>
      </c>
      <c r="D107" s="41" t="n">
        <v>0.3870054491435185</v>
      </c>
      <c r="E107" s="39">
        <f>(C107-D107)*1440</f>
        <v/>
      </c>
    </row>
    <row r="108">
      <c r="A108" t="n">
        <v>105</v>
      </c>
      <c r="B108" s="40" t="n">
        <v>46084</v>
      </c>
      <c r="C108" s="41" t="n">
        <v>0.3880266469328704</v>
      </c>
      <c r="D108" s="41" t="n">
        <v>0.3878602670486112</v>
      </c>
      <c r="E108" s="39">
        <f>(C108-D108)*1440</f>
        <v/>
      </c>
    </row>
    <row r="109">
      <c r="A109" t="n">
        <v>106</v>
      </c>
      <c r="B109" s="40" t="n">
        <v>46084</v>
      </c>
      <c r="C109" s="41" t="n">
        <v>0.3883265659375</v>
      </c>
      <c r="D109" s="41" t="n">
        <v>0.3880266469328704</v>
      </c>
      <c r="E109" s="39">
        <f>(C109-D109)*1440</f>
        <v/>
      </c>
    </row>
    <row r="110">
      <c r="A110" t="n">
        <v>107</v>
      </c>
      <c r="B110" s="40" t="n">
        <v>46084</v>
      </c>
      <c r="C110" s="41" t="n">
        <v>0.388441752349537</v>
      </c>
      <c r="D110" s="41" t="n">
        <v>0.3883265659375</v>
      </c>
      <c r="E110" s="39">
        <f>(C110-D110)*1440</f>
        <v/>
      </c>
    </row>
    <row r="111">
      <c r="A111" t="n">
        <v>108</v>
      </c>
      <c r="B111" s="40" t="n">
        <v>46084</v>
      </c>
      <c r="C111" s="41" t="n">
        <v>0.3902656604398148</v>
      </c>
      <c r="D111" s="41" t="n">
        <v>0.388441752349537</v>
      </c>
      <c r="E111" s="39">
        <f>(C111-D111)*1440</f>
        <v/>
      </c>
    </row>
    <row r="112">
      <c r="A112" t="n">
        <v>109</v>
      </c>
      <c r="B112" s="40" t="n">
        <v>46084</v>
      </c>
      <c r="C112" s="41" t="n">
        <v>0.3906250652662037</v>
      </c>
      <c r="D112" s="41" t="n">
        <v>0.3902656604398148</v>
      </c>
      <c r="E112" s="39">
        <f>(C112-D112)*1440</f>
        <v/>
      </c>
    </row>
    <row r="113">
      <c r="A113" t="n">
        <v>110</v>
      </c>
      <c r="B113" s="40" t="n">
        <v>46084</v>
      </c>
      <c r="C113" s="41" t="n">
        <v>0.3907542545254629</v>
      </c>
      <c r="D113" s="41" t="n">
        <v>0.3906250652662037</v>
      </c>
      <c r="E113" s="39">
        <f>(C113-D113)*1440</f>
        <v/>
      </c>
    </row>
    <row r="114">
      <c r="A114" t="n">
        <v>111</v>
      </c>
      <c r="B114" s="40" t="n">
        <v>46084</v>
      </c>
      <c r="C114" s="41" t="n">
        <v>0.3907813806134259</v>
      </c>
      <c r="D114" s="41" t="n">
        <v>0.3907542545254629</v>
      </c>
      <c r="E114" s="39">
        <f>(C114-D114)*1440</f>
        <v/>
      </c>
    </row>
    <row r="115">
      <c r="A115" t="n">
        <v>112</v>
      </c>
      <c r="B115" s="40" t="n">
        <v>46084</v>
      </c>
      <c r="C115" s="41" t="n">
        <v>0.3909452891898148</v>
      </c>
      <c r="D115" s="41" t="n">
        <v>0.3907813806134259</v>
      </c>
      <c r="E115" s="39">
        <f>(C115-D115)*1440</f>
        <v/>
      </c>
    </row>
    <row r="116">
      <c r="A116" t="n">
        <v>113</v>
      </c>
      <c r="B116" s="40" t="n">
        <v>46084</v>
      </c>
      <c r="C116" s="41" t="n">
        <v>0.3914334443981481</v>
      </c>
      <c r="D116" s="41" t="n">
        <v>0.3909452891898148</v>
      </c>
      <c r="E116" s="39">
        <f>(C116-D116)*1440</f>
        <v/>
      </c>
    </row>
    <row r="117">
      <c r="A117" t="n">
        <v>114</v>
      </c>
      <c r="B117" s="40" t="n">
        <v>46084</v>
      </c>
      <c r="C117" s="41" t="n">
        <v>0.3915789681481482</v>
      </c>
      <c r="D117" s="41" t="n">
        <v>0.3914334443981481</v>
      </c>
      <c r="E117" s="39">
        <f>(C117-D117)*1440</f>
        <v/>
      </c>
    </row>
    <row r="118">
      <c r="A118" t="n">
        <v>115</v>
      </c>
      <c r="B118" s="40" t="n">
        <v>46084</v>
      </c>
      <c r="C118" s="41" t="n">
        <v>0.3918458097685185</v>
      </c>
      <c r="D118" s="41" t="n">
        <v>0.3915789681481482</v>
      </c>
      <c r="E118" s="39">
        <f>(C118-D118)*1440</f>
        <v/>
      </c>
    </row>
    <row r="119">
      <c r="A119" t="n">
        <v>116</v>
      </c>
      <c r="B119" s="40" t="n">
        <v>46084</v>
      </c>
      <c r="C119" s="41" t="n">
        <v>0.3923904730787037</v>
      </c>
      <c r="D119" s="41" t="n">
        <v>0.3918458097685185</v>
      </c>
      <c r="E119" s="39">
        <f>(C119-D119)*1440</f>
        <v/>
      </c>
    </row>
    <row r="120">
      <c r="A120" t="n">
        <v>117</v>
      </c>
      <c r="B120" s="40" t="n">
        <v>46084</v>
      </c>
      <c r="C120" s="41" t="n">
        <v>0.3925039895833333</v>
      </c>
      <c r="D120" s="41" t="n">
        <v>0.3923904730787037</v>
      </c>
      <c r="E120" s="39">
        <f>(C120-D120)*1440</f>
        <v/>
      </c>
    </row>
    <row r="121">
      <c r="A121" t="n">
        <v>118</v>
      </c>
      <c r="B121" s="40" t="n">
        <v>46084</v>
      </c>
      <c r="C121" s="41" t="n">
        <v>0.392696299675926</v>
      </c>
      <c r="D121" s="41" t="n">
        <v>0.3925039895833333</v>
      </c>
      <c r="E121" s="39">
        <f>(C121-D121)*1440</f>
        <v/>
      </c>
    </row>
    <row r="122">
      <c r="A122" t="n">
        <v>119</v>
      </c>
      <c r="B122" s="40" t="n">
        <v>46084</v>
      </c>
      <c r="C122" s="41" t="n">
        <v>0.3927383305439815</v>
      </c>
      <c r="D122" s="41" t="n">
        <v>0.392696299675926</v>
      </c>
      <c r="E122" s="39">
        <f>(C122-D122)*1440</f>
        <v/>
      </c>
    </row>
    <row r="123">
      <c r="A123" t="n">
        <v>120</v>
      </c>
      <c r="B123" s="40" t="n">
        <v>46084</v>
      </c>
      <c r="C123" s="41" t="n">
        <v>0.3928201986921296</v>
      </c>
      <c r="D123" s="41" t="n">
        <v>0.3927383305439815</v>
      </c>
      <c r="E123" s="39">
        <f>(C123-D123)*1440</f>
        <v/>
      </c>
    </row>
    <row r="124">
      <c r="A124" t="n">
        <v>121</v>
      </c>
      <c r="B124" s="40" t="n">
        <v>46084</v>
      </c>
      <c r="C124" s="41" t="n">
        <v>0.3929107675694444</v>
      </c>
      <c r="D124" s="41" t="n">
        <v>0.3928201986921296</v>
      </c>
      <c r="E124" s="39">
        <f>(C124-D124)*1440</f>
        <v/>
      </c>
    </row>
    <row r="125">
      <c r="A125" t="n">
        <v>122</v>
      </c>
      <c r="B125" s="40" t="n">
        <v>46084</v>
      </c>
      <c r="C125" s="41" t="n">
        <v>0.3930282428935185</v>
      </c>
      <c r="D125" s="41" t="n">
        <v>0.3929107675694444</v>
      </c>
      <c r="E125" s="39">
        <f>(C125-D125)*1440</f>
        <v/>
      </c>
    </row>
    <row r="126">
      <c r="A126" t="n">
        <v>123</v>
      </c>
      <c r="B126" s="40" t="n">
        <v>46084</v>
      </c>
      <c r="C126" s="41" t="n">
        <v>0.3937875172916667</v>
      </c>
      <c r="D126" s="41" t="n">
        <v>0.3930282428935185</v>
      </c>
      <c r="E126" s="39">
        <f>(C126-D126)*1440</f>
        <v/>
      </c>
    </row>
    <row r="127">
      <c r="A127" t="n">
        <v>124</v>
      </c>
      <c r="B127" s="40" t="n">
        <v>46084</v>
      </c>
      <c r="C127" s="41" t="n">
        <v>0.394099925324074</v>
      </c>
      <c r="D127" s="41" t="n">
        <v>0.3937875172916667</v>
      </c>
      <c r="E127" s="39">
        <f>(C127-D127)*1440</f>
        <v/>
      </c>
    </row>
    <row r="128">
      <c r="A128" t="n">
        <v>125</v>
      </c>
      <c r="B128" s="40" t="n">
        <v>46084</v>
      </c>
      <c r="C128" s="41" t="n">
        <v>0.3951832089930555</v>
      </c>
      <c r="D128" s="41" t="n">
        <v>0.394099925324074</v>
      </c>
      <c r="E128" s="39">
        <f>(C128-D128)*1440</f>
        <v/>
      </c>
    </row>
    <row r="129">
      <c r="A129" t="n">
        <v>126</v>
      </c>
      <c r="B129" s="40" t="n">
        <v>46084</v>
      </c>
      <c r="C129" s="41" t="n">
        <v>0.3972992964351852</v>
      </c>
      <c r="D129" s="41" t="n">
        <v>0.3951832089930555</v>
      </c>
      <c r="E129" s="39">
        <f>(C129-D129)*1440</f>
        <v/>
      </c>
    </row>
    <row r="130">
      <c r="A130" t="n">
        <v>127</v>
      </c>
      <c r="B130" s="40" t="n">
        <v>46084</v>
      </c>
      <c r="C130" s="41" t="n">
        <v>0.3978573998263889</v>
      </c>
      <c r="D130" s="41" t="n">
        <v>0.3972992964351852</v>
      </c>
      <c r="E130" s="39">
        <f>(C130-D130)*1440</f>
        <v/>
      </c>
    </row>
    <row r="131">
      <c r="A131" t="n">
        <v>128</v>
      </c>
      <c r="B131" s="40" t="n">
        <v>46084</v>
      </c>
      <c r="C131" s="41" t="n">
        <v>0.3989160512847222</v>
      </c>
      <c r="D131" s="41" t="n">
        <v>0.3978573998263889</v>
      </c>
      <c r="E131" s="39">
        <f>(C131-D131)*1440</f>
        <v/>
      </c>
    </row>
    <row r="132">
      <c r="A132" t="n">
        <v>129</v>
      </c>
      <c r="B132" s="40" t="n">
        <v>46084</v>
      </c>
      <c r="C132" s="41" t="n">
        <v>0.3995270107523148</v>
      </c>
      <c r="D132" s="41" t="n">
        <v>0.3989160512847222</v>
      </c>
      <c r="E132" s="39">
        <f>(C132-D132)*1440</f>
        <v/>
      </c>
    </row>
    <row r="133">
      <c r="A133" t="n">
        <v>130</v>
      </c>
      <c r="B133" s="40" t="n">
        <v>46084</v>
      </c>
      <c r="C133" s="41" t="n">
        <v>0.399782795949074</v>
      </c>
      <c r="D133" s="41" t="n">
        <v>0.3995270107523148</v>
      </c>
      <c r="E133" s="39">
        <f>(C133-D133)*1440</f>
        <v/>
      </c>
    </row>
    <row r="134">
      <c r="A134" t="n">
        <v>131</v>
      </c>
      <c r="B134" s="40" t="n">
        <v>46084</v>
      </c>
      <c r="C134" s="41" t="n">
        <v>0.3999789953125</v>
      </c>
      <c r="D134" s="41" t="n">
        <v>0.399782795949074</v>
      </c>
      <c r="E134" s="39">
        <f>(C134-D134)*1440</f>
        <v/>
      </c>
    </row>
    <row r="135">
      <c r="A135" t="n">
        <v>132</v>
      </c>
      <c r="B135" s="40" t="n">
        <v>46084</v>
      </c>
      <c r="C135" s="41" t="n">
        <v>0.4006690623842593</v>
      </c>
      <c r="D135" s="41" t="n">
        <v>0.3999789953125</v>
      </c>
      <c r="E135" s="39">
        <f>(C135-D135)*1440</f>
        <v/>
      </c>
    </row>
    <row r="136">
      <c r="A136" t="n">
        <v>133</v>
      </c>
      <c r="B136" s="40" t="n">
        <v>46084</v>
      </c>
      <c r="C136" s="41" t="n">
        <v>0.4011013570370371</v>
      </c>
      <c r="D136" s="41" t="n">
        <v>0.4006690623842593</v>
      </c>
      <c r="E136" s="39">
        <f>(C136-D136)*1440</f>
        <v/>
      </c>
    </row>
    <row r="137">
      <c r="A137" t="n">
        <v>134</v>
      </c>
      <c r="B137" s="40" t="n">
        <v>46084</v>
      </c>
      <c r="C137" s="41" t="n">
        <v>0.4013434884375</v>
      </c>
      <c r="D137" s="41" t="n">
        <v>0.4011013570370371</v>
      </c>
      <c r="E137" s="39">
        <f>(C137-D137)*1440</f>
        <v/>
      </c>
    </row>
    <row r="138">
      <c r="A138" t="n">
        <v>135</v>
      </c>
      <c r="B138" s="40" t="n">
        <v>46084</v>
      </c>
      <c r="C138" s="41" t="n">
        <v>0.4017092374305556</v>
      </c>
      <c r="D138" s="41" t="n">
        <v>0.4013434884375</v>
      </c>
      <c r="E138" s="39">
        <f>(C138-D138)*1440</f>
        <v/>
      </c>
    </row>
    <row r="139">
      <c r="A139" t="n">
        <v>136</v>
      </c>
      <c r="B139" s="40" t="n">
        <v>46084</v>
      </c>
      <c r="C139" s="41" t="n">
        <v>0.4024777486689815</v>
      </c>
      <c r="D139" s="41" t="n">
        <v>0.4017092374305556</v>
      </c>
      <c r="E139" s="39">
        <f>(C139-D139)*1440</f>
        <v/>
      </c>
    </row>
    <row r="140">
      <c r="A140" t="n">
        <v>137</v>
      </c>
      <c r="B140" s="40" t="n">
        <v>46084</v>
      </c>
      <c r="C140" s="41" t="n">
        <v>0.4024813341435185</v>
      </c>
      <c r="D140" s="41" t="n">
        <v>0.4024777486689815</v>
      </c>
      <c r="E140" s="39">
        <f>(C140-D140)*1440</f>
        <v/>
      </c>
    </row>
    <row r="141">
      <c r="A141" t="n">
        <v>138</v>
      </c>
      <c r="B141" s="40" t="n">
        <v>46084</v>
      </c>
      <c r="C141" s="41" t="n">
        <v>0.4053399721064815</v>
      </c>
      <c r="D141" s="41" t="n">
        <v>0.4024813341435185</v>
      </c>
      <c r="E141" s="39">
        <f>(C141-D141)*1440</f>
        <v/>
      </c>
    </row>
    <row r="142">
      <c r="A142" t="n">
        <v>139</v>
      </c>
      <c r="B142" s="40" t="n">
        <v>46084</v>
      </c>
      <c r="C142" s="41" t="n">
        <v>0.4057902002430556</v>
      </c>
      <c r="D142" s="41" t="n">
        <v>0.4053399721064815</v>
      </c>
      <c r="E142" s="39">
        <f>(C142-D142)*1440</f>
        <v/>
      </c>
    </row>
    <row r="143">
      <c r="A143" t="n">
        <v>140</v>
      </c>
      <c r="B143" s="40" t="n">
        <v>46084</v>
      </c>
      <c r="C143" s="41" t="n">
        <v>0.4066907216666666</v>
      </c>
      <c r="D143" s="41" t="n">
        <v>0.4057902002430556</v>
      </c>
      <c r="E143" s="39">
        <f>(C143-D143)*1440</f>
        <v/>
      </c>
    </row>
    <row r="144">
      <c r="A144" t="n">
        <v>141</v>
      </c>
      <c r="B144" s="40" t="n">
        <v>46084</v>
      </c>
      <c r="C144" s="41" t="n">
        <v>0.4067137141319444</v>
      </c>
      <c r="D144" s="41" t="n">
        <v>0.4066907216666666</v>
      </c>
      <c r="E144" s="39">
        <f>(C144-D144)*1440</f>
        <v/>
      </c>
    </row>
    <row r="145">
      <c r="A145" t="n">
        <v>142</v>
      </c>
      <c r="B145" s="40" t="n">
        <v>46084</v>
      </c>
      <c r="C145" s="41" t="n">
        <v>0.4069977528009259</v>
      </c>
      <c r="D145" s="41" t="n">
        <v>0.4067137141319444</v>
      </c>
      <c r="E145" s="39">
        <f>(C145-D145)*1440</f>
        <v/>
      </c>
    </row>
    <row r="146">
      <c r="A146" t="n">
        <v>143</v>
      </c>
      <c r="B146" s="40" t="n">
        <v>46084</v>
      </c>
      <c r="C146" s="41" t="n">
        <v>0.4071889551736111</v>
      </c>
      <c r="D146" s="41" t="n">
        <v>0.4069977528009259</v>
      </c>
      <c r="E146" s="39">
        <f>(C146-D146)*1440</f>
        <v/>
      </c>
    </row>
    <row r="147">
      <c r="A147" t="n">
        <v>144</v>
      </c>
      <c r="B147" s="40" t="n">
        <v>46084</v>
      </c>
      <c r="C147" s="41" t="n">
        <v>0.4092680175925926</v>
      </c>
      <c r="D147" s="41" t="n">
        <v>0.4071889551736111</v>
      </c>
      <c r="E147" s="39">
        <f>(C147-D147)*1440</f>
        <v/>
      </c>
    </row>
    <row r="148">
      <c r="A148" t="n">
        <v>145</v>
      </c>
      <c r="B148" s="40" t="n">
        <v>46084</v>
      </c>
      <c r="C148" s="41" t="n">
        <v>0.4093458965972222</v>
      </c>
      <c r="D148" s="41" t="n">
        <v>0.4092680175925926</v>
      </c>
      <c r="E148" s="39">
        <f>(C148-D148)*1440</f>
        <v/>
      </c>
    </row>
    <row r="149">
      <c r="A149" t="n">
        <v>146</v>
      </c>
      <c r="B149" s="40" t="n">
        <v>46084</v>
      </c>
      <c r="C149" s="41" t="n">
        <v>0.4093855686458334</v>
      </c>
      <c r="D149" s="41" t="n">
        <v>0.4093458965972222</v>
      </c>
      <c r="E149" s="39">
        <f>(C149-D149)*1440</f>
        <v/>
      </c>
    </row>
    <row r="150">
      <c r="A150" t="n">
        <v>147</v>
      </c>
      <c r="B150" s="40" t="n">
        <v>46084</v>
      </c>
      <c r="C150" s="41" t="n">
        <v>0.4096731310532407</v>
      </c>
      <c r="D150" s="41" t="n">
        <v>0.4093855686458334</v>
      </c>
      <c r="E150" s="39">
        <f>(C150-D150)*1440</f>
        <v/>
      </c>
    </row>
    <row r="151">
      <c r="A151" t="n">
        <v>148</v>
      </c>
      <c r="B151" s="40" t="n">
        <v>46084</v>
      </c>
      <c r="C151" s="41" t="n">
        <v>0.4100040687615741</v>
      </c>
      <c r="D151" s="41" t="n">
        <v>0.4096731310532407</v>
      </c>
      <c r="E151" s="39">
        <f>(C151-D151)*1440</f>
        <v/>
      </c>
    </row>
    <row r="152">
      <c r="A152" t="n">
        <v>149</v>
      </c>
      <c r="B152" s="40" t="n">
        <v>46084</v>
      </c>
      <c r="C152" s="41" t="n">
        <v>0.410520840150463</v>
      </c>
      <c r="D152" s="41" t="n">
        <v>0.4100040687615741</v>
      </c>
      <c r="E152" s="39">
        <f>(C152-D152)*1440</f>
        <v/>
      </c>
    </row>
    <row r="153">
      <c r="A153" t="n">
        <v>150</v>
      </c>
      <c r="B153" s="40" t="n">
        <v>46084</v>
      </c>
      <c r="C153" s="41" t="n">
        <v>0.410676580011574</v>
      </c>
      <c r="D153" s="41" t="n">
        <v>0.410520840150463</v>
      </c>
      <c r="E153" s="39">
        <f>(C153-D153)*1440</f>
        <v/>
      </c>
    </row>
    <row r="154">
      <c r="A154" t="n">
        <v>151</v>
      </c>
      <c r="B154" s="40" t="n">
        <v>46084</v>
      </c>
      <c r="C154" s="41" t="n">
        <v>0.4109638683101852</v>
      </c>
      <c r="D154" s="41" t="n">
        <v>0.410676580011574</v>
      </c>
      <c r="E154" s="39">
        <f>(C154-D154)*1440</f>
        <v/>
      </c>
    </row>
    <row r="155">
      <c r="A155" t="n">
        <v>152</v>
      </c>
      <c r="B155" s="40" t="n">
        <v>46084</v>
      </c>
      <c r="C155" s="41" t="n">
        <v>0.4111347589699074</v>
      </c>
      <c r="D155" s="41" t="n">
        <v>0.4109638683101852</v>
      </c>
      <c r="E155" s="39">
        <f>(C155-D155)*1440</f>
        <v/>
      </c>
    </row>
    <row r="156">
      <c r="A156" t="n">
        <v>153</v>
      </c>
      <c r="B156" s="40" t="n">
        <v>46084</v>
      </c>
      <c r="C156" s="41" t="n">
        <v>0.411659477650463</v>
      </c>
      <c r="D156" s="41" t="n">
        <v>0.4111347589699074</v>
      </c>
      <c r="E156" s="39">
        <f>(C156-D156)*1440</f>
        <v/>
      </c>
    </row>
    <row r="157">
      <c r="A157" t="n">
        <v>154</v>
      </c>
      <c r="B157" s="40" t="n">
        <v>46084</v>
      </c>
      <c r="C157" s="41" t="n">
        <v>0.4129269646412037</v>
      </c>
      <c r="D157" s="41" t="n">
        <v>0.411659477650463</v>
      </c>
      <c r="E157" s="39">
        <f>(C157-D157)*1440</f>
        <v/>
      </c>
    </row>
    <row r="158">
      <c r="A158" t="n">
        <v>155</v>
      </c>
      <c r="B158" s="40" t="n">
        <v>46084</v>
      </c>
      <c r="C158" s="41" t="n">
        <v>0.4130491234375</v>
      </c>
      <c r="D158" s="41" t="n">
        <v>0.4129269646412037</v>
      </c>
      <c r="E158" s="39">
        <f>(C158-D158)*1440</f>
        <v/>
      </c>
    </row>
    <row r="159">
      <c r="A159" t="n">
        <v>156</v>
      </c>
      <c r="B159" s="40" t="n">
        <v>46084</v>
      </c>
      <c r="C159" s="41" t="n">
        <v>0.4138789666203704</v>
      </c>
      <c r="D159" s="41" t="n">
        <v>0.4130491234375</v>
      </c>
      <c r="E159" s="39">
        <f>(C159-D159)*1440</f>
        <v/>
      </c>
    </row>
    <row r="160">
      <c r="A160" t="n">
        <v>157</v>
      </c>
      <c r="B160" s="40" t="n">
        <v>46084</v>
      </c>
      <c r="C160" s="41" t="n">
        <v>0.4144166026273148</v>
      </c>
      <c r="D160" s="41" t="n">
        <v>0.4138789666203704</v>
      </c>
      <c r="E160" s="39">
        <f>(C160-D160)*1440</f>
        <v/>
      </c>
    </row>
    <row r="161">
      <c r="A161" t="n">
        <v>158</v>
      </c>
      <c r="B161" s="40" t="n">
        <v>46084</v>
      </c>
      <c r="C161" s="41" t="n">
        <v>0.41594936</v>
      </c>
      <c r="D161" s="41" t="n">
        <v>0.4144166026273148</v>
      </c>
      <c r="E161" s="39">
        <f>(C161-D161)*1440</f>
        <v/>
      </c>
    </row>
    <row r="162">
      <c r="A162" t="n">
        <v>159</v>
      </c>
      <c r="B162" s="40" t="n">
        <v>46084</v>
      </c>
      <c r="C162" s="41" t="n">
        <v>0.416356584224537</v>
      </c>
      <c r="D162" s="41" t="n">
        <v>0.41594936</v>
      </c>
      <c r="E162" s="39">
        <f>(C162-D162)*1440</f>
        <v/>
      </c>
    </row>
    <row r="163">
      <c r="A163" t="n">
        <v>160</v>
      </c>
      <c r="B163" s="40" t="n">
        <v>46085</v>
      </c>
      <c r="C163" s="41" t="n">
        <v>0.3757640790046296</v>
      </c>
      <c r="D163" s="41" t="n">
        <v>0.3753515257175926</v>
      </c>
      <c r="E163" s="39">
        <f>(C163-D163)*1440</f>
        <v/>
      </c>
    </row>
    <row r="164">
      <c r="A164" t="n">
        <v>161</v>
      </c>
      <c r="B164" s="40" t="n">
        <v>46085</v>
      </c>
      <c r="C164" s="41" t="n">
        <v>0.3758894043055556</v>
      </c>
      <c r="D164" s="41" t="n">
        <v>0.3757640790046296</v>
      </c>
      <c r="E164" s="39">
        <f>(C164-D164)*1440</f>
        <v/>
      </c>
    </row>
    <row r="165">
      <c r="A165" t="n">
        <v>162</v>
      </c>
      <c r="B165" s="40" t="n">
        <v>46085</v>
      </c>
      <c r="C165" s="41" t="n">
        <v>0.3760538219560185</v>
      </c>
      <c r="D165" s="41" t="n">
        <v>0.3758894043055556</v>
      </c>
      <c r="E165" s="39">
        <f>(C165-D165)*1440</f>
        <v/>
      </c>
    </row>
    <row r="166">
      <c r="A166" t="n">
        <v>163</v>
      </c>
      <c r="B166" s="40" t="n">
        <v>46085</v>
      </c>
      <c r="C166" s="41" t="n">
        <v>0.3765016278819444</v>
      </c>
      <c r="D166" s="41" t="n">
        <v>0.3760538219560185</v>
      </c>
      <c r="E166" s="39">
        <f>(C166-D166)*1440</f>
        <v/>
      </c>
    </row>
    <row r="167">
      <c r="A167" t="n">
        <v>164</v>
      </c>
      <c r="B167" s="40" t="n">
        <v>46085</v>
      </c>
      <c r="C167" s="41" t="n">
        <v>0.3765713204629629</v>
      </c>
      <c r="D167" s="41" t="n">
        <v>0.3765016278819444</v>
      </c>
      <c r="E167" s="39">
        <f>(C167-D167)*1440</f>
        <v/>
      </c>
    </row>
    <row r="168">
      <c r="A168" t="n">
        <v>165</v>
      </c>
      <c r="B168" s="40" t="n">
        <v>46085</v>
      </c>
      <c r="C168" s="41" t="n">
        <v>0.3765755206481481</v>
      </c>
      <c r="D168" s="41" t="n">
        <v>0.3765713204629629</v>
      </c>
      <c r="E168" s="39">
        <f>(C168-D168)*1440</f>
        <v/>
      </c>
    </row>
    <row r="169">
      <c r="A169" t="n">
        <v>166</v>
      </c>
      <c r="B169" s="40" t="n">
        <v>46085</v>
      </c>
      <c r="C169" s="41" t="n">
        <v>0.376755807337963</v>
      </c>
      <c r="D169" s="41" t="n">
        <v>0.3765755206481481</v>
      </c>
      <c r="E169" s="39">
        <f>(C169-D169)*1440</f>
        <v/>
      </c>
    </row>
    <row r="170">
      <c r="A170" t="n">
        <v>167</v>
      </c>
      <c r="B170" s="40" t="n">
        <v>46085</v>
      </c>
      <c r="C170" s="41" t="n">
        <v>0.3771473057638889</v>
      </c>
      <c r="D170" s="41" t="n">
        <v>0.376755807337963</v>
      </c>
      <c r="E170" s="39">
        <f>(C170-D170)*1440</f>
        <v/>
      </c>
    </row>
    <row r="171">
      <c r="A171" t="n">
        <v>168</v>
      </c>
      <c r="B171" s="40" t="n">
        <v>46085</v>
      </c>
      <c r="C171" s="41" t="n">
        <v>0.3772039948958333</v>
      </c>
      <c r="D171" s="41" t="n">
        <v>0.3771473057638889</v>
      </c>
      <c r="E171" s="39">
        <f>(C171-D171)*1440</f>
        <v/>
      </c>
    </row>
    <row r="172">
      <c r="A172" t="n">
        <v>169</v>
      </c>
      <c r="B172" s="40" t="n">
        <v>46085</v>
      </c>
      <c r="C172" s="41" t="n">
        <v>0.3776032106828703</v>
      </c>
      <c r="D172" s="41" t="n">
        <v>0.3772039948958333</v>
      </c>
      <c r="E172" s="39">
        <f>(C172-D172)*1440</f>
        <v/>
      </c>
    </row>
    <row r="173">
      <c r="A173" t="n">
        <v>170</v>
      </c>
      <c r="B173" s="40" t="n">
        <v>46085</v>
      </c>
      <c r="C173" s="41" t="n">
        <v>0.3783795461805556</v>
      </c>
      <c r="D173" s="41" t="n">
        <v>0.3776032106828703</v>
      </c>
      <c r="E173" s="39">
        <f>(C173-D173)*1440</f>
        <v/>
      </c>
    </row>
    <row r="174">
      <c r="A174" t="n">
        <v>171</v>
      </c>
      <c r="B174" s="40" t="n">
        <v>46085</v>
      </c>
      <c r="C174" s="41" t="n">
        <v>0.3790782204976852</v>
      </c>
      <c r="D174" s="41" t="n">
        <v>0.3783795461805556</v>
      </c>
      <c r="E174" s="39">
        <f>(C174-D174)*1440</f>
        <v/>
      </c>
    </row>
    <row r="175">
      <c r="A175" t="n">
        <v>172</v>
      </c>
      <c r="B175" s="40" t="n">
        <v>46085</v>
      </c>
      <c r="C175" s="41" t="n">
        <v>0.3793029108333333</v>
      </c>
      <c r="D175" s="41" t="n">
        <v>0.3790782204976852</v>
      </c>
      <c r="E175" s="39">
        <f>(C175-D175)*1440</f>
        <v/>
      </c>
    </row>
    <row r="176">
      <c r="A176" t="n">
        <v>173</v>
      </c>
      <c r="B176" s="40" t="n">
        <v>46085</v>
      </c>
      <c r="C176" s="41" t="n">
        <v>0.3795124119212963</v>
      </c>
      <c r="D176" s="41" t="n">
        <v>0.3793029108333333</v>
      </c>
      <c r="E176" s="39">
        <f>(C176-D176)*1440</f>
        <v/>
      </c>
    </row>
    <row r="177">
      <c r="A177" t="n">
        <v>174</v>
      </c>
      <c r="B177" s="40" t="n">
        <v>46085</v>
      </c>
      <c r="C177" s="41" t="n">
        <v>0.3800584791782408</v>
      </c>
      <c r="D177" s="41" t="n">
        <v>0.3795124119212963</v>
      </c>
      <c r="E177" s="39">
        <f>(C177-D177)*1440</f>
        <v/>
      </c>
    </row>
    <row r="178">
      <c r="A178" t="n">
        <v>175</v>
      </c>
      <c r="B178" s="40" t="n">
        <v>46085</v>
      </c>
      <c r="C178" s="41" t="n">
        <v>0.3801240140046296</v>
      </c>
      <c r="D178" s="41" t="n">
        <v>0.3800584791782408</v>
      </c>
      <c r="E178" s="39">
        <f>(C178-D178)*1440</f>
        <v/>
      </c>
    </row>
    <row r="179">
      <c r="A179" t="n">
        <v>176</v>
      </c>
      <c r="B179" s="40" t="n">
        <v>46085</v>
      </c>
      <c r="C179" s="41" t="n">
        <v>0.3803459104513889</v>
      </c>
      <c r="D179" s="41" t="n">
        <v>0.3801240140046296</v>
      </c>
      <c r="E179" s="39">
        <f>(C179-D179)*1440</f>
        <v/>
      </c>
    </row>
    <row r="180">
      <c r="A180" t="n">
        <v>177</v>
      </c>
      <c r="B180" s="40" t="n">
        <v>46085</v>
      </c>
      <c r="C180" s="41" t="n">
        <v>0.3803696772800926</v>
      </c>
      <c r="D180" s="41" t="n">
        <v>0.3803459104513889</v>
      </c>
      <c r="E180" s="39">
        <f>(C180-D180)*1440</f>
        <v/>
      </c>
    </row>
    <row r="181">
      <c r="A181" t="n">
        <v>178</v>
      </c>
      <c r="B181" s="40" t="n">
        <v>46085</v>
      </c>
      <c r="C181" s="41" t="n">
        <v>0.3807315750578704</v>
      </c>
      <c r="D181" s="41" t="n">
        <v>0.3803696772800926</v>
      </c>
      <c r="E181" s="39">
        <f>(C181-D181)*1440</f>
        <v/>
      </c>
    </row>
    <row r="182">
      <c r="A182" t="n">
        <v>179</v>
      </c>
      <c r="B182" s="40" t="n">
        <v>46085</v>
      </c>
      <c r="C182" s="41" t="n">
        <v>0.3814571822916666</v>
      </c>
      <c r="D182" s="41" t="n">
        <v>0.3807315750578704</v>
      </c>
      <c r="E182" s="39">
        <f>(C182-D182)*1440</f>
        <v/>
      </c>
    </row>
    <row r="183">
      <c r="A183" t="n">
        <v>180</v>
      </c>
      <c r="B183" s="40" t="n">
        <v>46085</v>
      </c>
      <c r="C183" s="41" t="n">
        <v>0.3826342678935185</v>
      </c>
      <c r="D183" s="41" t="n">
        <v>0.3814571822916666</v>
      </c>
      <c r="E183" s="39">
        <f>(C183-D183)*1440</f>
        <v/>
      </c>
    </row>
    <row r="184">
      <c r="A184" t="n">
        <v>181</v>
      </c>
      <c r="B184" s="40" t="n">
        <v>46085</v>
      </c>
      <c r="C184" s="41" t="n">
        <v>0.3832428801273148</v>
      </c>
      <c r="D184" s="41" t="n">
        <v>0.3826342678935185</v>
      </c>
      <c r="E184" s="39">
        <f>(C184-D184)*1440</f>
        <v/>
      </c>
    </row>
    <row r="185">
      <c r="A185" t="n">
        <v>182</v>
      </c>
      <c r="B185" s="40" t="n">
        <v>46085</v>
      </c>
      <c r="C185" s="41" t="n">
        <v>0.383396304849537</v>
      </c>
      <c r="D185" s="41" t="n">
        <v>0.3832428801273148</v>
      </c>
      <c r="E185" s="39">
        <f>(C185-D185)*1440</f>
        <v/>
      </c>
    </row>
    <row r="186">
      <c r="A186" t="n">
        <v>183</v>
      </c>
      <c r="B186" s="40" t="n">
        <v>46085</v>
      </c>
      <c r="C186" s="41" t="n">
        <v>0.3837283961226852</v>
      </c>
      <c r="D186" s="41" t="n">
        <v>0.383396304849537</v>
      </c>
      <c r="E186" s="39">
        <f>(C186-D186)*1440</f>
        <v/>
      </c>
    </row>
    <row r="187">
      <c r="A187" t="n">
        <v>184</v>
      </c>
      <c r="B187" s="40" t="n">
        <v>46085</v>
      </c>
      <c r="C187" s="41" t="n">
        <v>0.3839183849768518</v>
      </c>
      <c r="D187" s="41" t="n">
        <v>0.3837283961226852</v>
      </c>
      <c r="E187" s="39">
        <f>(C187-D187)*1440</f>
        <v/>
      </c>
    </row>
    <row r="188">
      <c r="A188" t="n">
        <v>185</v>
      </c>
      <c r="B188" s="40" t="n">
        <v>46085</v>
      </c>
      <c r="C188" s="41" t="n">
        <v>0.3845944738425926</v>
      </c>
      <c r="D188" s="41" t="n">
        <v>0.3839183849768518</v>
      </c>
      <c r="E188" s="39">
        <f>(C188-D188)*1440</f>
        <v/>
      </c>
    </row>
    <row r="189">
      <c r="A189" t="n">
        <v>186</v>
      </c>
      <c r="B189" s="40" t="n">
        <v>46085</v>
      </c>
      <c r="C189" s="41" t="n">
        <v>0.3848883246180556</v>
      </c>
      <c r="D189" s="41" t="n">
        <v>0.3845944738425926</v>
      </c>
      <c r="E189" s="39">
        <f>(C189-D189)*1440</f>
        <v/>
      </c>
    </row>
    <row r="190">
      <c r="A190" t="n">
        <v>187</v>
      </c>
      <c r="B190" s="40" t="n">
        <v>46085</v>
      </c>
      <c r="C190" s="41" t="n">
        <v>0.3855028231249999</v>
      </c>
      <c r="D190" s="41" t="n">
        <v>0.3848883246180556</v>
      </c>
      <c r="E190" s="39">
        <f>(C190-D190)*1440</f>
        <v/>
      </c>
    </row>
    <row r="191">
      <c r="A191" t="n">
        <v>188</v>
      </c>
      <c r="B191" s="40" t="n">
        <v>46085</v>
      </c>
      <c r="C191" s="41" t="n">
        <v>0.3858693364236111</v>
      </c>
      <c r="D191" s="41" t="n">
        <v>0.3855028231249999</v>
      </c>
      <c r="E191" s="39">
        <f>(C191-D191)*1440</f>
        <v/>
      </c>
    </row>
    <row r="192">
      <c r="A192" t="n">
        <v>189</v>
      </c>
      <c r="B192" s="40" t="n">
        <v>46085</v>
      </c>
      <c r="C192" s="41" t="n">
        <v>0.3864875417013889</v>
      </c>
      <c r="D192" s="41" t="n">
        <v>0.3858693364236111</v>
      </c>
      <c r="E192" s="39">
        <f>(C192-D192)*1440</f>
        <v/>
      </c>
    </row>
    <row r="193">
      <c r="A193" t="n">
        <v>190</v>
      </c>
      <c r="B193" s="40" t="n">
        <v>46085</v>
      </c>
      <c r="C193" s="41" t="n">
        <v>0.386990655</v>
      </c>
      <c r="D193" s="41" t="n">
        <v>0.3864875417013889</v>
      </c>
      <c r="E193" s="39">
        <f>(C193-D193)*1440</f>
        <v/>
      </c>
    </row>
    <row r="194">
      <c r="A194" t="n">
        <v>191</v>
      </c>
      <c r="B194" s="40" t="n">
        <v>46085</v>
      </c>
      <c r="C194" s="41" t="n">
        <v>0.3875556824074075</v>
      </c>
      <c r="D194" s="41" t="n">
        <v>0.386990655</v>
      </c>
      <c r="E194" s="39">
        <f>(C194-D194)*1440</f>
        <v/>
      </c>
    </row>
    <row r="195">
      <c r="A195" t="n">
        <v>192</v>
      </c>
      <c r="B195" s="40" t="n">
        <v>46085</v>
      </c>
      <c r="C195" s="41" t="n">
        <v>0.3882278861226852</v>
      </c>
      <c r="D195" s="41" t="n">
        <v>0.3875556824074075</v>
      </c>
      <c r="E195" s="39">
        <f>(C195-D195)*1440</f>
        <v/>
      </c>
    </row>
    <row r="196">
      <c r="A196" t="n">
        <v>193</v>
      </c>
      <c r="B196" s="40" t="n">
        <v>46085</v>
      </c>
      <c r="C196" s="41" t="n">
        <v>0.388878390625</v>
      </c>
      <c r="D196" s="41" t="n">
        <v>0.3882278861226852</v>
      </c>
      <c r="E196" s="39">
        <f>(C196-D196)*1440</f>
        <v/>
      </c>
    </row>
    <row r="197">
      <c r="A197" t="n">
        <v>194</v>
      </c>
      <c r="B197" s="40" t="n">
        <v>46085</v>
      </c>
      <c r="C197" s="41" t="n">
        <v>0.3889604751157407</v>
      </c>
      <c r="D197" s="41" t="n">
        <v>0.388878390625</v>
      </c>
      <c r="E197" s="39">
        <f>(C197-D197)*1440</f>
        <v/>
      </c>
    </row>
    <row r="198">
      <c r="A198" t="n">
        <v>195</v>
      </c>
      <c r="B198" s="40" t="n">
        <v>46085</v>
      </c>
      <c r="C198" s="41" t="n">
        <v>0.3900572530439815</v>
      </c>
      <c r="D198" s="41" t="n">
        <v>0.3889604751157407</v>
      </c>
      <c r="E198" s="39">
        <f>(C198-D198)*1440</f>
        <v/>
      </c>
    </row>
    <row r="199">
      <c r="A199" t="n">
        <v>196</v>
      </c>
      <c r="B199" s="40" t="n">
        <v>46085</v>
      </c>
      <c r="C199" s="41" t="n">
        <v>0.3904299936458333</v>
      </c>
      <c r="D199" s="41" t="n">
        <v>0.3900572530439815</v>
      </c>
      <c r="E199" s="39">
        <f>(C199-D199)*1440</f>
        <v/>
      </c>
    </row>
    <row r="200">
      <c r="A200" t="n">
        <v>197</v>
      </c>
      <c r="B200" s="40" t="n">
        <v>46085</v>
      </c>
      <c r="C200" s="41" t="n">
        <v>0.3908248813773148</v>
      </c>
      <c r="D200" s="41" t="n">
        <v>0.3904299936458333</v>
      </c>
      <c r="E200" s="39">
        <f>(C200-D200)*1440</f>
        <v/>
      </c>
    </row>
    <row r="201">
      <c r="A201" t="n">
        <v>198</v>
      </c>
      <c r="B201" s="40" t="n">
        <v>46085</v>
      </c>
      <c r="C201" s="41" t="n">
        <v>0.3908807102083333</v>
      </c>
      <c r="D201" s="41" t="n">
        <v>0.3908248813773148</v>
      </c>
      <c r="E201" s="39">
        <f>(C201-D201)*1440</f>
        <v/>
      </c>
    </row>
    <row r="202">
      <c r="A202" t="n">
        <v>199</v>
      </c>
      <c r="B202" s="40" t="n">
        <v>46085</v>
      </c>
      <c r="C202" s="41" t="n">
        <v>0.3908946527777778</v>
      </c>
      <c r="D202" s="41" t="n">
        <v>0.3908807102083333</v>
      </c>
      <c r="E202" s="39">
        <f>(C202-D202)*1440</f>
        <v/>
      </c>
    </row>
    <row r="203">
      <c r="A203" t="n">
        <v>200</v>
      </c>
      <c r="B203" s="40" t="n">
        <v>46085</v>
      </c>
      <c r="C203" s="41" t="n">
        <v>0.3910398151967593</v>
      </c>
      <c r="D203" s="41" t="n">
        <v>0.3908946527777778</v>
      </c>
      <c r="E203" s="39">
        <f>(C203-D203)*1440</f>
        <v/>
      </c>
    </row>
    <row r="204">
      <c r="A204" t="n">
        <v>201</v>
      </c>
      <c r="B204" s="40" t="n">
        <v>46085</v>
      </c>
      <c r="C204" s="41" t="n">
        <v>0.3917575701041666</v>
      </c>
      <c r="D204" s="41" t="n">
        <v>0.3910398151967593</v>
      </c>
      <c r="E204" s="39">
        <f>(C204-D204)*1440</f>
        <v/>
      </c>
    </row>
    <row r="205">
      <c r="A205" t="n">
        <v>202</v>
      </c>
      <c r="B205" s="40" t="n">
        <v>46085</v>
      </c>
      <c r="C205" s="41" t="n">
        <v>0.3919711252546297</v>
      </c>
      <c r="D205" s="41" t="n">
        <v>0.3917575701041666</v>
      </c>
      <c r="E205" s="39">
        <f>(C205-D205)*1440</f>
        <v/>
      </c>
    </row>
    <row r="206">
      <c r="A206" t="n">
        <v>203</v>
      </c>
      <c r="B206" s="40" t="n">
        <v>46085</v>
      </c>
      <c r="C206" s="41" t="n">
        <v>0.3926063128703703</v>
      </c>
      <c r="D206" s="41" t="n">
        <v>0.3919711252546297</v>
      </c>
      <c r="E206" s="39">
        <f>(C206-D206)*1440</f>
        <v/>
      </c>
    </row>
    <row r="207">
      <c r="A207" t="n">
        <v>204</v>
      </c>
      <c r="B207" s="40" t="n">
        <v>46085</v>
      </c>
      <c r="C207" s="41" t="n">
        <v>0.3930188221064815</v>
      </c>
      <c r="D207" s="41" t="n">
        <v>0.3926063128703703</v>
      </c>
      <c r="E207" s="39">
        <f>(C207-D207)*1440</f>
        <v/>
      </c>
    </row>
    <row r="208">
      <c r="A208" t="n">
        <v>205</v>
      </c>
      <c r="B208" s="40" t="n">
        <v>46085</v>
      </c>
      <c r="C208" s="41" t="n">
        <v>0.3936648821643518</v>
      </c>
      <c r="D208" s="41" t="n">
        <v>0.3930188221064815</v>
      </c>
      <c r="E208" s="39">
        <f>(C208-D208)*1440</f>
        <v/>
      </c>
    </row>
    <row r="209">
      <c r="A209" t="n">
        <v>206</v>
      </c>
      <c r="B209" s="40" t="n">
        <v>46085</v>
      </c>
      <c r="C209" s="41" t="n">
        <v>0.3938664144560186</v>
      </c>
      <c r="D209" s="41" t="n">
        <v>0.3936648821643518</v>
      </c>
      <c r="E209" s="39">
        <f>(C209-D209)*1440</f>
        <v/>
      </c>
    </row>
    <row r="210">
      <c r="A210" t="n">
        <v>207</v>
      </c>
      <c r="B210" s="40" t="n">
        <v>46085</v>
      </c>
      <c r="C210" s="41" t="n">
        <v>0.3940293449305556</v>
      </c>
      <c r="D210" s="41" t="n">
        <v>0.3938664144560186</v>
      </c>
      <c r="E210" s="39">
        <f>(C210-D210)*1440</f>
        <v/>
      </c>
    </row>
    <row r="211">
      <c r="A211" t="n">
        <v>208</v>
      </c>
      <c r="B211" s="40" t="n">
        <v>46085</v>
      </c>
      <c r="C211" s="41" t="n">
        <v>0.3945235333680556</v>
      </c>
      <c r="D211" s="41" t="n">
        <v>0.3940293449305556</v>
      </c>
      <c r="E211" s="39">
        <f>(C211-D211)*1440</f>
        <v/>
      </c>
    </row>
    <row r="212">
      <c r="A212" t="n">
        <v>209</v>
      </c>
      <c r="B212" s="40" t="n">
        <v>46085</v>
      </c>
      <c r="C212" s="41" t="n">
        <v>0.3947045476736111</v>
      </c>
      <c r="D212" s="41" t="n">
        <v>0.3945235333680556</v>
      </c>
      <c r="E212" s="39">
        <f>(C212-D212)*1440</f>
        <v/>
      </c>
    </row>
    <row r="213">
      <c r="A213" t="n">
        <v>210</v>
      </c>
      <c r="B213" s="40" t="n">
        <v>46085</v>
      </c>
      <c r="C213" s="41" t="n">
        <v>0.3949254239236111</v>
      </c>
      <c r="D213" s="41" t="n">
        <v>0.3947045476736111</v>
      </c>
      <c r="E213" s="39">
        <f>(C213-D213)*1440</f>
        <v/>
      </c>
    </row>
    <row r="214">
      <c r="A214" t="n">
        <v>211</v>
      </c>
      <c r="B214" s="40" t="n">
        <v>46085</v>
      </c>
      <c r="C214" s="41" t="n">
        <v>0.3950346516319445</v>
      </c>
      <c r="D214" s="41" t="n">
        <v>0.3949254239236111</v>
      </c>
      <c r="E214" s="39">
        <f>(C214-D214)*1440</f>
        <v/>
      </c>
    </row>
    <row r="215">
      <c r="A215" t="n">
        <v>212</v>
      </c>
      <c r="B215" s="40" t="n">
        <v>46085</v>
      </c>
      <c r="C215" s="41" t="n">
        <v>0.3961286066782407</v>
      </c>
      <c r="D215" s="41" t="n">
        <v>0.3950346516319445</v>
      </c>
      <c r="E215" s="39">
        <f>(C215-D215)*1440</f>
        <v/>
      </c>
    </row>
    <row r="216">
      <c r="A216" t="n">
        <v>213</v>
      </c>
      <c r="B216" s="40" t="n">
        <v>46085</v>
      </c>
      <c r="C216" s="41" t="n">
        <v>0.3963975055787037</v>
      </c>
      <c r="D216" s="41" t="n">
        <v>0.3961286066782407</v>
      </c>
      <c r="E216" s="39">
        <f>(C216-D216)*1440</f>
        <v/>
      </c>
    </row>
    <row r="217">
      <c r="A217" t="n">
        <v>214</v>
      </c>
      <c r="B217" s="40" t="n">
        <v>46085</v>
      </c>
      <c r="C217" s="41" t="n">
        <v>0.3965035987152777</v>
      </c>
      <c r="D217" s="41" t="n">
        <v>0.3963975055787037</v>
      </c>
      <c r="E217" s="39">
        <f>(C217-D217)*1440</f>
        <v/>
      </c>
    </row>
    <row r="218">
      <c r="A218" t="n">
        <v>215</v>
      </c>
      <c r="B218" s="40" t="n">
        <v>46085</v>
      </c>
      <c r="C218" s="41" t="n">
        <v>0.3973797380555555</v>
      </c>
      <c r="D218" s="41" t="n">
        <v>0.3965035987152777</v>
      </c>
      <c r="E218" s="39">
        <f>(C218-D218)*1440</f>
        <v/>
      </c>
    </row>
    <row r="219">
      <c r="A219" t="n">
        <v>216</v>
      </c>
      <c r="B219" s="40" t="n">
        <v>46085</v>
      </c>
      <c r="C219" s="41" t="n">
        <v>0.3976986870949074</v>
      </c>
      <c r="D219" s="41" t="n">
        <v>0.3973797380555555</v>
      </c>
      <c r="E219" s="39">
        <f>(C219-D219)*1440</f>
        <v/>
      </c>
    </row>
    <row r="220">
      <c r="A220" t="n">
        <v>217</v>
      </c>
      <c r="B220" s="40" t="n">
        <v>46085</v>
      </c>
      <c r="C220" s="41" t="n">
        <v>0.397883423761574</v>
      </c>
      <c r="D220" s="41" t="n">
        <v>0.3976986870949074</v>
      </c>
      <c r="E220" s="39">
        <f>(C220-D220)*1440</f>
        <v/>
      </c>
    </row>
    <row r="221">
      <c r="A221" t="n">
        <v>218</v>
      </c>
      <c r="B221" s="40" t="n">
        <v>46085</v>
      </c>
      <c r="C221" s="41" t="n">
        <v>0.3980499279050926</v>
      </c>
      <c r="D221" s="41" t="n">
        <v>0.397883423761574</v>
      </c>
      <c r="E221" s="39">
        <f>(C221-D221)*1440</f>
        <v/>
      </c>
    </row>
    <row r="222">
      <c r="A222" t="n">
        <v>219</v>
      </c>
      <c r="B222" s="40" t="n">
        <v>46085</v>
      </c>
      <c r="C222" s="41" t="n">
        <v>0.3981630414583334</v>
      </c>
      <c r="D222" s="41" t="n">
        <v>0.3980499279050926</v>
      </c>
      <c r="E222" s="39">
        <f>(C222-D222)*1440</f>
        <v/>
      </c>
    </row>
    <row r="223">
      <c r="A223" t="n">
        <v>220</v>
      </c>
      <c r="B223" s="40" t="n">
        <v>46085</v>
      </c>
      <c r="C223" s="41" t="n">
        <v>0.3991502712731482</v>
      </c>
      <c r="D223" s="41" t="n">
        <v>0.3981630414583334</v>
      </c>
      <c r="E223" s="39">
        <f>(C223-D223)*1440</f>
        <v/>
      </c>
    </row>
    <row r="224">
      <c r="A224" t="n">
        <v>221</v>
      </c>
      <c r="B224" s="40" t="n">
        <v>46085</v>
      </c>
      <c r="C224" s="41" t="n">
        <v>0.3993086468981482</v>
      </c>
      <c r="D224" s="41" t="n">
        <v>0.3991502712731482</v>
      </c>
      <c r="E224" s="39">
        <f>(C224-D224)*1440</f>
        <v/>
      </c>
    </row>
    <row r="225">
      <c r="A225" t="n">
        <v>222</v>
      </c>
      <c r="B225" s="40" t="n">
        <v>46085</v>
      </c>
      <c r="C225" s="41" t="n">
        <v>0.3993334864236111</v>
      </c>
      <c r="D225" s="41" t="n">
        <v>0.3993086468981482</v>
      </c>
      <c r="E225" s="39">
        <f>(C225-D225)*1440</f>
        <v/>
      </c>
    </row>
    <row r="226">
      <c r="A226" t="n">
        <v>223</v>
      </c>
      <c r="B226" s="40" t="n">
        <v>46085</v>
      </c>
      <c r="C226" s="41" t="n">
        <v>0.4001334948842593</v>
      </c>
      <c r="D226" s="41" t="n">
        <v>0.3993334864236111</v>
      </c>
      <c r="E226" s="39">
        <f>(C226-D226)*1440</f>
        <v/>
      </c>
    </row>
    <row r="227">
      <c r="A227" t="n">
        <v>224</v>
      </c>
      <c r="B227" s="40" t="n">
        <v>46085</v>
      </c>
      <c r="C227" s="41" t="n">
        <v>0.4002915785300926</v>
      </c>
      <c r="D227" s="41" t="n">
        <v>0.4001334948842593</v>
      </c>
      <c r="E227" s="39">
        <f>(C227-D227)*1440</f>
        <v/>
      </c>
    </row>
    <row r="228">
      <c r="A228" t="n">
        <v>225</v>
      </c>
      <c r="B228" s="40" t="n">
        <v>46085</v>
      </c>
      <c r="C228" s="41" t="n">
        <v>0.4010465222337963</v>
      </c>
      <c r="D228" s="41" t="n">
        <v>0.4002915785300926</v>
      </c>
      <c r="E228" s="39">
        <f>(C228-D228)*1440</f>
        <v/>
      </c>
    </row>
    <row r="229">
      <c r="A229" t="n">
        <v>226</v>
      </c>
      <c r="B229" s="40" t="n">
        <v>46085</v>
      </c>
      <c r="C229" s="41" t="n">
        <v>0.4018096610995371</v>
      </c>
      <c r="D229" s="41" t="n">
        <v>0.4010465222337963</v>
      </c>
      <c r="E229" s="39">
        <f>(C229-D229)*1440</f>
        <v/>
      </c>
    </row>
    <row r="230">
      <c r="A230" t="n">
        <v>227</v>
      </c>
      <c r="B230" s="40" t="n">
        <v>46085</v>
      </c>
      <c r="C230" s="41" t="n">
        <v>0.4022425369791666</v>
      </c>
      <c r="D230" s="41" t="n">
        <v>0.4018096610995371</v>
      </c>
      <c r="E230" s="39">
        <f>(C230-D230)*1440</f>
        <v/>
      </c>
    </row>
    <row r="231">
      <c r="A231" t="n">
        <v>228</v>
      </c>
      <c r="B231" s="40" t="n">
        <v>46085</v>
      </c>
      <c r="C231" s="41" t="n">
        <v>0.4032903804166667</v>
      </c>
      <c r="D231" s="41" t="n">
        <v>0.4022425369791666</v>
      </c>
      <c r="E231" s="39">
        <f>(C231-D231)*1440</f>
        <v/>
      </c>
    </row>
    <row r="232">
      <c r="A232" t="n">
        <v>229</v>
      </c>
      <c r="B232" s="40" t="n">
        <v>46085</v>
      </c>
      <c r="C232" s="41" t="n">
        <v>0.4034721950810185</v>
      </c>
      <c r="D232" s="41" t="n">
        <v>0.4032903804166667</v>
      </c>
      <c r="E232" s="39">
        <f>(C232-D232)*1440</f>
        <v/>
      </c>
    </row>
    <row r="233">
      <c r="A233" t="n">
        <v>230</v>
      </c>
      <c r="B233" s="40" t="n">
        <v>46085</v>
      </c>
      <c r="C233" s="41" t="n">
        <v>0.4034805083449075</v>
      </c>
      <c r="D233" s="41" t="n">
        <v>0.4034721950810185</v>
      </c>
      <c r="E233" s="39">
        <f>(C233-D233)*1440</f>
        <v/>
      </c>
    </row>
    <row r="234">
      <c r="A234" t="n">
        <v>231</v>
      </c>
      <c r="B234" s="40" t="n">
        <v>46085</v>
      </c>
      <c r="C234" s="41" t="n">
        <v>0.403702216724537</v>
      </c>
      <c r="D234" s="41" t="n">
        <v>0.4034805083449075</v>
      </c>
      <c r="E234" s="39">
        <f>(C234-D234)*1440</f>
        <v/>
      </c>
    </row>
    <row r="235">
      <c r="A235" t="n">
        <v>232</v>
      </c>
      <c r="B235" s="40" t="n">
        <v>46085</v>
      </c>
      <c r="C235" s="41" t="n">
        <v>0.4038854889004629</v>
      </c>
      <c r="D235" s="41" t="n">
        <v>0.403702216724537</v>
      </c>
      <c r="E235" s="39">
        <f>(C235-D235)*1440</f>
        <v/>
      </c>
    </row>
    <row r="236">
      <c r="A236" t="n">
        <v>233</v>
      </c>
      <c r="B236" s="40" t="n">
        <v>46085</v>
      </c>
      <c r="C236" s="41" t="n">
        <v>0.4042694919675925</v>
      </c>
      <c r="D236" s="41" t="n">
        <v>0.4038854889004629</v>
      </c>
      <c r="E236" s="39">
        <f>(C236-D236)*1440</f>
        <v/>
      </c>
    </row>
    <row r="237">
      <c r="A237" t="n">
        <v>234</v>
      </c>
      <c r="B237" s="40" t="n">
        <v>46085</v>
      </c>
      <c r="C237" s="41" t="n">
        <v>0.4045345473148149</v>
      </c>
      <c r="D237" s="41" t="n">
        <v>0.4042694919675925</v>
      </c>
      <c r="E237" s="39">
        <f>(C237-D237)*1440</f>
        <v/>
      </c>
    </row>
    <row r="238">
      <c r="A238" t="n">
        <v>235</v>
      </c>
      <c r="B238" s="40" t="n">
        <v>46085</v>
      </c>
      <c r="C238" s="41" t="n">
        <v>0.4045386710532407</v>
      </c>
      <c r="D238" s="41" t="n">
        <v>0.4045345473148149</v>
      </c>
      <c r="E238" s="39">
        <f>(C238-D238)*1440</f>
        <v/>
      </c>
    </row>
    <row r="239">
      <c r="A239" t="n">
        <v>236</v>
      </c>
      <c r="B239" s="40" t="n">
        <v>46085</v>
      </c>
      <c r="C239" s="41" t="n">
        <v>0.4053265921875</v>
      </c>
      <c r="D239" s="41" t="n">
        <v>0.4045386710532407</v>
      </c>
      <c r="E239" s="39">
        <f>(C239-D239)*1440</f>
        <v/>
      </c>
    </row>
    <row r="240">
      <c r="A240" t="n">
        <v>237</v>
      </c>
      <c r="B240" s="40" t="n">
        <v>46085</v>
      </c>
      <c r="C240" s="41" t="n">
        <v>0.4059687733564815</v>
      </c>
      <c r="D240" s="41" t="n">
        <v>0.4053265921875</v>
      </c>
      <c r="E240" s="39">
        <f>(C240-D240)*1440</f>
        <v/>
      </c>
    </row>
    <row r="241">
      <c r="A241" t="n">
        <v>238</v>
      </c>
      <c r="B241" s="40" t="n">
        <v>46085</v>
      </c>
      <c r="C241" s="41" t="n">
        <v>0.4069522375115741</v>
      </c>
      <c r="D241" s="41" t="n">
        <v>0.4059687733564815</v>
      </c>
      <c r="E241" s="39">
        <f>(C241-D241)*1440</f>
        <v/>
      </c>
    </row>
    <row r="242">
      <c r="A242" t="n">
        <v>239</v>
      </c>
      <c r="B242" s="40" t="n">
        <v>46085</v>
      </c>
      <c r="C242" s="41" t="n">
        <v>0.4078565024537037</v>
      </c>
      <c r="D242" s="41" t="n">
        <v>0.4069522375115741</v>
      </c>
      <c r="E242" s="39">
        <f>(C242-D242)*1440</f>
        <v/>
      </c>
    </row>
    <row r="243">
      <c r="A243" t="n">
        <v>240</v>
      </c>
      <c r="B243" s="40" t="n">
        <v>46085</v>
      </c>
      <c r="C243" s="41" t="n">
        <v>0.408834024849537</v>
      </c>
      <c r="D243" s="41" t="n">
        <v>0.4078565024537037</v>
      </c>
      <c r="E243" s="39">
        <f>(C243-D243)*1440</f>
        <v/>
      </c>
    </row>
    <row r="244">
      <c r="A244" t="n">
        <v>241</v>
      </c>
      <c r="B244" s="40" t="n">
        <v>46085</v>
      </c>
      <c r="C244" s="41" t="n">
        <v>0.4089979744328704</v>
      </c>
      <c r="D244" s="41" t="n">
        <v>0.408834024849537</v>
      </c>
      <c r="E244" s="39">
        <f>(C244-D244)*1440</f>
        <v/>
      </c>
    </row>
    <row r="245">
      <c r="A245" t="n">
        <v>242</v>
      </c>
      <c r="B245" s="40" t="n">
        <v>46085</v>
      </c>
      <c r="C245" s="41" t="n">
        <v>0.4092690111342592</v>
      </c>
      <c r="D245" s="41" t="n">
        <v>0.4089979744328704</v>
      </c>
      <c r="E245" s="39">
        <f>(C245-D245)*1440</f>
        <v/>
      </c>
    </row>
    <row r="246">
      <c r="A246" t="n">
        <v>243</v>
      </c>
      <c r="B246" s="40" t="n">
        <v>46085</v>
      </c>
      <c r="C246" s="41" t="n">
        <v>0.4099414847685185</v>
      </c>
      <c r="D246" s="41" t="n">
        <v>0.4092690111342592</v>
      </c>
      <c r="E246" s="39">
        <f>(C246-D246)*1440</f>
        <v/>
      </c>
    </row>
    <row r="247">
      <c r="A247" t="n">
        <v>244</v>
      </c>
      <c r="B247" s="40" t="n">
        <v>46085</v>
      </c>
      <c r="C247" s="41" t="n">
        <v>0.4110419206018519</v>
      </c>
      <c r="D247" s="41" t="n">
        <v>0.4099414847685185</v>
      </c>
      <c r="E247" s="39">
        <f>(C247-D247)*1440</f>
        <v/>
      </c>
    </row>
    <row r="248">
      <c r="A248" t="n">
        <v>245</v>
      </c>
      <c r="B248" s="40" t="n">
        <v>46085</v>
      </c>
      <c r="C248" s="41" t="n">
        <v>0.4112402825347222</v>
      </c>
      <c r="D248" s="41" t="n">
        <v>0.4110419206018519</v>
      </c>
      <c r="E248" s="39">
        <f>(C248-D248)*1440</f>
        <v/>
      </c>
    </row>
    <row r="249">
      <c r="A249" t="n">
        <v>246</v>
      </c>
      <c r="B249" s="40" t="n">
        <v>46085</v>
      </c>
      <c r="C249" s="41" t="n">
        <v>0.4115668023611111</v>
      </c>
      <c r="D249" s="41" t="n">
        <v>0.4112402825347222</v>
      </c>
      <c r="E249" s="39">
        <f>(C249-D249)*1440</f>
        <v/>
      </c>
    </row>
    <row r="250">
      <c r="A250" t="n">
        <v>247</v>
      </c>
      <c r="B250" s="40" t="n">
        <v>46085</v>
      </c>
      <c r="C250" s="41" t="n">
        <v>0.4122872692476852</v>
      </c>
      <c r="D250" s="41" t="n">
        <v>0.4115668023611111</v>
      </c>
      <c r="E250" s="39">
        <f>(C250-D250)*1440</f>
        <v/>
      </c>
    </row>
    <row r="251">
      <c r="A251" t="n">
        <v>248</v>
      </c>
      <c r="B251" s="40" t="n">
        <v>46085</v>
      </c>
      <c r="C251" s="41" t="n">
        <v>0.4127065820486111</v>
      </c>
      <c r="D251" s="41" t="n">
        <v>0.4122872692476852</v>
      </c>
      <c r="E251" s="39">
        <f>(C251-D251)*1440</f>
        <v/>
      </c>
    </row>
    <row r="252">
      <c r="A252" t="n">
        <v>249</v>
      </c>
      <c r="B252" s="40" t="n">
        <v>46085</v>
      </c>
      <c r="C252" s="41" t="n">
        <v>0.4132582197800926</v>
      </c>
      <c r="D252" s="41" t="n">
        <v>0.4127065820486111</v>
      </c>
      <c r="E252" s="39">
        <f>(C252-D252)*1440</f>
        <v/>
      </c>
    </row>
    <row r="253">
      <c r="A253" t="n">
        <v>250</v>
      </c>
      <c r="B253" s="40" t="n">
        <v>46085</v>
      </c>
      <c r="C253" s="41" t="n">
        <v>0.4141772149305556</v>
      </c>
      <c r="D253" s="41" t="n">
        <v>0.4132582197800926</v>
      </c>
      <c r="E253" s="39">
        <f>(C253-D253)*1440</f>
        <v/>
      </c>
    </row>
    <row r="254">
      <c r="A254" t="n">
        <v>251</v>
      </c>
      <c r="B254" s="40" t="n">
        <v>46085</v>
      </c>
      <c r="C254" s="41" t="n">
        <v>0.4145292701620371</v>
      </c>
      <c r="D254" s="41" t="n">
        <v>0.4141772149305556</v>
      </c>
      <c r="E254" s="39">
        <f>(C254-D254)*1440</f>
        <v/>
      </c>
    </row>
    <row r="255">
      <c r="A255" t="n">
        <v>252</v>
      </c>
      <c r="B255" s="40" t="n">
        <v>46085</v>
      </c>
      <c r="C255" s="41" t="n">
        <v>0.4146588444560185</v>
      </c>
      <c r="D255" s="41" t="n">
        <v>0.4145292701620371</v>
      </c>
      <c r="E255" s="39">
        <f>(C255-D255)*1440</f>
        <v/>
      </c>
    </row>
    <row r="256">
      <c r="A256" t="n">
        <v>253</v>
      </c>
      <c r="B256" s="40" t="n">
        <v>46085</v>
      </c>
      <c r="C256" s="41" t="n">
        <v>0.4146821388078704</v>
      </c>
      <c r="D256" s="41" t="n">
        <v>0.4146588444560185</v>
      </c>
      <c r="E256" s="39">
        <f>(C256-D256)*1440</f>
        <v/>
      </c>
    </row>
    <row r="257">
      <c r="A257" t="n">
        <v>254</v>
      </c>
      <c r="B257" s="40" t="n">
        <v>46085</v>
      </c>
      <c r="C257" s="41" t="n">
        <v>0.4154818635416667</v>
      </c>
      <c r="D257" s="41" t="n">
        <v>0.4146821388078704</v>
      </c>
      <c r="E257" s="39">
        <f>(C257-D257)*1440</f>
        <v/>
      </c>
    </row>
    <row r="258">
      <c r="A258" t="n">
        <v>255</v>
      </c>
      <c r="B258" s="40" t="n">
        <v>46085</v>
      </c>
      <c r="C258" s="41" t="n">
        <v>0.4155578460648148</v>
      </c>
      <c r="D258" s="41" t="n">
        <v>0.4154818635416667</v>
      </c>
      <c r="E258" s="39">
        <f>(C258-D258)*1440</f>
        <v/>
      </c>
    </row>
    <row r="259">
      <c r="A259" t="n">
        <v>256</v>
      </c>
      <c r="B259" s="40" t="n">
        <v>46085</v>
      </c>
      <c r="C259" s="41" t="n">
        <v>0.415848129837963</v>
      </c>
      <c r="D259" s="41" t="n">
        <v>0.4155578460648148</v>
      </c>
      <c r="E259" s="39">
        <f>(C259-D259)*1440</f>
        <v/>
      </c>
    </row>
    <row r="260">
      <c r="A260" t="n">
        <v>257</v>
      </c>
      <c r="B260" s="40" t="n">
        <v>46085</v>
      </c>
      <c r="C260" s="41" t="n">
        <v>0.4160953065972222</v>
      </c>
      <c r="D260" s="41" t="n">
        <v>0.415848129837963</v>
      </c>
      <c r="E260" s="39">
        <f>(C260-D260)*1440</f>
        <v/>
      </c>
    </row>
    <row r="261">
      <c r="A261" t="n">
        <v>258</v>
      </c>
      <c r="B261" s="40" t="n">
        <v>46085</v>
      </c>
      <c r="C261" s="41" t="n">
        <v>0.4164135117361111</v>
      </c>
      <c r="D261" s="41" t="n">
        <v>0.4160953065972222</v>
      </c>
      <c r="E261" s="39">
        <f>(C261-D261)*1440</f>
        <v/>
      </c>
    </row>
    <row r="262">
      <c r="A262" t="n">
        <v>259</v>
      </c>
      <c r="B262" s="40" t="n">
        <v>46085</v>
      </c>
      <c r="C262" s="41" t="n">
        <v>0.4166103465162037</v>
      </c>
      <c r="D262" s="41" t="n">
        <v>0.4164135117361111</v>
      </c>
      <c r="E262" s="39">
        <f>(C262-D262)*1440</f>
        <v/>
      </c>
    </row>
    <row r="263">
      <c r="A263" t="n">
        <v>260</v>
      </c>
      <c r="B263" s="40" t="n">
        <v>46086</v>
      </c>
      <c r="C263" s="41" t="n">
        <v>0.3753864126388889</v>
      </c>
      <c r="D263" s="41" t="n">
        <v>0.3752848153935185</v>
      </c>
      <c r="E263" s="39">
        <f>(C263-D263)*1440</f>
        <v/>
      </c>
    </row>
    <row r="264">
      <c r="A264" t="n">
        <v>261</v>
      </c>
      <c r="B264" s="40" t="n">
        <v>46086</v>
      </c>
      <c r="C264" s="41" t="n">
        <v>0.3757549483449074</v>
      </c>
      <c r="D264" s="41" t="n">
        <v>0.3753864126388889</v>
      </c>
      <c r="E264" s="39">
        <f>(C264-D264)*1440</f>
        <v/>
      </c>
    </row>
    <row r="265">
      <c r="A265" t="n">
        <v>262</v>
      </c>
      <c r="B265" s="40" t="n">
        <v>46086</v>
      </c>
      <c r="C265" s="41" t="n">
        <v>0.3773119083101852</v>
      </c>
      <c r="D265" s="41" t="n">
        <v>0.3757549483449074</v>
      </c>
      <c r="E265" s="39">
        <f>(C265-D265)*1440</f>
        <v/>
      </c>
    </row>
    <row r="266">
      <c r="A266" t="n">
        <v>263</v>
      </c>
      <c r="B266" s="40" t="n">
        <v>46086</v>
      </c>
      <c r="C266" s="41" t="n">
        <v>0.3781774311458334</v>
      </c>
      <c r="D266" s="41" t="n">
        <v>0.3773119083101852</v>
      </c>
      <c r="E266" s="39">
        <f>(C266-D266)*1440</f>
        <v/>
      </c>
    </row>
    <row r="267">
      <c r="A267" t="n">
        <v>264</v>
      </c>
      <c r="B267" s="40" t="n">
        <v>46086</v>
      </c>
      <c r="C267" s="41" t="n">
        <v>0.3784899244212963</v>
      </c>
      <c r="D267" s="41" t="n">
        <v>0.3781774311458334</v>
      </c>
      <c r="E267" s="39">
        <f>(C267-D267)*1440</f>
        <v/>
      </c>
    </row>
    <row r="268">
      <c r="A268" t="n">
        <v>265</v>
      </c>
      <c r="B268" s="40" t="n">
        <v>46086</v>
      </c>
      <c r="C268" s="41" t="n">
        <v>0.3786963134606481</v>
      </c>
      <c r="D268" s="41" t="n">
        <v>0.3784899244212963</v>
      </c>
      <c r="E268" s="39">
        <f>(C268-D268)*1440</f>
        <v/>
      </c>
    </row>
    <row r="269">
      <c r="A269" t="n">
        <v>266</v>
      </c>
      <c r="B269" s="40" t="n">
        <v>46086</v>
      </c>
      <c r="C269" s="41" t="n">
        <v>0.3790227028472222</v>
      </c>
      <c r="D269" s="41" t="n">
        <v>0.3786963134606481</v>
      </c>
      <c r="E269" s="39">
        <f>(C269-D269)*1440</f>
        <v/>
      </c>
    </row>
    <row r="270">
      <c r="A270" t="n">
        <v>267</v>
      </c>
      <c r="B270" s="40" t="n">
        <v>46086</v>
      </c>
      <c r="C270" s="41" t="n">
        <v>0.3792659298958334</v>
      </c>
      <c r="D270" s="41" t="n">
        <v>0.3790227028472222</v>
      </c>
      <c r="E270" s="39">
        <f>(C270-D270)*1440</f>
        <v/>
      </c>
    </row>
    <row r="271">
      <c r="A271" t="n">
        <v>268</v>
      </c>
      <c r="B271" s="40" t="n">
        <v>46086</v>
      </c>
      <c r="C271" s="41" t="n">
        <v>0.3800265532523148</v>
      </c>
      <c r="D271" s="41" t="n">
        <v>0.3792659298958334</v>
      </c>
      <c r="E271" s="39">
        <f>(C271-D271)*1440</f>
        <v/>
      </c>
    </row>
    <row r="272">
      <c r="A272" t="n">
        <v>269</v>
      </c>
      <c r="B272" s="40" t="n">
        <v>46086</v>
      </c>
      <c r="C272" s="41" t="n">
        <v>0.3809313150115741</v>
      </c>
      <c r="D272" s="41" t="n">
        <v>0.3800265532523148</v>
      </c>
      <c r="E272" s="39">
        <f>(C272-D272)*1440</f>
        <v/>
      </c>
    </row>
    <row r="273">
      <c r="A273" t="n">
        <v>270</v>
      </c>
      <c r="B273" s="40" t="n">
        <v>46086</v>
      </c>
      <c r="C273" s="41" t="n">
        <v>0.3810288611805555</v>
      </c>
      <c r="D273" s="41" t="n">
        <v>0.3809313150115741</v>
      </c>
      <c r="E273" s="39">
        <f>(C273-D273)*1440</f>
        <v/>
      </c>
    </row>
    <row r="274">
      <c r="A274" t="n">
        <v>271</v>
      </c>
      <c r="B274" s="40" t="n">
        <v>46086</v>
      </c>
      <c r="C274" s="41" t="n">
        <v>0.3815999120138889</v>
      </c>
      <c r="D274" s="41" t="n">
        <v>0.3810288611805555</v>
      </c>
      <c r="E274" s="39">
        <f>(C274-D274)*1440</f>
        <v/>
      </c>
    </row>
    <row r="275">
      <c r="A275" t="n">
        <v>272</v>
      </c>
      <c r="B275" s="40" t="n">
        <v>46086</v>
      </c>
      <c r="C275" s="41" t="n">
        <v>0.3827634661226852</v>
      </c>
      <c r="D275" s="41" t="n">
        <v>0.3815999120138889</v>
      </c>
      <c r="E275" s="39">
        <f>(C275-D275)*1440</f>
        <v/>
      </c>
    </row>
    <row r="276">
      <c r="A276" t="n">
        <v>273</v>
      </c>
      <c r="B276" s="40" t="n">
        <v>46086</v>
      </c>
      <c r="C276" s="41" t="n">
        <v>0.3831056118055556</v>
      </c>
      <c r="D276" s="41" t="n">
        <v>0.3827634661226852</v>
      </c>
      <c r="E276" s="39">
        <f>(C276-D276)*1440</f>
        <v/>
      </c>
    </row>
    <row r="277">
      <c r="A277" t="n">
        <v>274</v>
      </c>
      <c r="B277" s="40" t="n">
        <v>46086</v>
      </c>
      <c r="C277" s="41" t="n">
        <v>0.3831924807175926</v>
      </c>
      <c r="D277" s="41" t="n">
        <v>0.3831056118055556</v>
      </c>
      <c r="E277" s="39">
        <f>(C277-D277)*1440</f>
        <v/>
      </c>
    </row>
    <row r="278">
      <c r="A278" t="n">
        <v>275</v>
      </c>
      <c r="B278" s="40" t="n">
        <v>46086</v>
      </c>
      <c r="C278" s="41" t="n">
        <v>0.384085663287037</v>
      </c>
      <c r="D278" s="41" t="n">
        <v>0.3831924807175926</v>
      </c>
      <c r="E278" s="39">
        <f>(C278-D278)*1440</f>
        <v/>
      </c>
    </row>
    <row r="279">
      <c r="A279" t="n">
        <v>276</v>
      </c>
      <c r="B279" s="40" t="n">
        <v>46086</v>
      </c>
      <c r="C279" s="41" t="n">
        <v>0.3842752048032408</v>
      </c>
      <c r="D279" s="41" t="n">
        <v>0.384085663287037</v>
      </c>
      <c r="E279" s="39">
        <f>(C279-D279)*1440</f>
        <v/>
      </c>
    </row>
    <row r="280">
      <c r="A280" t="n">
        <v>277</v>
      </c>
      <c r="B280" s="40" t="n">
        <v>46086</v>
      </c>
      <c r="C280" s="41" t="n">
        <v>0.3847836565277778</v>
      </c>
      <c r="D280" s="41" t="n">
        <v>0.3842752048032408</v>
      </c>
      <c r="E280" s="39">
        <f>(C280-D280)*1440</f>
        <v/>
      </c>
    </row>
    <row r="281">
      <c r="A281" t="n">
        <v>278</v>
      </c>
      <c r="B281" s="40" t="n">
        <v>46086</v>
      </c>
      <c r="C281" s="41" t="n">
        <v>0.3852000923032408</v>
      </c>
      <c r="D281" s="41" t="n">
        <v>0.3847836565277778</v>
      </c>
      <c r="E281" s="39">
        <f>(C281-D281)*1440</f>
        <v/>
      </c>
    </row>
    <row r="282">
      <c r="A282" t="n">
        <v>279</v>
      </c>
      <c r="B282" s="40" t="n">
        <v>46086</v>
      </c>
      <c r="C282" s="41" t="n">
        <v>0.3857779596990741</v>
      </c>
      <c r="D282" s="41" t="n">
        <v>0.3852000923032408</v>
      </c>
      <c r="E282" s="39">
        <f>(C282-D282)*1440</f>
        <v/>
      </c>
    </row>
    <row r="283">
      <c r="A283" t="n">
        <v>280</v>
      </c>
      <c r="B283" s="40" t="n">
        <v>46086</v>
      </c>
      <c r="C283" s="41" t="n">
        <v>0.3859054662615741</v>
      </c>
      <c r="D283" s="41" t="n">
        <v>0.3857779596990741</v>
      </c>
      <c r="E283" s="39">
        <f>(C283-D283)*1440</f>
        <v/>
      </c>
    </row>
    <row r="284">
      <c r="A284" t="n">
        <v>281</v>
      </c>
      <c r="B284" s="40" t="n">
        <v>46086</v>
      </c>
      <c r="C284" s="41" t="n">
        <v>0.3860194016782408</v>
      </c>
      <c r="D284" s="41" t="n">
        <v>0.3859054662615741</v>
      </c>
      <c r="E284" s="39">
        <f>(C284-D284)*1440</f>
        <v/>
      </c>
    </row>
    <row r="285">
      <c r="A285" t="n">
        <v>282</v>
      </c>
      <c r="B285" s="40" t="n">
        <v>46086</v>
      </c>
      <c r="C285" s="41" t="n">
        <v>0.3864265981712963</v>
      </c>
      <c r="D285" s="41" t="n">
        <v>0.3860194016782408</v>
      </c>
      <c r="E285" s="39">
        <f>(C285-D285)*1440</f>
        <v/>
      </c>
    </row>
    <row r="286">
      <c r="A286" t="n">
        <v>283</v>
      </c>
      <c r="B286" s="40" t="n">
        <v>46086</v>
      </c>
      <c r="C286" s="41" t="n">
        <v>0.3870325056828703</v>
      </c>
      <c r="D286" s="41" t="n">
        <v>0.3864265981712963</v>
      </c>
      <c r="E286" s="39">
        <f>(C286-D286)*1440</f>
        <v/>
      </c>
    </row>
    <row r="287">
      <c r="A287" t="n">
        <v>284</v>
      </c>
      <c r="B287" s="40" t="n">
        <v>46086</v>
      </c>
      <c r="C287" s="41" t="n">
        <v>0.3872017047337963</v>
      </c>
      <c r="D287" s="41" t="n">
        <v>0.3870325056828703</v>
      </c>
      <c r="E287" s="39">
        <f>(C287-D287)*1440</f>
        <v/>
      </c>
    </row>
    <row r="288">
      <c r="A288" t="n">
        <v>285</v>
      </c>
      <c r="B288" s="40" t="n">
        <v>46086</v>
      </c>
      <c r="C288" s="41" t="n">
        <v>0.3880891246412037</v>
      </c>
      <c r="D288" s="41" t="n">
        <v>0.3872017047337963</v>
      </c>
      <c r="E288" s="39">
        <f>(C288-D288)*1440</f>
        <v/>
      </c>
    </row>
    <row r="289">
      <c r="A289" t="n">
        <v>286</v>
      </c>
      <c r="B289" s="40" t="n">
        <v>46086</v>
      </c>
      <c r="C289" s="41" t="n">
        <v>0.389006690150463</v>
      </c>
      <c r="D289" s="41" t="n">
        <v>0.3880891246412037</v>
      </c>
      <c r="E289" s="39">
        <f>(C289-D289)*1440</f>
        <v/>
      </c>
    </row>
    <row r="290">
      <c r="A290" t="n">
        <v>287</v>
      </c>
      <c r="B290" s="40" t="n">
        <v>46086</v>
      </c>
      <c r="C290" s="41" t="n">
        <v>0.3898967207754629</v>
      </c>
      <c r="D290" s="41" t="n">
        <v>0.389006690150463</v>
      </c>
      <c r="E290" s="39">
        <f>(C290-D290)*1440</f>
        <v/>
      </c>
    </row>
    <row r="291">
      <c r="A291" t="n">
        <v>288</v>
      </c>
      <c r="B291" s="40" t="n">
        <v>46086</v>
      </c>
      <c r="C291" s="41" t="n">
        <v>0.3901458206481481</v>
      </c>
      <c r="D291" s="41" t="n">
        <v>0.3898967207754629</v>
      </c>
      <c r="E291" s="39">
        <f>(C291-D291)*1440</f>
        <v/>
      </c>
    </row>
    <row r="292">
      <c r="A292" t="n">
        <v>289</v>
      </c>
      <c r="B292" s="40" t="n">
        <v>46086</v>
      </c>
      <c r="C292" s="41" t="n">
        <v>0.3914771538310185</v>
      </c>
      <c r="D292" s="41" t="n">
        <v>0.3901458206481481</v>
      </c>
      <c r="E292" s="39">
        <f>(C292-D292)*1440</f>
        <v/>
      </c>
    </row>
    <row r="293">
      <c r="A293" t="n">
        <v>290</v>
      </c>
      <c r="B293" s="40" t="n">
        <v>46086</v>
      </c>
      <c r="C293" s="41" t="n">
        <v>0.3918857959027778</v>
      </c>
      <c r="D293" s="41" t="n">
        <v>0.3914771538310185</v>
      </c>
      <c r="E293" s="39">
        <f>(C293-D293)*1440</f>
        <v/>
      </c>
    </row>
    <row r="294">
      <c r="A294" t="n">
        <v>291</v>
      </c>
      <c r="B294" s="40" t="n">
        <v>46086</v>
      </c>
      <c r="C294" s="41" t="n">
        <v>0.3919103350115741</v>
      </c>
      <c r="D294" s="41" t="n">
        <v>0.3918857959027778</v>
      </c>
      <c r="E294" s="39">
        <f>(C294-D294)*1440</f>
        <v/>
      </c>
    </row>
    <row r="295">
      <c r="A295" t="n">
        <v>292</v>
      </c>
      <c r="B295" s="40" t="n">
        <v>46086</v>
      </c>
      <c r="C295" s="41" t="n">
        <v>0.3930155892361111</v>
      </c>
      <c r="D295" s="41" t="n">
        <v>0.3919103350115741</v>
      </c>
      <c r="E295" s="39">
        <f>(C295-D295)*1440</f>
        <v/>
      </c>
    </row>
    <row r="296">
      <c r="A296" t="n">
        <v>293</v>
      </c>
      <c r="B296" s="40" t="n">
        <v>46086</v>
      </c>
      <c r="C296" s="41" t="n">
        <v>0.3930384616782407</v>
      </c>
      <c r="D296" s="41" t="n">
        <v>0.3930155892361111</v>
      </c>
      <c r="E296" s="39">
        <f>(C296-D296)*1440</f>
        <v/>
      </c>
    </row>
    <row r="297">
      <c r="A297" t="n">
        <v>294</v>
      </c>
      <c r="B297" s="40" t="n">
        <v>46086</v>
      </c>
      <c r="C297" s="41" t="n">
        <v>0.3938375568981482</v>
      </c>
      <c r="D297" s="41" t="n">
        <v>0.3930384616782407</v>
      </c>
      <c r="E297" s="39">
        <f>(C297-D297)*1440</f>
        <v/>
      </c>
    </row>
    <row r="298">
      <c r="A298" t="n">
        <v>295</v>
      </c>
      <c r="B298" s="40" t="n">
        <v>46086</v>
      </c>
      <c r="C298" s="41" t="n">
        <v>0.3939515055208334</v>
      </c>
      <c r="D298" s="41" t="n">
        <v>0.3938375568981482</v>
      </c>
      <c r="E298" s="39">
        <f>(C298-D298)*1440</f>
        <v/>
      </c>
    </row>
    <row r="299">
      <c r="A299" t="n">
        <v>296</v>
      </c>
      <c r="B299" s="40" t="n">
        <v>46086</v>
      </c>
      <c r="C299" s="41" t="n">
        <v>0.3950910096875</v>
      </c>
      <c r="D299" s="41" t="n">
        <v>0.3939515055208334</v>
      </c>
      <c r="E299" s="39">
        <f>(C299-D299)*1440</f>
        <v/>
      </c>
    </row>
    <row r="300">
      <c r="A300" t="n">
        <v>297</v>
      </c>
      <c r="B300" s="40" t="n">
        <v>46086</v>
      </c>
      <c r="C300" s="41" t="n">
        <v>0.3951157318171297</v>
      </c>
      <c r="D300" s="41" t="n">
        <v>0.3950910096875</v>
      </c>
      <c r="E300" s="39">
        <f>(C300-D300)*1440</f>
        <v/>
      </c>
    </row>
    <row r="301">
      <c r="A301" t="n">
        <v>298</v>
      </c>
      <c r="B301" s="40" t="n">
        <v>46086</v>
      </c>
      <c r="C301" s="41" t="n">
        <v>0.3954714825578703</v>
      </c>
      <c r="D301" s="41" t="n">
        <v>0.3951157318171297</v>
      </c>
      <c r="E301" s="39">
        <f>(C301-D301)*1440</f>
        <v/>
      </c>
    </row>
    <row r="302">
      <c r="A302" t="n">
        <v>299</v>
      </c>
      <c r="B302" s="40" t="n">
        <v>46086</v>
      </c>
      <c r="C302" s="41" t="n">
        <v>0.395885619212963</v>
      </c>
      <c r="D302" s="41" t="n">
        <v>0.3954714825578703</v>
      </c>
      <c r="E302" s="39">
        <f>(C302-D302)*1440</f>
        <v/>
      </c>
    </row>
    <row r="303">
      <c r="A303" t="n">
        <v>300</v>
      </c>
      <c r="B303" s="40" t="n">
        <v>46086</v>
      </c>
      <c r="C303" s="41" t="n">
        <v>0.3977878361111111</v>
      </c>
      <c r="D303" s="41" t="n">
        <v>0.395885619212963</v>
      </c>
      <c r="E303" s="39">
        <f>(C303-D303)*1440</f>
        <v/>
      </c>
    </row>
    <row r="304">
      <c r="A304" t="n">
        <v>301</v>
      </c>
      <c r="B304" s="40" t="n">
        <v>46086</v>
      </c>
      <c r="C304" s="41" t="n">
        <v>0.3990094905208333</v>
      </c>
      <c r="D304" s="41" t="n">
        <v>0.3977878361111111</v>
      </c>
      <c r="E304" s="39">
        <f>(C304-D304)*1440</f>
        <v/>
      </c>
    </row>
    <row r="305">
      <c r="A305" t="n">
        <v>302</v>
      </c>
      <c r="B305" s="40" t="n">
        <v>46086</v>
      </c>
      <c r="C305" s="41" t="n">
        <v>0.3991353824652777</v>
      </c>
      <c r="D305" s="41" t="n">
        <v>0.3990094905208333</v>
      </c>
      <c r="E305" s="39">
        <f>(C305-D305)*1440</f>
        <v/>
      </c>
    </row>
    <row r="306">
      <c r="A306" t="n">
        <v>303</v>
      </c>
      <c r="B306" s="40" t="n">
        <v>46086</v>
      </c>
      <c r="C306" s="41" t="n">
        <v>0.3992966041666667</v>
      </c>
      <c r="D306" s="41" t="n">
        <v>0.3991353824652777</v>
      </c>
      <c r="E306" s="39">
        <f>(C306-D306)*1440</f>
        <v/>
      </c>
    </row>
    <row r="307">
      <c r="A307" t="n">
        <v>304</v>
      </c>
      <c r="B307" s="40" t="n">
        <v>46086</v>
      </c>
      <c r="C307" s="41" t="n">
        <v>0.3994158968981482</v>
      </c>
      <c r="D307" s="41" t="n">
        <v>0.3992966041666667</v>
      </c>
      <c r="E307" s="39">
        <f>(C307-D307)*1440</f>
        <v/>
      </c>
    </row>
    <row r="308">
      <c r="A308" t="n">
        <v>305</v>
      </c>
      <c r="B308" s="40" t="n">
        <v>46086</v>
      </c>
      <c r="C308" s="41" t="n">
        <v>0.3997176272106481</v>
      </c>
      <c r="D308" s="41" t="n">
        <v>0.3994158968981482</v>
      </c>
      <c r="E308" s="39">
        <f>(C308-D308)*1440</f>
        <v/>
      </c>
    </row>
    <row r="309">
      <c r="A309" t="n">
        <v>306</v>
      </c>
      <c r="B309" s="40" t="n">
        <v>46086</v>
      </c>
      <c r="C309" s="41" t="n">
        <v>0.3998598073379629</v>
      </c>
      <c r="D309" s="41" t="n">
        <v>0.3997176272106481</v>
      </c>
      <c r="E309" s="39">
        <f>(C309-D309)*1440</f>
        <v/>
      </c>
    </row>
    <row r="310">
      <c r="A310" t="n">
        <v>307</v>
      </c>
      <c r="B310" s="40" t="n">
        <v>46086</v>
      </c>
      <c r="C310" s="41" t="n">
        <v>0.4003008782870371</v>
      </c>
      <c r="D310" s="41" t="n">
        <v>0.3998598073379629</v>
      </c>
      <c r="E310" s="39">
        <f>(C310-D310)*1440</f>
        <v/>
      </c>
    </row>
    <row r="311">
      <c r="A311" t="n">
        <v>308</v>
      </c>
      <c r="B311" s="40" t="n">
        <v>46086</v>
      </c>
      <c r="C311" s="41" t="n">
        <v>0.4006224176157407</v>
      </c>
      <c r="D311" s="41" t="n">
        <v>0.4003008782870371</v>
      </c>
      <c r="E311" s="39">
        <f>(C311-D311)*1440</f>
        <v/>
      </c>
    </row>
    <row r="312">
      <c r="A312" t="n">
        <v>309</v>
      </c>
      <c r="B312" s="40" t="n">
        <v>46086</v>
      </c>
      <c r="C312" s="41" t="n">
        <v>0.4008083894444445</v>
      </c>
      <c r="D312" s="41" t="n">
        <v>0.4006224176157407</v>
      </c>
      <c r="E312" s="39">
        <f>(C312-D312)*1440</f>
        <v/>
      </c>
    </row>
    <row r="313">
      <c r="A313" t="n">
        <v>310</v>
      </c>
      <c r="B313" s="40" t="n">
        <v>46086</v>
      </c>
      <c r="C313" s="41" t="n">
        <v>0.4017228776967593</v>
      </c>
      <c r="D313" s="41" t="n">
        <v>0.4008083894444445</v>
      </c>
      <c r="E313" s="39">
        <f>(C313-D313)*1440</f>
        <v/>
      </c>
    </row>
    <row r="314">
      <c r="A314" t="n">
        <v>311</v>
      </c>
      <c r="B314" s="40" t="n">
        <v>46086</v>
      </c>
      <c r="C314" s="41" t="n">
        <v>0.4042179766087963</v>
      </c>
      <c r="D314" s="41" t="n">
        <v>0.4017228776967593</v>
      </c>
      <c r="E314" s="39">
        <f>(C314-D314)*1440</f>
        <v/>
      </c>
    </row>
    <row r="315">
      <c r="A315" t="n">
        <v>312</v>
      </c>
      <c r="B315" s="40" t="n">
        <v>46086</v>
      </c>
      <c r="C315" s="41" t="n">
        <v>0.404362194375</v>
      </c>
      <c r="D315" s="41" t="n">
        <v>0.4042179766087963</v>
      </c>
      <c r="E315" s="39">
        <f>(C315-D315)*1440</f>
        <v/>
      </c>
    </row>
    <row r="316">
      <c r="A316" t="n">
        <v>313</v>
      </c>
      <c r="B316" s="40" t="n">
        <v>46086</v>
      </c>
      <c r="C316" s="41" t="n">
        <v>0.4046149387847222</v>
      </c>
      <c r="D316" s="41" t="n">
        <v>0.404362194375</v>
      </c>
      <c r="E316" s="39">
        <f>(C316-D316)*1440</f>
        <v/>
      </c>
    </row>
    <row r="317">
      <c r="A317" t="n">
        <v>314</v>
      </c>
      <c r="B317" s="40" t="n">
        <v>46086</v>
      </c>
      <c r="C317" s="41" t="n">
        <v>0.4049433999537037</v>
      </c>
      <c r="D317" s="41" t="n">
        <v>0.4046149387847222</v>
      </c>
      <c r="E317" s="39">
        <f>(C317-D317)*1440</f>
        <v/>
      </c>
    </row>
    <row r="318">
      <c r="A318" t="n">
        <v>315</v>
      </c>
      <c r="B318" s="40" t="n">
        <v>46086</v>
      </c>
      <c r="C318" s="41" t="n">
        <v>0.4054686260069444</v>
      </c>
      <c r="D318" s="41" t="n">
        <v>0.4049433999537037</v>
      </c>
      <c r="E318" s="39">
        <f>(C318-D318)*1440</f>
        <v/>
      </c>
    </row>
    <row r="319">
      <c r="A319" t="n">
        <v>316</v>
      </c>
      <c r="B319" s="40" t="n">
        <v>46086</v>
      </c>
      <c r="C319" s="41" t="n">
        <v>0.4056048849652778</v>
      </c>
      <c r="D319" s="41" t="n">
        <v>0.4054686260069444</v>
      </c>
      <c r="E319" s="39">
        <f>(C319-D319)*1440</f>
        <v/>
      </c>
    </row>
    <row r="320">
      <c r="A320" t="n">
        <v>317</v>
      </c>
      <c r="B320" s="40" t="n">
        <v>46086</v>
      </c>
      <c r="C320" s="41" t="n">
        <v>0.4056139395717592</v>
      </c>
      <c r="D320" s="41" t="n">
        <v>0.4056048849652778</v>
      </c>
      <c r="E320" s="39">
        <f>(C320-D320)*1440</f>
        <v/>
      </c>
    </row>
    <row r="321">
      <c r="A321" t="n">
        <v>318</v>
      </c>
      <c r="B321" s="40" t="n">
        <v>46086</v>
      </c>
      <c r="C321" s="41" t="n">
        <v>0.4057710506481482</v>
      </c>
      <c r="D321" s="41" t="n">
        <v>0.4056139395717592</v>
      </c>
      <c r="E321" s="39">
        <f>(C321-D321)*1440</f>
        <v/>
      </c>
    </row>
    <row r="322">
      <c r="A322" t="n">
        <v>319</v>
      </c>
      <c r="B322" s="40" t="n">
        <v>46086</v>
      </c>
      <c r="C322" s="41" t="n">
        <v>0.4058126367592593</v>
      </c>
      <c r="D322" s="41" t="n">
        <v>0.4057710506481482</v>
      </c>
      <c r="E322" s="39">
        <f>(C322-D322)*1440</f>
        <v/>
      </c>
    </row>
    <row r="323">
      <c r="A323" t="n">
        <v>320</v>
      </c>
      <c r="B323" s="40" t="n">
        <v>46086</v>
      </c>
      <c r="C323" s="41" t="n">
        <v>0.4062691258217593</v>
      </c>
      <c r="D323" s="41" t="n">
        <v>0.4058126367592593</v>
      </c>
      <c r="E323" s="39">
        <f>(C323-D323)*1440</f>
        <v/>
      </c>
    </row>
    <row r="324">
      <c r="A324" t="n">
        <v>321</v>
      </c>
      <c r="B324" s="40" t="n">
        <v>46086</v>
      </c>
      <c r="C324" s="41" t="n">
        <v>0.4090717959490741</v>
      </c>
      <c r="D324" s="41" t="n">
        <v>0.4062691258217593</v>
      </c>
      <c r="E324" s="39">
        <f>(C324-D324)*1440</f>
        <v/>
      </c>
    </row>
    <row r="325">
      <c r="A325" t="n">
        <v>322</v>
      </c>
      <c r="B325" s="40" t="n">
        <v>46086</v>
      </c>
      <c r="C325" s="41" t="n">
        <v>0.4091138464467592</v>
      </c>
      <c r="D325" s="41" t="n">
        <v>0.4090717959490741</v>
      </c>
      <c r="E325" s="39">
        <f>(C325-D325)*1440</f>
        <v/>
      </c>
    </row>
    <row r="326">
      <c r="A326" t="n">
        <v>323</v>
      </c>
      <c r="B326" s="40" t="n">
        <v>46086</v>
      </c>
      <c r="C326" s="41" t="n">
        <v>0.409497013113426</v>
      </c>
      <c r="D326" s="41" t="n">
        <v>0.4091138464467592</v>
      </c>
      <c r="E326" s="39">
        <f>(C326-D326)*1440</f>
        <v/>
      </c>
    </row>
    <row r="327">
      <c r="A327" t="n">
        <v>324</v>
      </c>
      <c r="B327" s="40" t="n">
        <v>46086</v>
      </c>
      <c r="C327" s="41" t="n">
        <v>0.4098554243865741</v>
      </c>
      <c r="D327" s="41" t="n">
        <v>0.409497013113426</v>
      </c>
      <c r="E327" s="39">
        <f>(C327-D327)*1440</f>
        <v/>
      </c>
    </row>
    <row r="328">
      <c r="A328" t="n">
        <v>325</v>
      </c>
      <c r="B328" s="40" t="n">
        <v>46086</v>
      </c>
      <c r="C328" s="41" t="n">
        <v>0.4098707672453704</v>
      </c>
      <c r="D328" s="41" t="n">
        <v>0.4098554243865741</v>
      </c>
      <c r="E328" s="39">
        <f>(C328-D328)*1440</f>
        <v/>
      </c>
    </row>
    <row r="329">
      <c r="A329" t="n">
        <v>326</v>
      </c>
      <c r="B329" s="40" t="n">
        <v>46086</v>
      </c>
      <c r="C329" s="41" t="n">
        <v>0.4103086359837962</v>
      </c>
      <c r="D329" s="41" t="n">
        <v>0.4098707672453704</v>
      </c>
      <c r="E329" s="39">
        <f>(C329-D329)*1440</f>
        <v/>
      </c>
    </row>
    <row r="330">
      <c r="A330" t="n">
        <v>327</v>
      </c>
      <c r="B330" s="40" t="n">
        <v>46086</v>
      </c>
      <c r="C330" s="41" t="n">
        <v>0.4108962367592592</v>
      </c>
      <c r="D330" s="41" t="n">
        <v>0.4103086359837962</v>
      </c>
      <c r="E330" s="39">
        <f>(C330-D330)*1440</f>
        <v/>
      </c>
    </row>
    <row r="331">
      <c r="A331" t="n">
        <v>328</v>
      </c>
      <c r="B331" s="40" t="n">
        <v>46086</v>
      </c>
      <c r="C331" s="41" t="n">
        <v>0.4118512945949074</v>
      </c>
      <c r="D331" s="41" t="n">
        <v>0.4108962367592592</v>
      </c>
      <c r="E331" s="39">
        <f>(C331-D331)*1440</f>
        <v/>
      </c>
    </row>
    <row r="332">
      <c r="A332" t="n">
        <v>329</v>
      </c>
      <c r="B332" s="40" t="n">
        <v>46086</v>
      </c>
      <c r="C332" s="41" t="n">
        <v>0.4118905596990741</v>
      </c>
      <c r="D332" s="41" t="n">
        <v>0.4118512945949074</v>
      </c>
      <c r="E332" s="39">
        <f>(C332-D332)*1440</f>
        <v/>
      </c>
    </row>
    <row r="333">
      <c r="A333" t="n">
        <v>330</v>
      </c>
      <c r="B333" s="40" t="n">
        <v>46086</v>
      </c>
      <c r="C333" s="41" t="n">
        <v>0.4121479715856481</v>
      </c>
      <c r="D333" s="41" t="n">
        <v>0.4118905596990741</v>
      </c>
      <c r="E333" s="39">
        <f>(C333-D333)*1440</f>
        <v/>
      </c>
    </row>
    <row r="334">
      <c r="A334" t="n">
        <v>331</v>
      </c>
      <c r="B334" s="40" t="n">
        <v>46086</v>
      </c>
      <c r="C334" s="41" t="n">
        <v>0.4121738752314815</v>
      </c>
      <c r="D334" s="41" t="n">
        <v>0.4121479715856481</v>
      </c>
      <c r="E334" s="39">
        <f>(C334-D334)*1440</f>
        <v/>
      </c>
    </row>
    <row r="335">
      <c r="A335" t="n">
        <v>332</v>
      </c>
      <c r="B335" s="40" t="n">
        <v>46086</v>
      </c>
      <c r="C335" s="41" t="n">
        <v>0.4123200995949074</v>
      </c>
      <c r="D335" s="41" t="n">
        <v>0.4121738752314815</v>
      </c>
      <c r="E335" s="39">
        <f>(C335-D335)*1440</f>
        <v/>
      </c>
    </row>
    <row r="336">
      <c r="A336" t="n">
        <v>333</v>
      </c>
      <c r="B336" s="40" t="n">
        <v>46086</v>
      </c>
      <c r="C336" s="41" t="n">
        <v>0.4126538103240741</v>
      </c>
      <c r="D336" s="41" t="n">
        <v>0.4123200995949074</v>
      </c>
      <c r="E336" s="39">
        <f>(C336-D336)*1440</f>
        <v/>
      </c>
    </row>
    <row r="337">
      <c r="A337" t="n">
        <v>334</v>
      </c>
      <c r="B337" s="40" t="n">
        <v>46086</v>
      </c>
      <c r="C337" s="41" t="n">
        <v>0.4127479773958333</v>
      </c>
      <c r="D337" s="41" t="n">
        <v>0.4126538103240741</v>
      </c>
      <c r="E337" s="39">
        <f>(C337-D337)*1440</f>
        <v/>
      </c>
    </row>
    <row r="338">
      <c r="A338" t="n">
        <v>335</v>
      </c>
      <c r="B338" s="40" t="n">
        <v>46086</v>
      </c>
      <c r="C338" s="41" t="n">
        <v>0.4130548567476852</v>
      </c>
      <c r="D338" s="41" t="n">
        <v>0.4127479773958333</v>
      </c>
      <c r="E338" s="39">
        <f>(C338-D338)*1440</f>
        <v/>
      </c>
    </row>
    <row r="339">
      <c r="A339" t="n">
        <v>336</v>
      </c>
      <c r="B339" s="40" t="n">
        <v>46086</v>
      </c>
      <c r="C339" s="41" t="n">
        <v>0.4134925341666667</v>
      </c>
      <c r="D339" s="41" t="n">
        <v>0.4130548567476852</v>
      </c>
      <c r="E339" s="39">
        <f>(C339-D339)*1440</f>
        <v/>
      </c>
    </row>
    <row r="340">
      <c r="A340" t="n">
        <v>337</v>
      </c>
      <c r="B340" s="40" t="n">
        <v>46086</v>
      </c>
      <c r="C340" s="41" t="n">
        <v>0.4135450236689815</v>
      </c>
      <c r="D340" s="41" t="n">
        <v>0.4134925341666667</v>
      </c>
      <c r="E340" s="39">
        <f>(C340-D340)*1440</f>
        <v/>
      </c>
    </row>
    <row r="341">
      <c r="A341" t="n">
        <v>338</v>
      </c>
      <c r="B341" s="40" t="n">
        <v>46086</v>
      </c>
      <c r="C341" s="41" t="n">
        <v>0.4139900805208334</v>
      </c>
      <c r="D341" s="41" t="n">
        <v>0.4135450236689815</v>
      </c>
      <c r="E341" s="39">
        <f>(C341-D341)*1440</f>
        <v/>
      </c>
    </row>
    <row r="342">
      <c r="A342" t="n">
        <v>339</v>
      </c>
      <c r="B342" s="40" t="n">
        <v>46086</v>
      </c>
      <c r="C342" s="41" t="n">
        <v>0.4142563203240741</v>
      </c>
      <c r="D342" s="41" t="n">
        <v>0.4139900805208334</v>
      </c>
      <c r="E342" s="39">
        <f>(C342-D342)*1440</f>
        <v/>
      </c>
    </row>
    <row r="343">
      <c r="A343" t="n">
        <v>340</v>
      </c>
      <c r="B343" s="40" t="n">
        <v>46086</v>
      </c>
      <c r="C343" s="41" t="n">
        <v>0.4143611894212963</v>
      </c>
      <c r="D343" s="41" t="n">
        <v>0.4142563203240741</v>
      </c>
      <c r="E343" s="39">
        <f>(C343-D343)*1440</f>
        <v/>
      </c>
    </row>
    <row r="344">
      <c r="A344" t="n">
        <v>341</v>
      </c>
      <c r="B344" s="40" t="n">
        <v>46086</v>
      </c>
      <c r="C344" s="41" t="n">
        <v>0.4150203160648148</v>
      </c>
      <c r="D344" s="41" t="n">
        <v>0.4143611894212963</v>
      </c>
      <c r="E344" s="39">
        <f>(C344-D344)*1440</f>
        <v/>
      </c>
    </row>
    <row r="345">
      <c r="A345" t="n">
        <v>342</v>
      </c>
      <c r="B345" s="40" t="n">
        <v>46086</v>
      </c>
      <c r="C345" s="41" t="n">
        <v>0.4150433467939815</v>
      </c>
      <c r="D345" s="41" t="n">
        <v>0.4150203160648148</v>
      </c>
      <c r="E345" s="39">
        <f>(C345-D345)*1440</f>
        <v/>
      </c>
    </row>
    <row r="346">
      <c r="A346" t="n">
        <v>343</v>
      </c>
      <c r="B346" s="40" t="n">
        <v>46086</v>
      </c>
      <c r="C346" s="41" t="n">
        <v>0.415292192037037</v>
      </c>
      <c r="D346" s="41" t="n">
        <v>0.4150433467939815</v>
      </c>
      <c r="E346" s="39">
        <f>(C346-D346)*1440</f>
        <v/>
      </c>
    </row>
    <row r="347">
      <c r="A347" t="n">
        <v>344</v>
      </c>
      <c r="B347" s="40" t="n">
        <v>46086</v>
      </c>
      <c r="C347" s="41" t="n">
        <v>0.4161772500694444</v>
      </c>
      <c r="D347" s="41" t="n">
        <v>0.415292192037037</v>
      </c>
      <c r="E347" s="39">
        <f>(C347-D347)*1440</f>
        <v/>
      </c>
    </row>
    <row r="348">
      <c r="A348" t="n">
        <v>345</v>
      </c>
      <c r="B348" s="40" t="n">
        <v>46086</v>
      </c>
      <c r="C348" s="41" t="n">
        <v>0.4162348090972223</v>
      </c>
      <c r="D348" s="41" t="n">
        <v>0.4161772500694444</v>
      </c>
      <c r="E348" s="39">
        <f>(C348-D348)*1440</f>
        <v/>
      </c>
    </row>
    <row r="349">
      <c r="A349" t="n">
        <v>346</v>
      </c>
      <c r="B349" s="40" t="n">
        <v>46086</v>
      </c>
      <c r="C349" s="41" t="n">
        <v>0.4165688644097222</v>
      </c>
      <c r="D349" s="41" t="n">
        <v>0.4162348090972223</v>
      </c>
      <c r="E349" s="39">
        <f>(C349-D349)*1440</f>
        <v/>
      </c>
    </row>
    <row r="350">
      <c r="A350" t="n">
        <v>347</v>
      </c>
      <c r="B350" s="40" t="n">
        <v>46087</v>
      </c>
      <c r="C350" s="41" t="n">
        <v>0.3751834349537037</v>
      </c>
      <c r="D350" s="41" t="n">
        <v>0.3751598041087963</v>
      </c>
      <c r="E350" s="39">
        <f>(C350-D350)*1440</f>
        <v/>
      </c>
    </row>
    <row r="351">
      <c r="A351" t="n">
        <v>348</v>
      </c>
      <c r="B351" s="40" t="n">
        <v>46087</v>
      </c>
      <c r="C351" s="41" t="n">
        <v>0.3752457359722222</v>
      </c>
      <c r="D351" s="41" t="n">
        <v>0.3751834349537037</v>
      </c>
      <c r="E351" s="39">
        <f>(C351-D351)*1440</f>
        <v/>
      </c>
    </row>
    <row r="352">
      <c r="A352" t="n">
        <v>349</v>
      </c>
      <c r="B352" s="40" t="n">
        <v>46087</v>
      </c>
      <c r="C352" s="41" t="n">
        <v>0.3754597148958334</v>
      </c>
      <c r="D352" s="41" t="n">
        <v>0.3752457359722222</v>
      </c>
      <c r="E352" s="39">
        <f>(C352-D352)*1440</f>
        <v/>
      </c>
    </row>
    <row r="353">
      <c r="A353" t="n">
        <v>350</v>
      </c>
      <c r="B353" s="40" t="n">
        <v>46087</v>
      </c>
      <c r="C353" s="41" t="n">
        <v>0.3755697173032407</v>
      </c>
      <c r="D353" s="41" t="n">
        <v>0.3754597148958334</v>
      </c>
      <c r="E353" s="39">
        <f>(C353-D353)*1440</f>
        <v/>
      </c>
    </row>
    <row r="354">
      <c r="A354" t="n">
        <v>351</v>
      </c>
      <c r="B354" s="40" t="n">
        <v>46087</v>
      </c>
      <c r="C354" s="41" t="n">
        <v>0.3765334682986111</v>
      </c>
      <c r="D354" s="41" t="n">
        <v>0.3755697173032407</v>
      </c>
      <c r="E354" s="39">
        <f>(C354-D354)*1440</f>
        <v/>
      </c>
    </row>
    <row r="355">
      <c r="A355" t="n">
        <v>352</v>
      </c>
      <c r="B355" s="40" t="n">
        <v>46087</v>
      </c>
      <c r="C355" s="41" t="n">
        <v>0.3765949112847222</v>
      </c>
      <c r="D355" s="41" t="n">
        <v>0.3765334682986111</v>
      </c>
      <c r="E355" s="39">
        <f>(C355-D355)*1440</f>
        <v/>
      </c>
    </row>
    <row r="356">
      <c r="A356" t="n">
        <v>353</v>
      </c>
      <c r="B356" s="40" t="n">
        <v>46087</v>
      </c>
      <c r="C356" s="41" t="n">
        <v>0.3766126047685185</v>
      </c>
      <c r="D356" s="41" t="n">
        <v>0.3765949112847222</v>
      </c>
      <c r="E356" s="39">
        <f>(C356-D356)*1440</f>
        <v/>
      </c>
    </row>
    <row r="357">
      <c r="A357" t="n">
        <v>354</v>
      </c>
      <c r="B357" s="40" t="n">
        <v>46087</v>
      </c>
      <c r="C357" s="41" t="n">
        <v>0.3769927908796296</v>
      </c>
      <c r="D357" s="41" t="n">
        <v>0.3766126047685185</v>
      </c>
      <c r="E357" s="39">
        <f>(C357-D357)*1440</f>
        <v/>
      </c>
    </row>
    <row r="358">
      <c r="A358" t="n">
        <v>355</v>
      </c>
      <c r="B358" s="40" t="n">
        <v>46087</v>
      </c>
      <c r="C358" s="41" t="n">
        <v>0.3769953150462963</v>
      </c>
      <c r="D358" s="41" t="n">
        <v>0.3769927908796296</v>
      </c>
      <c r="E358" s="39">
        <f>(C358-D358)*1440</f>
        <v/>
      </c>
    </row>
    <row r="359">
      <c r="A359" t="n">
        <v>356</v>
      </c>
      <c r="B359" s="40" t="n">
        <v>46087</v>
      </c>
      <c r="C359" s="41" t="n">
        <v>0.377300186875</v>
      </c>
      <c r="D359" s="41" t="n">
        <v>0.3769953150462963</v>
      </c>
      <c r="E359" s="39">
        <f>(C359-D359)*1440</f>
        <v/>
      </c>
    </row>
    <row r="360">
      <c r="A360" t="n">
        <v>357</v>
      </c>
      <c r="B360" s="40" t="n">
        <v>46087</v>
      </c>
      <c r="C360" s="41" t="n">
        <v>0.3774152164814815</v>
      </c>
      <c r="D360" s="41" t="n">
        <v>0.377300186875</v>
      </c>
      <c r="E360" s="39">
        <f>(C360-D360)*1440</f>
        <v/>
      </c>
    </row>
    <row r="361">
      <c r="A361" t="n">
        <v>358</v>
      </c>
      <c r="B361" s="40" t="n">
        <v>46087</v>
      </c>
      <c r="C361" s="41" t="n">
        <v>0.3783970661226852</v>
      </c>
      <c r="D361" s="41" t="n">
        <v>0.3774152164814815</v>
      </c>
      <c r="E361" s="39">
        <f>(C361-D361)*1440</f>
        <v/>
      </c>
    </row>
    <row r="362">
      <c r="A362" t="n">
        <v>359</v>
      </c>
      <c r="B362" s="40" t="n">
        <v>46087</v>
      </c>
      <c r="C362" s="41" t="n">
        <v>0.378453554675926</v>
      </c>
      <c r="D362" s="41" t="n">
        <v>0.3783970661226852</v>
      </c>
      <c r="E362" s="39">
        <f>(C362-D362)*1440</f>
        <v/>
      </c>
    </row>
    <row r="363">
      <c r="A363" t="n">
        <v>360</v>
      </c>
      <c r="B363" s="40" t="n">
        <v>46087</v>
      </c>
      <c r="C363" s="41" t="n">
        <v>0.3786841962268518</v>
      </c>
      <c r="D363" s="41" t="n">
        <v>0.378453554675926</v>
      </c>
      <c r="E363" s="39">
        <f>(C363-D363)*1440</f>
        <v/>
      </c>
    </row>
    <row r="364">
      <c r="A364" t="n">
        <v>361</v>
      </c>
      <c r="B364" s="40" t="n">
        <v>46087</v>
      </c>
      <c r="C364" s="41" t="n">
        <v>0.3789559340046296</v>
      </c>
      <c r="D364" s="41" t="n">
        <v>0.3786841962268518</v>
      </c>
      <c r="E364" s="39">
        <f>(C364-D364)*1440</f>
        <v/>
      </c>
    </row>
    <row r="365">
      <c r="A365" t="n">
        <v>362</v>
      </c>
      <c r="B365" s="40" t="n">
        <v>46087</v>
      </c>
      <c r="C365" s="41" t="n">
        <v>0.3801885053935186</v>
      </c>
      <c r="D365" s="41" t="n">
        <v>0.3789559340046296</v>
      </c>
      <c r="E365" s="39">
        <f>(C365-D365)*1440</f>
        <v/>
      </c>
    </row>
    <row r="366">
      <c r="A366" t="n">
        <v>363</v>
      </c>
      <c r="B366" s="40" t="n">
        <v>46087</v>
      </c>
      <c r="C366" s="41" t="n">
        <v>0.3801996796990741</v>
      </c>
      <c r="D366" s="41" t="n">
        <v>0.3801885053935186</v>
      </c>
      <c r="E366" s="39">
        <f>(C366-D366)*1440</f>
        <v/>
      </c>
    </row>
    <row r="367">
      <c r="A367" t="n">
        <v>364</v>
      </c>
      <c r="B367" s="40" t="n">
        <v>46087</v>
      </c>
      <c r="C367" s="41" t="n">
        <v>0.3804502411574074</v>
      </c>
      <c r="D367" s="41" t="n">
        <v>0.3801996796990741</v>
      </c>
      <c r="E367" s="39">
        <f>(C367-D367)*1440</f>
        <v/>
      </c>
    </row>
    <row r="368">
      <c r="A368" t="n">
        <v>365</v>
      </c>
      <c r="B368" s="40" t="n">
        <v>46087</v>
      </c>
      <c r="C368" s="41" t="n">
        <v>0.3804534841550926</v>
      </c>
      <c r="D368" s="41" t="n">
        <v>0.3804502411574074</v>
      </c>
      <c r="E368" s="39">
        <f>(C368-D368)*1440</f>
        <v/>
      </c>
    </row>
    <row r="369">
      <c r="A369" t="n">
        <v>366</v>
      </c>
      <c r="B369" s="40" t="n">
        <v>46087</v>
      </c>
      <c r="C369" s="41" t="n">
        <v>0.3805997330671297</v>
      </c>
      <c r="D369" s="41" t="n">
        <v>0.3804534841550926</v>
      </c>
      <c r="E369" s="39">
        <f>(C369-D369)*1440</f>
        <v/>
      </c>
    </row>
    <row r="370">
      <c r="A370" t="n">
        <v>367</v>
      </c>
      <c r="B370" s="40" t="n">
        <v>46087</v>
      </c>
      <c r="C370" s="41" t="n">
        <v>0.3808296971643518</v>
      </c>
      <c r="D370" s="41" t="n">
        <v>0.3805997330671297</v>
      </c>
      <c r="E370" s="39">
        <f>(C370-D370)*1440</f>
        <v/>
      </c>
    </row>
    <row r="371">
      <c r="A371" t="n">
        <v>368</v>
      </c>
      <c r="B371" s="40" t="n">
        <v>46087</v>
      </c>
      <c r="C371" s="41" t="n">
        <v>0.3817050755787036</v>
      </c>
      <c r="D371" s="41" t="n">
        <v>0.3808296971643518</v>
      </c>
      <c r="E371" s="39">
        <f>(C371-D371)*1440</f>
        <v/>
      </c>
    </row>
    <row r="372">
      <c r="A372" t="n">
        <v>369</v>
      </c>
      <c r="B372" s="40" t="n">
        <v>46087</v>
      </c>
      <c r="C372" s="41" t="n">
        <v>0.3823775345717592</v>
      </c>
      <c r="D372" s="41" t="n">
        <v>0.3817050755787036</v>
      </c>
      <c r="E372" s="39">
        <f>(C372-D372)*1440</f>
        <v/>
      </c>
    </row>
    <row r="373">
      <c r="A373" t="n">
        <v>370</v>
      </c>
      <c r="B373" s="40" t="n">
        <v>46087</v>
      </c>
      <c r="C373" s="41" t="n">
        <v>0.3824150937384259</v>
      </c>
      <c r="D373" s="41" t="n">
        <v>0.3823775345717592</v>
      </c>
      <c r="E373" s="39">
        <f>(C373-D373)*1440</f>
        <v/>
      </c>
    </row>
    <row r="374">
      <c r="A374" t="n">
        <v>371</v>
      </c>
      <c r="B374" s="40" t="n">
        <v>46087</v>
      </c>
      <c r="C374" s="41" t="n">
        <v>0.3829502666203704</v>
      </c>
      <c r="D374" s="41" t="n">
        <v>0.3824150937384259</v>
      </c>
      <c r="E374" s="39">
        <f>(C374-D374)*1440</f>
        <v/>
      </c>
    </row>
    <row r="375">
      <c r="A375" t="n">
        <v>372</v>
      </c>
      <c r="B375" s="40" t="n">
        <v>46087</v>
      </c>
      <c r="C375" s="41" t="n">
        <v>0.3838214442824074</v>
      </c>
      <c r="D375" s="41" t="n">
        <v>0.3829502666203704</v>
      </c>
      <c r="E375" s="39">
        <f>(C375-D375)*1440</f>
        <v/>
      </c>
    </row>
    <row r="376">
      <c r="A376" t="n">
        <v>373</v>
      </c>
      <c r="B376" s="40" t="n">
        <v>46087</v>
      </c>
      <c r="C376" s="41" t="n">
        <v>0.384188125</v>
      </c>
      <c r="D376" s="41" t="n">
        <v>0.3838214442824074</v>
      </c>
      <c r="E376" s="39">
        <f>(C376-D376)*1440</f>
        <v/>
      </c>
    </row>
    <row r="377">
      <c r="A377" t="n">
        <v>374</v>
      </c>
      <c r="B377" s="40" t="n">
        <v>46087</v>
      </c>
      <c r="C377" s="41" t="n">
        <v>0.384759173287037</v>
      </c>
      <c r="D377" s="41" t="n">
        <v>0.384188125</v>
      </c>
      <c r="E377" s="39">
        <f>(C377-D377)*1440</f>
        <v/>
      </c>
    </row>
    <row r="378">
      <c r="A378" t="n">
        <v>375</v>
      </c>
      <c r="B378" s="40" t="n">
        <v>46087</v>
      </c>
      <c r="C378" s="41" t="n">
        <v>0.3855729902662037</v>
      </c>
      <c r="D378" s="41" t="n">
        <v>0.384759173287037</v>
      </c>
      <c r="E378" s="39">
        <f>(C378-D378)*1440</f>
        <v/>
      </c>
    </row>
    <row r="379">
      <c r="A379" t="n">
        <v>376</v>
      </c>
      <c r="B379" s="40" t="n">
        <v>46087</v>
      </c>
      <c r="C379" s="41" t="n">
        <v>0.3863342190972223</v>
      </c>
      <c r="D379" s="41" t="n">
        <v>0.3855729902662037</v>
      </c>
      <c r="E379" s="39">
        <f>(C379-D379)*1440</f>
        <v/>
      </c>
    </row>
    <row r="380">
      <c r="A380" t="n">
        <v>377</v>
      </c>
      <c r="B380" s="40" t="n">
        <v>46087</v>
      </c>
      <c r="C380" s="41" t="n">
        <v>0.3865864397800926</v>
      </c>
      <c r="D380" s="41" t="n">
        <v>0.3863342190972223</v>
      </c>
      <c r="E380" s="39">
        <f>(C380-D380)*1440</f>
        <v/>
      </c>
    </row>
    <row r="381">
      <c r="A381" t="n">
        <v>378</v>
      </c>
      <c r="B381" s="40" t="n">
        <v>46087</v>
      </c>
      <c r="C381" s="41" t="n">
        <v>0.3867369524074074</v>
      </c>
      <c r="D381" s="41" t="n">
        <v>0.3865864397800926</v>
      </c>
      <c r="E381" s="39">
        <f>(C381-D381)*1440</f>
        <v/>
      </c>
    </row>
    <row r="382">
      <c r="A382" t="n">
        <v>379</v>
      </c>
      <c r="B382" s="40" t="n">
        <v>46087</v>
      </c>
      <c r="C382" s="41" t="n">
        <v>0.3874718922916667</v>
      </c>
      <c r="D382" s="41" t="n">
        <v>0.3867369524074074</v>
      </c>
      <c r="E382" s="39">
        <f>(C382-D382)*1440</f>
        <v/>
      </c>
    </row>
    <row r="383">
      <c r="A383" t="n">
        <v>380</v>
      </c>
      <c r="B383" s="40" t="n">
        <v>46087</v>
      </c>
      <c r="C383" s="41" t="n">
        <v>0.3883910966666667</v>
      </c>
      <c r="D383" s="41" t="n">
        <v>0.3874718922916667</v>
      </c>
      <c r="E383" s="39">
        <f>(C383-D383)*1440</f>
        <v/>
      </c>
    </row>
    <row r="384">
      <c r="A384" t="n">
        <v>381</v>
      </c>
      <c r="B384" s="40" t="n">
        <v>46087</v>
      </c>
      <c r="C384" s="41" t="n">
        <v>0.3886412420717593</v>
      </c>
      <c r="D384" s="41" t="n">
        <v>0.3883910966666667</v>
      </c>
      <c r="E384" s="39">
        <f>(C384-D384)*1440</f>
        <v/>
      </c>
    </row>
    <row r="385">
      <c r="A385" t="n">
        <v>382</v>
      </c>
      <c r="B385" s="40" t="n">
        <v>46087</v>
      </c>
      <c r="C385" s="41" t="n">
        <v>0.3893294399652777</v>
      </c>
      <c r="D385" s="41" t="n">
        <v>0.3886412420717593</v>
      </c>
      <c r="E385" s="39">
        <f>(C385-D385)*1440</f>
        <v/>
      </c>
    </row>
    <row r="386">
      <c r="A386" t="n">
        <v>383</v>
      </c>
      <c r="B386" s="40" t="n">
        <v>46087</v>
      </c>
      <c r="C386" s="41" t="n">
        <v>0.3893617631712963</v>
      </c>
      <c r="D386" s="41" t="n">
        <v>0.3893294399652777</v>
      </c>
      <c r="E386" s="39">
        <f>(C386-D386)*1440</f>
        <v/>
      </c>
    </row>
    <row r="387">
      <c r="A387" t="n">
        <v>384</v>
      </c>
      <c r="B387" s="40" t="n">
        <v>46087</v>
      </c>
      <c r="C387" s="41" t="n">
        <v>0.3895417937384259</v>
      </c>
      <c r="D387" s="41" t="n">
        <v>0.3893617631712963</v>
      </c>
      <c r="E387" s="39">
        <f>(C387-D387)*1440</f>
        <v/>
      </c>
    </row>
    <row r="388">
      <c r="A388" t="n">
        <v>385</v>
      </c>
      <c r="B388" s="40" t="n">
        <v>46087</v>
      </c>
      <c r="C388" s="41" t="n">
        <v>0.3901976955208333</v>
      </c>
      <c r="D388" s="41" t="n">
        <v>0.3895417937384259</v>
      </c>
      <c r="E388" s="39">
        <f>(C388-D388)*1440</f>
        <v/>
      </c>
    </row>
    <row r="389">
      <c r="A389" t="n">
        <v>386</v>
      </c>
      <c r="B389" s="40" t="n">
        <v>46087</v>
      </c>
      <c r="C389" s="41" t="n">
        <v>0.3907650812962963</v>
      </c>
      <c r="D389" s="41" t="n">
        <v>0.3901976955208333</v>
      </c>
      <c r="E389" s="39">
        <f>(C389-D389)*1440</f>
        <v/>
      </c>
    </row>
    <row r="390">
      <c r="A390" t="n">
        <v>387</v>
      </c>
      <c r="B390" s="40" t="n">
        <v>46087</v>
      </c>
      <c r="C390" s="41" t="n">
        <v>0.3908954823958334</v>
      </c>
      <c r="D390" s="41" t="n">
        <v>0.3907650812962963</v>
      </c>
      <c r="E390" s="39">
        <f>(C390-D390)*1440</f>
        <v/>
      </c>
    </row>
    <row r="391">
      <c r="A391" t="n">
        <v>388</v>
      </c>
      <c r="B391" s="40" t="n">
        <v>46087</v>
      </c>
      <c r="C391" s="41" t="n">
        <v>0.3909269231365741</v>
      </c>
      <c r="D391" s="41" t="n">
        <v>0.3908954823958334</v>
      </c>
      <c r="E391" s="39">
        <f>(C391-D391)*1440</f>
        <v/>
      </c>
    </row>
    <row r="392">
      <c r="A392" t="n">
        <v>389</v>
      </c>
      <c r="B392" s="40" t="n">
        <v>46087</v>
      </c>
      <c r="C392" s="41" t="n">
        <v>0.3912459296759259</v>
      </c>
      <c r="D392" s="41" t="n">
        <v>0.3909269231365741</v>
      </c>
      <c r="E392" s="39">
        <f>(C392-D392)*1440</f>
        <v/>
      </c>
    </row>
    <row r="393">
      <c r="A393" t="n">
        <v>390</v>
      </c>
      <c r="B393" s="40" t="n">
        <v>46087</v>
      </c>
      <c r="C393" s="41" t="n">
        <v>0.3921945662037037</v>
      </c>
      <c r="D393" s="41" t="n">
        <v>0.3912459296759259</v>
      </c>
      <c r="E393" s="39">
        <f>(C393-D393)*1440</f>
        <v/>
      </c>
    </row>
    <row r="394">
      <c r="A394" t="n">
        <v>391</v>
      </c>
      <c r="B394" s="40" t="n">
        <v>46087</v>
      </c>
      <c r="C394" s="41" t="n">
        <v>0.3922075011342592</v>
      </c>
      <c r="D394" s="41" t="n">
        <v>0.3921945662037037</v>
      </c>
      <c r="E394" s="39">
        <f>(C394-D394)*1440</f>
        <v/>
      </c>
    </row>
    <row r="395">
      <c r="A395" t="n">
        <v>392</v>
      </c>
      <c r="B395" s="40" t="n">
        <v>46087</v>
      </c>
      <c r="C395" s="41" t="n">
        <v>0.3931141302083334</v>
      </c>
      <c r="D395" s="41" t="n">
        <v>0.3922075011342592</v>
      </c>
      <c r="E395" s="39">
        <f>(C395-D395)*1440</f>
        <v/>
      </c>
    </row>
    <row r="396">
      <c r="A396" t="n">
        <v>393</v>
      </c>
      <c r="B396" s="40" t="n">
        <v>46087</v>
      </c>
      <c r="C396" s="41" t="n">
        <v>0.3940872003356481</v>
      </c>
      <c r="D396" s="41" t="n">
        <v>0.3931141302083334</v>
      </c>
      <c r="E396" s="39">
        <f>(C396-D396)*1440</f>
        <v/>
      </c>
    </row>
    <row r="397">
      <c r="A397" t="n">
        <v>394</v>
      </c>
      <c r="B397" s="40" t="n">
        <v>46087</v>
      </c>
      <c r="C397" s="41" t="n">
        <v>0.3960004638773148</v>
      </c>
      <c r="D397" s="41" t="n">
        <v>0.3940872003356481</v>
      </c>
      <c r="E397" s="39">
        <f>(C397-D397)*1440</f>
        <v/>
      </c>
    </row>
    <row r="398">
      <c r="A398" t="n">
        <v>395</v>
      </c>
      <c r="B398" s="40" t="n">
        <v>46087</v>
      </c>
      <c r="C398" s="41" t="n">
        <v>0.3962288665277778</v>
      </c>
      <c r="D398" s="41" t="n">
        <v>0.3960004638773148</v>
      </c>
      <c r="E398" s="39">
        <f>(C398-D398)*1440</f>
        <v/>
      </c>
    </row>
    <row r="399">
      <c r="A399" t="n">
        <v>396</v>
      </c>
      <c r="B399" s="40" t="n">
        <v>46087</v>
      </c>
      <c r="C399" s="41" t="n">
        <v>0.3965260765509259</v>
      </c>
      <c r="D399" s="41" t="n">
        <v>0.3962288665277778</v>
      </c>
      <c r="E399" s="39">
        <f>(C399-D399)*1440</f>
        <v/>
      </c>
    </row>
    <row r="400">
      <c r="A400" t="n">
        <v>397</v>
      </c>
      <c r="B400" s="40" t="n">
        <v>46087</v>
      </c>
      <c r="C400" s="41" t="n">
        <v>0.3966842490393519</v>
      </c>
      <c r="D400" s="41" t="n">
        <v>0.3965260765509259</v>
      </c>
      <c r="E400" s="39">
        <f>(C400-D400)*1440</f>
        <v/>
      </c>
    </row>
    <row r="401">
      <c r="A401" t="n">
        <v>398</v>
      </c>
      <c r="B401" s="40" t="n">
        <v>46087</v>
      </c>
      <c r="C401" s="41" t="n">
        <v>0.3967868871643518</v>
      </c>
      <c r="D401" s="41" t="n">
        <v>0.3966842490393519</v>
      </c>
      <c r="E401" s="39">
        <f>(C401-D401)*1440</f>
        <v/>
      </c>
    </row>
    <row r="402">
      <c r="A402" t="n">
        <v>399</v>
      </c>
      <c r="B402" s="40" t="n">
        <v>46087</v>
      </c>
      <c r="C402" s="41" t="n">
        <v>0.3969963481365741</v>
      </c>
      <c r="D402" s="41" t="n">
        <v>0.3967868871643518</v>
      </c>
      <c r="E402" s="39">
        <f>(C402-D402)*1440</f>
        <v/>
      </c>
    </row>
    <row r="403">
      <c r="A403" t="n">
        <v>400</v>
      </c>
      <c r="B403" s="40" t="n">
        <v>46087</v>
      </c>
      <c r="C403" s="41" t="n">
        <v>0.3972123583680556</v>
      </c>
      <c r="D403" s="41" t="n">
        <v>0.3969963481365741</v>
      </c>
      <c r="E403" s="39">
        <f>(C403-D403)*1440</f>
        <v/>
      </c>
    </row>
    <row r="404">
      <c r="A404" t="n">
        <v>401</v>
      </c>
      <c r="B404" s="40" t="n">
        <v>46087</v>
      </c>
      <c r="C404" s="41" t="n">
        <v>0.3977817912037037</v>
      </c>
      <c r="D404" s="41" t="n">
        <v>0.3972123583680556</v>
      </c>
      <c r="E404" s="39">
        <f>(C404-D404)*1440</f>
        <v/>
      </c>
    </row>
    <row r="405">
      <c r="A405" t="n">
        <v>402</v>
      </c>
      <c r="B405" s="40" t="n">
        <v>46087</v>
      </c>
      <c r="C405" s="41" t="n">
        <v>0.3979059637847223</v>
      </c>
      <c r="D405" s="41" t="n">
        <v>0.3977817912037037</v>
      </c>
      <c r="E405" s="39">
        <f>(C405-D405)*1440</f>
        <v/>
      </c>
    </row>
    <row r="406">
      <c r="A406" t="n">
        <v>403</v>
      </c>
      <c r="B406" s="40" t="n">
        <v>46087</v>
      </c>
      <c r="C406" s="41" t="n">
        <v>0.398033</v>
      </c>
      <c r="D406" s="41" t="n">
        <v>0.3979059637847223</v>
      </c>
      <c r="E406" s="39">
        <f>(C406-D406)*1440</f>
        <v/>
      </c>
    </row>
    <row r="407">
      <c r="A407" t="n">
        <v>404</v>
      </c>
      <c r="B407" s="40" t="n">
        <v>46087</v>
      </c>
      <c r="C407" s="41" t="n">
        <v>0.3985157150462963</v>
      </c>
      <c r="D407" s="41" t="n">
        <v>0.398033</v>
      </c>
      <c r="E407" s="39">
        <f>(C407-D407)*1440</f>
        <v/>
      </c>
    </row>
    <row r="408">
      <c r="A408" t="n">
        <v>405</v>
      </c>
      <c r="B408" s="40" t="n">
        <v>46087</v>
      </c>
      <c r="C408" s="41" t="n">
        <v>0.3987981149884259</v>
      </c>
      <c r="D408" s="41" t="n">
        <v>0.3985157150462963</v>
      </c>
      <c r="E408" s="39">
        <f>(C408-D408)*1440</f>
        <v/>
      </c>
    </row>
    <row r="409">
      <c r="A409" t="n">
        <v>406</v>
      </c>
      <c r="B409" s="40" t="n">
        <v>46087</v>
      </c>
      <c r="C409" s="41" t="n">
        <v>0.3990045435416666</v>
      </c>
      <c r="D409" s="41" t="n">
        <v>0.3987981149884259</v>
      </c>
      <c r="E409" s="39">
        <f>(C409-D409)*1440</f>
        <v/>
      </c>
    </row>
    <row r="410">
      <c r="A410" t="n">
        <v>407</v>
      </c>
      <c r="B410" s="40" t="n">
        <v>46087</v>
      </c>
      <c r="C410" s="41" t="n">
        <v>0.4000816431481481</v>
      </c>
      <c r="D410" s="41" t="n">
        <v>0.3990045435416666</v>
      </c>
      <c r="E410" s="39">
        <f>(C410-D410)*1440</f>
        <v/>
      </c>
    </row>
    <row r="411">
      <c r="A411" t="n">
        <v>408</v>
      </c>
      <c r="B411" s="40" t="n">
        <v>46087</v>
      </c>
      <c r="C411" s="41" t="n">
        <v>0.400396910949074</v>
      </c>
      <c r="D411" s="41" t="n">
        <v>0.4000816431481481</v>
      </c>
      <c r="E411" s="39">
        <f>(C411-D411)*1440</f>
        <v/>
      </c>
    </row>
    <row r="412">
      <c r="A412" t="n">
        <v>409</v>
      </c>
      <c r="B412" s="40" t="n">
        <v>46087</v>
      </c>
      <c r="C412" s="41" t="n">
        <v>0.4011809810300926</v>
      </c>
      <c r="D412" s="41" t="n">
        <v>0.400396910949074</v>
      </c>
      <c r="E412" s="39">
        <f>(C412-D412)*1440</f>
        <v/>
      </c>
    </row>
    <row r="413">
      <c r="A413" t="n">
        <v>410</v>
      </c>
      <c r="B413" s="40" t="n">
        <v>46087</v>
      </c>
      <c r="C413" s="41" t="n">
        <v>0.4013874151967592</v>
      </c>
      <c r="D413" s="41" t="n">
        <v>0.4011809810300926</v>
      </c>
      <c r="E413" s="39">
        <f>(C413-D413)*1440</f>
        <v/>
      </c>
    </row>
    <row r="414">
      <c r="A414" t="n">
        <v>411</v>
      </c>
      <c r="B414" s="40" t="n">
        <v>46087</v>
      </c>
      <c r="C414" s="41" t="n">
        <v>0.4018371214467593</v>
      </c>
      <c r="D414" s="41" t="n">
        <v>0.4013874151967592</v>
      </c>
      <c r="E414" s="39">
        <f>(C414-D414)*1440</f>
        <v/>
      </c>
    </row>
    <row r="415">
      <c r="A415" t="n">
        <v>412</v>
      </c>
      <c r="B415" s="40" t="n">
        <v>46087</v>
      </c>
      <c r="C415" s="41" t="n">
        <v>0.4019697272337963</v>
      </c>
      <c r="D415" s="41" t="n">
        <v>0.4018371214467593</v>
      </c>
      <c r="E415" s="39">
        <f>(C415-D415)*1440</f>
        <v/>
      </c>
    </row>
    <row r="416">
      <c r="A416" t="n">
        <v>413</v>
      </c>
      <c r="B416" s="40" t="n">
        <v>46087</v>
      </c>
      <c r="C416" s="41" t="n">
        <v>0.402012091400463</v>
      </c>
      <c r="D416" s="41" t="n">
        <v>0.4019697272337963</v>
      </c>
      <c r="E416" s="39">
        <f>(C416-D416)*1440</f>
        <v/>
      </c>
    </row>
    <row r="417">
      <c r="A417" t="n">
        <v>414</v>
      </c>
      <c r="B417" s="40" t="n">
        <v>46087</v>
      </c>
      <c r="C417" s="41" t="n">
        <v>0.4023985461226852</v>
      </c>
      <c r="D417" s="41" t="n">
        <v>0.402012091400463</v>
      </c>
      <c r="E417" s="39">
        <f>(C417-D417)*1440</f>
        <v/>
      </c>
    </row>
    <row r="418">
      <c r="A418" t="n">
        <v>415</v>
      </c>
      <c r="B418" s="40" t="n">
        <v>46087</v>
      </c>
      <c r="C418" s="41" t="n">
        <v>0.4041009279861111</v>
      </c>
      <c r="D418" s="41" t="n">
        <v>0.4023985461226852</v>
      </c>
      <c r="E418" s="39">
        <f>(C418-D418)*1440</f>
        <v/>
      </c>
    </row>
    <row r="419">
      <c r="A419" t="n">
        <v>416</v>
      </c>
      <c r="B419" s="40" t="n">
        <v>46087</v>
      </c>
      <c r="C419" s="41" t="n">
        <v>0.4041319280671297</v>
      </c>
      <c r="D419" s="41" t="n">
        <v>0.4041009279861111</v>
      </c>
      <c r="E419" s="39">
        <f>(C419-D419)*1440</f>
        <v/>
      </c>
    </row>
    <row r="420">
      <c r="A420" t="n">
        <v>417</v>
      </c>
      <c r="B420" s="40" t="n">
        <v>46087</v>
      </c>
      <c r="C420" s="41" t="n">
        <v>0.4041774934259259</v>
      </c>
      <c r="D420" s="41" t="n">
        <v>0.4041319280671297</v>
      </c>
      <c r="E420" s="39">
        <f>(C420-D420)*1440</f>
        <v/>
      </c>
    </row>
    <row r="421">
      <c r="A421" t="n">
        <v>418</v>
      </c>
      <c r="B421" s="40" t="n">
        <v>46087</v>
      </c>
      <c r="C421" s="41" t="n">
        <v>0.4042023553472223</v>
      </c>
      <c r="D421" s="41" t="n">
        <v>0.4041774934259259</v>
      </c>
      <c r="E421" s="39">
        <f>(C421-D421)*1440</f>
        <v/>
      </c>
    </row>
    <row r="422">
      <c r="A422" t="n">
        <v>419</v>
      </c>
      <c r="B422" s="40" t="n">
        <v>46087</v>
      </c>
      <c r="C422" s="41" t="n">
        <v>0.4047716685185185</v>
      </c>
      <c r="D422" s="41" t="n">
        <v>0.4042023553472223</v>
      </c>
      <c r="E422" s="39">
        <f>(C422-D422)*1440</f>
        <v/>
      </c>
    </row>
    <row r="423">
      <c r="A423" t="n">
        <v>420</v>
      </c>
      <c r="B423" s="40" t="n">
        <v>46087</v>
      </c>
      <c r="C423" s="41" t="n">
        <v>0.4049522557175926</v>
      </c>
      <c r="D423" s="41" t="n">
        <v>0.4047716685185185</v>
      </c>
      <c r="E423" s="39">
        <f>(C423-D423)*1440</f>
        <v/>
      </c>
    </row>
    <row r="424">
      <c r="A424" t="n">
        <v>421</v>
      </c>
      <c r="B424" s="40" t="n">
        <v>46087</v>
      </c>
      <c r="C424" s="41" t="n">
        <v>0.4051495195949074</v>
      </c>
      <c r="D424" s="41" t="n">
        <v>0.4049522557175926</v>
      </c>
      <c r="E424" s="39">
        <f>(C424-D424)*1440</f>
        <v/>
      </c>
    </row>
    <row r="425">
      <c r="A425" t="n">
        <v>422</v>
      </c>
      <c r="B425" s="40" t="n">
        <v>46087</v>
      </c>
      <c r="C425" s="41" t="n">
        <v>0.4056787532638889</v>
      </c>
      <c r="D425" s="41" t="n">
        <v>0.4051495195949074</v>
      </c>
      <c r="E425" s="39">
        <f>(C425-D425)*1440</f>
        <v/>
      </c>
    </row>
    <row r="426">
      <c r="A426" t="n">
        <v>423</v>
      </c>
      <c r="B426" s="40" t="n">
        <v>46087</v>
      </c>
      <c r="C426" s="41" t="n">
        <v>0.405978885150463</v>
      </c>
      <c r="D426" s="41" t="n">
        <v>0.4056787532638889</v>
      </c>
      <c r="E426" s="39">
        <f>(C426-D426)*1440</f>
        <v/>
      </c>
    </row>
    <row r="427">
      <c r="A427" t="n">
        <v>424</v>
      </c>
      <c r="B427" s="40" t="n">
        <v>46087</v>
      </c>
      <c r="C427" s="41" t="n">
        <v>0.4060910513078704</v>
      </c>
      <c r="D427" s="41" t="n">
        <v>0.405978885150463</v>
      </c>
      <c r="E427" s="39">
        <f>(C427-D427)*1440</f>
        <v/>
      </c>
    </row>
    <row r="428">
      <c r="A428" t="n">
        <v>425</v>
      </c>
      <c r="B428" s="40" t="n">
        <v>46087</v>
      </c>
      <c r="C428" s="41" t="n">
        <v>0.4062445166782407</v>
      </c>
      <c r="D428" s="41" t="n">
        <v>0.4060910513078704</v>
      </c>
      <c r="E428" s="39">
        <f>(C428-D428)*1440</f>
        <v/>
      </c>
    </row>
    <row r="429">
      <c r="A429" t="n">
        <v>426</v>
      </c>
      <c r="B429" s="40" t="n">
        <v>46087</v>
      </c>
      <c r="C429" s="41" t="n">
        <v>0.4062487756134259</v>
      </c>
      <c r="D429" s="41" t="n">
        <v>0.4062445166782407</v>
      </c>
      <c r="E429" s="39">
        <f>(C429-D429)*1440</f>
        <v/>
      </c>
    </row>
    <row r="430">
      <c r="A430" t="n">
        <v>427</v>
      </c>
      <c r="B430" s="40" t="n">
        <v>46087</v>
      </c>
      <c r="C430" s="41" t="n">
        <v>0.4068068046527778</v>
      </c>
      <c r="D430" s="41" t="n">
        <v>0.4062487756134259</v>
      </c>
      <c r="E430" s="39">
        <f>(C430-D430)*1440</f>
        <v/>
      </c>
    </row>
    <row r="431">
      <c r="A431" t="n">
        <v>428</v>
      </c>
      <c r="B431" s="40" t="n">
        <v>46087</v>
      </c>
      <c r="C431" s="41" t="n">
        <v>0.4068706181134259</v>
      </c>
      <c r="D431" s="41" t="n">
        <v>0.4068068046527778</v>
      </c>
      <c r="E431" s="39">
        <f>(C431-D431)*1440</f>
        <v/>
      </c>
    </row>
    <row r="432">
      <c r="A432" t="n">
        <v>429</v>
      </c>
      <c r="B432" s="40" t="n">
        <v>46087</v>
      </c>
      <c r="C432" s="41" t="n">
        <v>0.4069524957407408</v>
      </c>
      <c r="D432" s="41" t="n">
        <v>0.4068706181134259</v>
      </c>
      <c r="E432" s="39">
        <f>(C432-D432)*1440</f>
        <v/>
      </c>
    </row>
    <row r="433">
      <c r="A433" t="n">
        <v>430</v>
      </c>
      <c r="B433" s="40" t="n">
        <v>46087</v>
      </c>
      <c r="C433" s="41" t="n">
        <v>0.4070811844097222</v>
      </c>
      <c r="D433" s="41" t="n">
        <v>0.4069524957407408</v>
      </c>
      <c r="E433" s="39">
        <f>(C433-D433)*1440</f>
        <v/>
      </c>
    </row>
    <row r="434">
      <c r="A434" t="n">
        <v>431</v>
      </c>
      <c r="B434" s="40" t="n">
        <v>46087</v>
      </c>
      <c r="C434" s="41" t="n">
        <v>0.4072890836458333</v>
      </c>
      <c r="D434" s="41" t="n">
        <v>0.4070811844097222</v>
      </c>
      <c r="E434" s="39">
        <f>(C434-D434)*1440</f>
        <v/>
      </c>
    </row>
    <row r="435">
      <c r="A435" t="n">
        <v>432</v>
      </c>
      <c r="B435" s="40" t="n">
        <v>46087</v>
      </c>
      <c r="C435" s="41" t="n">
        <v>0.4075474545833334</v>
      </c>
      <c r="D435" s="41" t="n">
        <v>0.4072890836458333</v>
      </c>
      <c r="E435" s="39">
        <f>(C435-D435)*1440</f>
        <v/>
      </c>
    </row>
    <row r="436">
      <c r="A436" t="n">
        <v>433</v>
      </c>
      <c r="B436" s="40" t="n">
        <v>46087</v>
      </c>
      <c r="C436" s="41" t="n">
        <v>0.4076623189814815</v>
      </c>
      <c r="D436" s="41" t="n">
        <v>0.4075474545833334</v>
      </c>
      <c r="E436" s="39">
        <f>(C436-D436)*1440</f>
        <v/>
      </c>
    </row>
    <row r="437">
      <c r="A437" t="n">
        <v>434</v>
      </c>
      <c r="B437" s="40" t="n">
        <v>46087</v>
      </c>
      <c r="C437" s="41" t="n">
        <v>0.4080062991666667</v>
      </c>
      <c r="D437" s="41" t="n">
        <v>0.4076623189814815</v>
      </c>
      <c r="E437" s="39">
        <f>(C437-D437)*1440</f>
        <v/>
      </c>
    </row>
    <row r="438">
      <c r="A438" t="n">
        <v>435</v>
      </c>
      <c r="B438" s="40" t="n">
        <v>46087</v>
      </c>
      <c r="C438" s="41" t="n">
        <v>0.408283403287037</v>
      </c>
      <c r="D438" s="41" t="n">
        <v>0.4080062991666667</v>
      </c>
      <c r="E438" s="39">
        <f>(C438-D438)*1440</f>
        <v/>
      </c>
    </row>
    <row r="439">
      <c r="A439" t="n">
        <v>436</v>
      </c>
      <c r="B439" s="40" t="n">
        <v>46087</v>
      </c>
      <c r="C439" s="41" t="n">
        <v>0.4083891165046297</v>
      </c>
      <c r="D439" s="41" t="n">
        <v>0.408283403287037</v>
      </c>
      <c r="E439" s="39">
        <f>(C439-D439)*1440</f>
        <v/>
      </c>
    </row>
    <row r="440">
      <c r="A440" t="n">
        <v>437</v>
      </c>
      <c r="B440" s="40" t="n">
        <v>46087</v>
      </c>
      <c r="C440" s="41" t="n">
        <v>0.4086145604282408</v>
      </c>
      <c r="D440" s="41" t="n">
        <v>0.4083891165046297</v>
      </c>
      <c r="E440" s="39">
        <f>(C440-D440)*1440</f>
        <v/>
      </c>
    </row>
    <row r="441">
      <c r="A441" t="n">
        <v>438</v>
      </c>
      <c r="B441" s="40" t="n">
        <v>46087</v>
      </c>
      <c r="C441" s="41" t="n">
        <v>0.4097764391898148</v>
      </c>
      <c r="D441" s="41" t="n">
        <v>0.4086145604282408</v>
      </c>
      <c r="E441" s="39">
        <f>(C441-D441)*1440</f>
        <v/>
      </c>
    </row>
    <row r="442">
      <c r="A442" t="n">
        <v>439</v>
      </c>
      <c r="B442" s="40" t="n">
        <v>46087</v>
      </c>
      <c r="C442" s="41" t="n">
        <v>0.4104060288657407</v>
      </c>
      <c r="D442" s="41" t="n">
        <v>0.4097764391898148</v>
      </c>
      <c r="E442" s="39">
        <f>(C442-D442)*1440</f>
        <v/>
      </c>
    </row>
    <row r="443">
      <c r="A443" t="n">
        <v>440</v>
      </c>
      <c r="B443" s="40" t="n">
        <v>46087</v>
      </c>
      <c r="C443" s="41" t="n">
        <v>0.410416976238426</v>
      </c>
      <c r="D443" s="41" t="n">
        <v>0.4104060288657407</v>
      </c>
      <c r="E443" s="39">
        <f>(C443-D443)*1440</f>
        <v/>
      </c>
    </row>
    <row r="444">
      <c r="A444" t="n">
        <v>441</v>
      </c>
      <c r="B444" s="40" t="n">
        <v>46087</v>
      </c>
      <c r="C444" s="41" t="n">
        <v>0.4107488632175926</v>
      </c>
      <c r="D444" s="41" t="n">
        <v>0.410416976238426</v>
      </c>
      <c r="E444" s="39">
        <f>(C444-D444)*1440</f>
        <v/>
      </c>
    </row>
    <row r="445">
      <c r="A445" t="n">
        <v>442</v>
      </c>
      <c r="B445" s="40" t="n">
        <v>46087</v>
      </c>
      <c r="C445" s="41" t="n">
        <v>0.4126027031481481</v>
      </c>
      <c r="D445" s="41" t="n">
        <v>0.4107488632175926</v>
      </c>
      <c r="E445" s="39">
        <f>(C445-D445)*1440</f>
        <v/>
      </c>
    </row>
    <row r="446">
      <c r="A446" t="n">
        <v>443</v>
      </c>
      <c r="B446" s="40" t="n">
        <v>46087</v>
      </c>
      <c r="C446" s="41" t="n">
        <v>0.4132749600347222</v>
      </c>
      <c r="D446" s="41" t="n">
        <v>0.4126027031481481</v>
      </c>
      <c r="E446" s="39">
        <f>(C446-D446)*1440</f>
        <v/>
      </c>
    </row>
    <row r="447">
      <c r="A447" t="n">
        <v>444</v>
      </c>
      <c r="B447" s="40" t="n">
        <v>46087</v>
      </c>
      <c r="C447" s="41" t="n">
        <v>0.413384538449074</v>
      </c>
      <c r="D447" s="41" t="n">
        <v>0.4132749600347222</v>
      </c>
      <c r="E447" s="39">
        <f>(C447-D447)*1440</f>
        <v/>
      </c>
    </row>
    <row r="448">
      <c r="A448" t="n">
        <v>445</v>
      </c>
      <c r="B448" s="40" t="n">
        <v>46087</v>
      </c>
      <c r="C448" s="41" t="n">
        <v>0.4134536242824074</v>
      </c>
      <c r="D448" s="41" t="n">
        <v>0.413384538449074</v>
      </c>
      <c r="E448" s="39">
        <f>(C448-D448)*1440</f>
        <v/>
      </c>
    </row>
    <row r="449">
      <c r="A449" t="n">
        <v>446</v>
      </c>
      <c r="B449" s="40" t="n">
        <v>46087</v>
      </c>
      <c r="C449" s="41" t="n">
        <v>0.4138881150810185</v>
      </c>
      <c r="D449" s="41" t="n">
        <v>0.4134536242824074</v>
      </c>
      <c r="E449" s="39">
        <f>(C449-D449)*1440</f>
        <v/>
      </c>
    </row>
    <row r="450">
      <c r="A450" t="n">
        <v>447</v>
      </c>
      <c r="B450" s="40" t="n">
        <v>46087</v>
      </c>
      <c r="C450" s="41" t="n">
        <v>0.4139261586458333</v>
      </c>
      <c r="D450" s="41" t="n">
        <v>0.4138881150810185</v>
      </c>
      <c r="E450" s="39">
        <f>(C450-D450)*1440</f>
        <v/>
      </c>
    </row>
    <row r="451">
      <c r="A451" t="n">
        <v>448</v>
      </c>
      <c r="B451" s="40" t="n">
        <v>46087</v>
      </c>
      <c r="C451" s="41" t="n">
        <v>0.4140018036111112</v>
      </c>
      <c r="D451" s="41" t="n">
        <v>0.4139261586458333</v>
      </c>
      <c r="E451" s="39">
        <f>(C451-D451)*1440</f>
        <v/>
      </c>
    </row>
    <row r="452">
      <c r="A452" t="n">
        <v>449</v>
      </c>
      <c r="B452" s="40" t="n">
        <v>46087</v>
      </c>
      <c r="C452" s="41" t="n">
        <v>0.4142237582638889</v>
      </c>
      <c r="D452" s="41" t="n">
        <v>0.4140018036111112</v>
      </c>
      <c r="E452" s="39">
        <f>(C452-D452)*1440</f>
        <v/>
      </c>
    </row>
    <row r="453">
      <c r="A453" t="n">
        <v>450</v>
      </c>
      <c r="B453" s="40" t="n">
        <v>46087</v>
      </c>
      <c r="C453" s="41" t="n">
        <v>0.4143111713657407</v>
      </c>
      <c r="D453" s="41" t="n">
        <v>0.4142237582638889</v>
      </c>
      <c r="E453" s="39">
        <f>(C453-D453)*1440</f>
        <v/>
      </c>
    </row>
    <row r="454">
      <c r="A454" t="n">
        <v>451</v>
      </c>
      <c r="B454" s="40" t="n">
        <v>46087</v>
      </c>
      <c r="C454" s="41" t="n">
        <v>0.4145851718865741</v>
      </c>
      <c r="D454" s="41" t="n">
        <v>0.4143111713657407</v>
      </c>
      <c r="E454" s="39">
        <f>(C454-D454)*1440</f>
        <v/>
      </c>
    </row>
    <row r="455">
      <c r="A455" t="n">
        <v>452</v>
      </c>
      <c r="B455" s="40" t="n">
        <v>46087</v>
      </c>
      <c r="C455" s="41" t="n">
        <v>0.4161618258796296</v>
      </c>
      <c r="D455" s="41" t="n">
        <v>0.4145851718865741</v>
      </c>
      <c r="E455" s="39">
        <f>(C455-D455)*1440</f>
        <v/>
      </c>
    </row>
    <row r="456">
      <c r="A456" t="n">
        <v>453</v>
      </c>
      <c r="B456" s="40" t="n">
        <v>46087</v>
      </c>
      <c r="C456" s="41" t="n">
        <v>0.4162896219328704</v>
      </c>
      <c r="D456" s="41" t="n">
        <v>0.4161618258796296</v>
      </c>
      <c r="E456" s="39">
        <f>(C456-D456)*1440</f>
        <v/>
      </c>
    </row>
    <row r="457">
      <c r="A457" t="n">
        <v>454</v>
      </c>
      <c r="B457" s="40" t="n">
        <v>46087</v>
      </c>
      <c r="C457" s="41" t="n">
        <v>0.4163735190046296</v>
      </c>
      <c r="D457" s="41" t="n">
        <v>0.4162896219328704</v>
      </c>
      <c r="E457" s="39">
        <f>(C457-D457)*1440</f>
        <v/>
      </c>
    </row>
    <row r="458">
      <c r="A458" t="n">
        <v>455</v>
      </c>
      <c r="B458" s="40" t="n">
        <v>46090</v>
      </c>
      <c r="C458" s="41" t="n">
        <v>0.3766007183680556</v>
      </c>
      <c r="D458" s="41" t="n">
        <v>0.3759425144560186</v>
      </c>
      <c r="E458" s="39">
        <f>(C458-D458)*1440</f>
        <v/>
      </c>
    </row>
    <row r="459">
      <c r="A459" t="n">
        <v>456</v>
      </c>
      <c r="B459" s="40" t="n">
        <v>46090</v>
      </c>
      <c r="C459" s="41" t="n">
        <v>0.3767576770138889</v>
      </c>
      <c r="D459" s="41" t="n">
        <v>0.3766007183680556</v>
      </c>
      <c r="E459" s="39">
        <f>(C459-D459)*1440</f>
        <v/>
      </c>
    </row>
    <row r="460">
      <c r="A460" t="n">
        <v>457</v>
      </c>
      <c r="B460" s="40" t="n">
        <v>46090</v>
      </c>
      <c r="C460" s="41" t="n">
        <v>0.3774998503356481</v>
      </c>
      <c r="D460" s="41" t="n">
        <v>0.3767576770138889</v>
      </c>
      <c r="E460" s="39">
        <f>(C460-D460)*1440</f>
        <v/>
      </c>
    </row>
    <row r="461">
      <c r="A461" t="n">
        <v>458</v>
      </c>
      <c r="B461" s="40" t="n">
        <v>46090</v>
      </c>
      <c r="C461" s="41" t="n">
        <v>0.3777749752430555</v>
      </c>
      <c r="D461" s="41" t="n">
        <v>0.3774998503356481</v>
      </c>
      <c r="E461" s="39">
        <f>(C461-D461)*1440</f>
        <v/>
      </c>
    </row>
    <row r="462">
      <c r="A462" t="n">
        <v>459</v>
      </c>
      <c r="B462" s="40" t="n">
        <v>46090</v>
      </c>
      <c r="C462" s="41" t="n">
        <v>0.3779965955671297</v>
      </c>
      <c r="D462" s="41" t="n">
        <v>0.3777749752430555</v>
      </c>
      <c r="E462" s="39">
        <f>(C462-D462)*1440</f>
        <v/>
      </c>
    </row>
    <row r="463">
      <c r="A463" t="n">
        <v>460</v>
      </c>
      <c r="B463" s="40" t="n">
        <v>46090</v>
      </c>
      <c r="C463" s="41" t="n">
        <v>0.3784043121643518</v>
      </c>
      <c r="D463" s="41" t="n">
        <v>0.3779965955671297</v>
      </c>
      <c r="E463" s="39">
        <f>(C463-D463)*1440</f>
        <v/>
      </c>
    </row>
    <row r="464">
      <c r="A464" t="n">
        <v>461</v>
      </c>
      <c r="B464" s="40" t="n">
        <v>46090</v>
      </c>
      <c r="C464" s="41" t="n">
        <v>0.3797583477893519</v>
      </c>
      <c r="D464" s="41" t="n">
        <v>0.3784043121643518</v>
      </c>
      <c r="E464" s="39">
        <f>(C464-D464)*1440</f>
        <v/>
      </c>
    </row>
    <row r="465">
      <c r="A465" t="n">
        <v>462</v>
      </c>
      <c r="B465" s="40" t="n">
        <v>46090</v>
      </c>
      <c r="C465" s="41" t="n">
        <v>0.3798587984722223</v>
      </c>
      <c r="D465" s="41" t="n">
        <v>0.3797583477893519</v>
      </c>
      <c r="E465" s="39">
        <f>(C465-D465)*1440</f>
        <v/>
      </c>
    </row>
    <row r="466">
      <c r="A466" t="n">
        <v>463</v>
      </c>
      <c r="B466" s="40" t="n">
        <v>46090</v>
      </c>
      <c r="C466" s="41" t="n">
        <v>0.3802920184143518</v>
      </c>
      <c r="D466" s="41" t="n">
        <v>0.3798587984722223</v>
      </c>
      <c r="E466" s="39">
        <f>(C466-D466)*1440</f>
        <v/>
      </c>
    </row>
    <row r="467">
      <c r="A467" t="n">
        <v>464</v>
      </c>
      <c r="B467" s="40" t="n">
        <v>46090</v>
      </c>
      <c r="C467" s="41" t="n">
        <v>0.3804827394328704</v>
      </c>
      <c r="D467" s="41" t="n">
        <v>0.3802920184143518</v>
      </c>
      <c r="E467" s="39">
        <f>(C467-D467)*1440</f>
        <v/>
      </c>
    </row>
    <row r="468">
      <c r="A468" t="n">
        <v>465</v>
      </c>
      <c r="B468" s="40" t="n">
        <v>46090</v>
      </c>
      <c r="C468" s="41" t="n">
        <v>0.3805226782986111</v>
      </c>
      <c r="D468" s="41" t="n">
        <v>0.3804827394328704</v>
      </c>
      <c r="E468" s="39">
        <f>(C468-D468)*1440</f>
        <v/>
      </c>
    </row>
    <row r="469">
      <c r="A469" t="n">
        <v>466</v>
      </c>
      <c r="B469" s="40" t="n">
        <v>46090</v>
      </c>
      <c r="C469" s="41" t="n">
        <v>0.381292904375</v>
      </c>
      <c r="D469" s="41" t="n">
        <v>0.3805226782986111</v>
      </c>
      <c r="E469" s="39">
        <f>(C469-D469)*1440</f>
        <v/>
      </c>
    </row>
    <row r="470">
      <c r="A470" t="n">
        <v>467</v>
      </c>
      <c r="B470" s="40" t="n">
        <v>46090</v>
      </c>
      <c r="C470" s="41" t="n">
        <v>0.3815038648958333</v>
      </c>
      <c r="D470" s="41" t="n">
        <v>0.381292904375</v>
      </c>
      <c r="E470" s="39">
        <f>(C470-D470)*1440</f>
        <v/>
      </c>
    </row>
    <row r="471">
      <c r="A471" t="n">
        <v>468</v>
      </c>
      <c r="B471" s="40" t="n">
        <v>46090</v>
      </c>
      <c r="C471" s="41" t="n">
        <v>0.3820355479861111</v>
      </c>
      <c r="D471" s="41" t="n">
        <v>0.3815038648958333</v>
      </c>
      <c r="E471" s="39">
        <f>(C471-D471)*1440</f>
        <v/>
      </c>
    </row>
    <row r="472">
      <c r="A472" t="n">
        <v>469</v>
      </c>
      <c r="B472" s="40" t="n">
        <v>46090</v>
      </c>
      <c r="C472" s="41" t="n">
        <v>0.3838838769907407</v>
      </c>
      <c r="D472" s="41" t="n">
        <v>0.3820355479861111</v>
      </c>
      <c r="E472" s="39">
        <f>(C472-D472)*1440</f>
        <v/>
      </c>
    </row>
    <row r="473">
      <c r="A473" t="n">
        <v>470</v>
      </c>
      <c r="B473" s="40" t="n">
        <v>46090</v>
      </c>
      <c r="C473" s="41" t="n">
        <v>0.3851181180439814</v>
      </c>
      <c r="D473" s="41" t="n">
        <v>0.3838838769907407</v>
      </c>
      <c r="E473" s="39">
        <f>(C473-D473)*1440</f>
        <v/>
      </c>
    </row>
    <row r="474">
      <c r="A474" t="n">
        <v>471</v>
      </c>
      <c r="B474" s="40" t="n">
        <v>46090</v>
      </c>
      <c r="C474" s="41" t="n">
        <v>0.3858720988078704</v>
      </c>
      <c r="D474" s="41" t="n">
        <v>0.3851181180439814</v>
      </c>
      <c r="E474" s="39">
        <f>(C474-D474)*1440</f>
        <v/>
      </c>
    </row>
    <row r="475">
      <c r="A475" t="n">
        <v>472</v>
      </c>
      <c r="B475" s="40" t="n">
        <v>46090</v>
      </c>
      <c r="C475" s="41" t="n">
        <v>0.3863802759837963</v>
      </c>
      <c r="D475" s="41" t="n">
        <v>0.3858720988078704</v>
      </c>
      <c r="E475" s="39">
        <f>(C475-D475)*1440</f>
        <v/>
      </c>
    </row>
    <row r="476">
      <c r="A476" t="n">
        <v>473</v>
      </c>
      <c r="B476" s="40" t="n">
        <v>46090</v>
      </c>
      <c r="C476" s="41" t="n">
        <v>0.3868131968055555</v>
      </c>
      <c r="D476" s="41" t="n">
        <v>0.3863802759837963</v>
      </c>
      <c r="E476" s="39">
        <f>(C476-D476)*1440</f>
        <v/>
      </c>
    </row>
    <row r="477">
      <c r="A477" t="n">
        <v>474</v>
      </c>
      <c r="B477" s="40" t="n">
        <v>46090</v>
      </c>
      <c r="C477" s="41" t="n">
        <v>0.3872233441666667</v>
      </c>
      <c r="D477" s="41" t="n">
        <v>0.3868131968055555</v>
      </c>
      <c r="E477" s="39">
        <f>(C477-D477)*1440</f>
        <v/>
      </c>
    </row>
    <row r="478">
      <c r="A478" t="n">
        <v>475</v>
      </c>
      <c r="B478" s="40" t="n">
        <v>46090</v>
      </c>
      <c r="C478" s="41" t="n">
        <v>0.3877166355324074</v>
      </c>
      <c r="D478" s="41" t="n">
        <v>0.3872233441666667</v>
      </c>
      <c r="E478" s="39">
        <f>(C478-D478)*1440</f>
        <v/>
      </c>
    </row>
    <row r="479">
      <c r="A479" t="n">
        <v>476</v>
      </c>
      <c r="B479" s="40" t="n">
        <v>46090</v>
      </c>
      <c r="C479" s="41" t="n">
        <v>0.3884851713194444</v>
      </c>
      <c r="D479" s="41" t="n">
        <v>0.3877166355324074</v>
      </c>
      <c r="E479" s="39">
        <f>(C479-D479)*1440</f>
        <v/>
      </c>
    </row>
    <row r="480">
      <c r="A480" t="n">
        <v>477</v>
      </c>
      <c r="B480" s="40" t="n">
        <v>46090</v>
      </c>
      <c r="C480" s="41" t="n">
        <v>0.3886379708217592</v>
      </c>
      <c r="D480" s="41" t="n">
        <v>0.3884851713194444</v>
      </c>
      <c r="E480" s="39">
        <f>(C480-D480)*1440</f>
        <v/>
      </c>
    </row>
    <row r="481">
      <c r="A481" t="n">
        <v>478</v>
      </c>
      <c r="B481" s="40" t="n">
        <v>46090</v>
      </c>
      <c r="C481" s="41" t="n">
        <v>0.3900409662962963</v>
      </c>
      <c r="D481" s="41" t="n">
        <v>0.3886379708217592</v>
      </c>
      <c r="E481" s="39">
        <f>(C481-D481)*1440</f>
        <v/>
      </c>
    </row>
    <row r="482">
      <c r="A482" t="n">
        <v>479</v>
      </c>
      <c r="B482" s="40" t="n">
        <v>46090</v>
      </c>
      <c r="C482" s="41" t="n">
        <v>0.3909553757291667</v>
      </c>
      <c r="D482" s="41" t="n">
        <v>0.3900409662962963</v>
      </c>
      <c r="E482" s="39">
        <f>(C482-D482)*1440</f>
        <v/>
      </c>
    </row>
    <row r="483">
      <c r="A483" t="n">
        <v>480</v>
      </c>
      <c r="B483" s="40" t="n">
        <v>46090</v>
      </c>
      <c r="C483" s="41" t="n">
        <v>0.3910014168287037</v>
      </c>
      <c r="D483" s="41" t="n">
        <v>0.3909553757291667</v>
      </c>
      <c r="E483" s="39">
        <f>(C483-D483)*1440</f>
        <v/>
      </c>
    </row>
    <row r="484">
      <c r="A484" t="n">
        <v>481</v>
      </c>
      <c r="B484" s="40" t="n">
        <v>46090</v>
      </c>
      <c r="C484" s="41" t="n">
        <v>0.3913827764930556</v>
      </c>
      <c r="D484" s="41" t="n">
        <v>0.3910014168287037</v>
      </c>
      <c r="E484" s="39">
        <f>(C484-D484)*1440</f>
        <v/>
      </c>
    </row>
    <row r="485">
      <c r="A485" t="n">
        <v>482</v>
      </c>
      <c r="B485" s="40" t="n">
        <v>46090</v>
      </c>
      <c r="C485" s="41" t="n">
        <v>0.3914555367824074</v>
      </c>
      <c r="D485" s="41" t="n">
        <v>0.3913827764930556</v>
      </c>
      <c r="E485" s="39">
        <f>(C485-D485)*1440</f>
        <v/>
      </c>
    </row>
    <row r="486">
      <c r="A486" t="n">
        <v>483</v>
      </c>
      <c r="B486" s="40" t="n">
        <v>46090</v>
      </c>
      <c r="C486" s="41" t="n">
        <v>0.3917520708333334</v>
      </c>
      <c r="D486" s="41" t="n">
        <v>0.3914555367824074</v>
      </c>
      <c r="E486" s="39">
        <f>(C486-D486)*1440</f>
        <v/>
      </c>
    </row>
    <row r="487">
      <c r="A487" t="n">
        <v>484</v>
      </c>
      <c r="B487" s="40" t="n">
        <v>46090</v>
      </c>
      <c r="C487" s="41" t="n">
        <v>0.3921265066319445</v>
      </c>
      <c r="D487" s="41" t="n">
        <v>0.3917520708333334</v>
      </c>
      <c r="E487" s="39">
        <f>(C487-D487)*1440</f>
        <v/>
      </c>
    </row>
    <row r="488">
      <c r="A488" t="n">
        <v>485</v>
      </c>
      <c r="B488" s="40" t="n">
        <v>46090</v>
      </c>
      <c r="C488" s="41" t="n">
        <v>0.3928003525694445</v>
      </c>
      <c r="D488" s="41" t="n">
        <v>0.3921265066319445</v>
      </c>
      <c r="E488" s="39">
        <f>(C488-D488)*1440</f>
        <v/>
      </c>
    </row>
    <row r="489">
      <c r="A489" t="n">
        <v>486</v>
      </c>
      <c r="B489" s="40" t="n">
        <v>46090</v>
      </c>
      <c r="C489" s="41" t="n">
        <v>0.3940862757060185</v>
      </c>
      <c r="D489" s="41" t="n">
        <v>0.3928003525694445</v>
      </c>
      <c r="E489" s="39">
        <f>(C489-D489)*1440</f>
        <v/>
      </c>
    </row>
    <row r="490">
      <c r="A490" t="n">
        <v>487</v>
      </c>
      <c r="B490" s="40" t="n">
        <v>46090</v>
      </c>
      <c r="C490" s="41" t="n">
        <v>0.394664005625</v>
      </c>
      <c r="D490" s="41" t="n">
        <v>0.3940862757060185</v>
      </c>
      <c r="E490" s="39">
        <f>(C490-D490)*1440</f>
        <v/>
      </c>
    </row>
    <row r="491">
      <c r="A491" t="n">
        <v>488</v>
      </c>
      <c r="B491" s="40" t="n">
        <v>46090</v>
      </c>
      <c r="C491" s="41" t="n">
        <v>0.3947602604050926</v>
      </c>
      <c r="D491" s="41" t="n">
        <v>0.394664005625</v>
      </c>
      <c r="E491" s="39">
        <f>(C491-D491)*1440</f>
        <v/>
      </c>
    </row>
    <row r="492">
      <c r="A492" t="n">
        <v>489</v>
      </c>
      <c r="B492" s="40" t="n">
        <v>46090</v>
      </c>
      <c r="C492" s="41" t="n">
        <v>0.3953232944675926</v>
      </c>
      <c r="D492" s="41" t="n">
        <v>0.3947602604050926</v>
      </c>
      <c r="E492" s="39">
        <f>(C492-D492)*1440</f>
        <v/>
      </c>
    </row>
    <row r="493">
      <c r="A493" t="n">
        <v>490</v>
      </c>
      <c r="B493" s="40" t="n">
        <v>46090</v>
      </c>
      <c r="C493" s="41" t="n">
        <v>0.3957366893518519</v>
      </c>
      <c r="D493" s="41" t="n">
        <v>0.3953232944675926</v>
      </c>
      <c r="E493" s="39">
        <f>(C493-D493)*1440</f>
        <v/>
      </c>
    </row>
    <row r="494">
      <c r="A494" t="n">
        <v>491</v>
      </c>
      <c r="B494" s="40" t="n">
        <v>46090</v>
      </c>
      <c r="C494" s="41" t="n">
        <v>0.3962178024421297</v>
      </c>
      <c r="D494" s="41" t="n">
        <v>0.3957366893518519</v>
      </c>
      <c r="E494" s="39">
        <f>(C494-D494)*1440</f>
        <v/>
      </c>
    </row>
    <row r="495">
      <c r="A495" t="n">
        <v>492</v>
      </c>
      <c r="B495" s="40" t="n">
        <v>46090</v>
      </c>
      <c r="C495" s="41" t="n">
        <v>0.3967061222106482</v>
      </c>
      <c r="D495" s="41" t="n">
        <v>0.3962178024421297</v>
      </c>
      <c r="E495" s="39">
        <f>(C495-D495)*1440</f>
        <v/>
      </c>
    </row>
    <row r="496">
      <c r="A496" t="n">
        <v>493</v>
      </c>
      <c r="B496" s="40" t="n">
        <v>46090</v>
      </c>
      <c r="C496" s="41" t="n">
        <v>0.3976974705555556</v>
      </c>
      <c r="D496" s="41" t="n">
        <v>0.3967061222106482</v>
      </c>
      <c r="E496" s="39">
        <f>(C496-D496)*1440</f>
        <v/>
      </c>
    </row>
    <row r="497">
      <c r="A497" t="n">
        <v>494</v>
      </c>
      <c r="B497" s="40" t="n">
        <v>46090</v>
      </c>
      <c r="C497" s="41" t="n">
        <v>0.3977324060648148</v>
      </c>
      <c r="D497" s="41" t="n">
        <v>0.3976974705555556</v>
      </c>
      <c r="E497" s="39">
        <f>(C497-D497)*1440</f>
        <v/>
      </c>
    </row>
    <row r="498">
      <c r="A498" t="n">
        <v>495</v>
      </c>
      <c r="B498" s="40" t="n">
        <v>46090</v>
      </c>
      <c r="C498" s="41" t="n">
        <v>0.3980964843749999</v>
      </c>
      <c r="D498" s="41" t="n">
        <v>0.3977324060648148</v>
      </c>
      <c r="E498" s="39">
        <f>(C498-D498)*1440</f>
        <v/>
      </c>
    </row>
    <row r="499">
      <c r="A499" t="n">
        <v>496</v>
      </c>
      <c r="B499" s="40" t="n">
        <v>46090</v>
      </c>
      <c r="C499" s="41" t="n">
        <v>0.3982478295717593</v>
      </c>
      <c r="D499" s="41" t="n">
        <v>0.3980964843749999</v>
      </c>
      <c r="E499" s="39">
        <f>(C499-D499)*1440</f>
        <v/>
      </c>
    </row>
    <row r="500">
      <c r="A500" t="n">
        <v>497</v>
      </c>
      <c r="B500" s="40" t="n">
        <v>46090</v>
      </c>
      <c r="C500" s="41" t="n">
        <v>0.3983539769791666</v>
      </c>
      <c r="D500" s="41" t="n">
        <v>0.3982478295717593</v>
      </c>
      <c r="E500" s="39">
        <f>(C500-D500)*1440</f>
        <v/>
      </c>
    </row>
    <row r="501">
      <c r="A501" t="n">
        <v>498</v>
      </c>
      <c r="B501" s="40" t="n">
        <v>46090</v>
      </c>
      <c r="C501" s="41" t="n">
        <v>0.3984223658796296</v>
      </c>
      <c r="D501" s="41" t="n">
        <v>0.3983539769791666</v>
      </c>
      <c r="E501" s="39">
        <f>(C501-D501)*1440</f>
        <v/>
      </c>
    </row>
    <row r="502">
      <c r="A502" t="n">
        <v>499</v>
      </c>
      <c r="B502" s="40" t="n">
        <v>46090</v>
      </c>
      <c r="C502" s="41" t="n">
        <v>0.398633803125</v>
      </c>
      <c r="D502" s="41" t="n">
        <v>0.3984223658796296</v>
      </c>
      <c r="E502" s="39">
        <f>(C502-D502)*1440</f>
        <v/>
      </c>
    </row>
    <row r="503">
      <c r="A503" t="n">
        <v>500</v>
      </c>
      <c r="B503" s="40" t="n">
        <v>46090</v>
      </c>
      <c r="C503" s="41" t="n">
        <v>0.3996817291435185</v>
      </c>
      <c r="D503" s="41" t="n">
        <v>0.398633803125</v>
      </c>
      <c r="E503" s="39">
        <f>(C503-D503)*1440</f>
        <v/>
      </c>
    </row>
    <row r="504">
      <c r="A504" t="n">
        <v>501</v>
      </c>
      <c r="B504" s="40" t="n">
        <v>46090</v>
      </c>
      <c r="C504" s="41" t="n">
        <v>0.4004476480555555</v>
      </c>
      <c r="D504" s="41" t="n">
        <v>0.3996817291435185</v>
      </c>
      <c r="E504" s="39">
        <f>(C504-D504)*1440</f>
        <v/>
      </c>
    </row>
    <row r="505">
      <c r="A505" t="n">
        <v>502</v>
      </c>
      <c r="B505" s="40" t="n">
        <v>46090</v>
      </c>
      <c r="C505" s="41" t="n">
        <v>0.4015232666782408</v>
      </c>
      <c r="D505" s="41" t="n">
        <v>0.4004476480555555</v>
      </c>
      <c r="E505" s="39">
        <f>(C505-D505)*1440</f>
        <v/>
      </c>
    </row>
    <row r="506">
      <c r="A506" t="n">
        <v>503</v>
      </c>
      <c r="B506" s="40" t="n">
        <v>46090</v>
      </c>
      <c r="C506" s="41" t="n">
        <v>0.4019091780671297</v>
      </c>
      <c r="D506" s="41" t="n">
        <v>0.4015232666782408</v>
      </c>
      <c r="E506" s="39">
        <f>(C506-D506)*1440</f>
        <v/>
      </c>
    </row>
    <row r="507">
      <c r="A507" t="n">
        <v>504</v>
      </c>
      <c r="B507" s="40" t="n">
        <v>46090</v>
      </c>
      <c r="C507" s="41" t="n">
        <v>0.4031923463425925</v>
      </c>
      <c r="D507" s="41" t="n">
        <v>0.4019091780671297</v>
      </c>
      <c r="E507" s="39">
        <f>(C507-D507)*1440</f>
        <v/>
      </c>
    </row>
    <row r="508">
      <c r="A508" t="n">
        <v>505</v>
      </c>
      <c r="B508" s="40" t="n">
        <v>46090</v>
      </c>
      <c r="C508" s="41" t="n">
        <v>0.4037045900925926</v>
      </c>
      <c r="D508" s="41" t="n">
        <v>0.4031923463425925</v>
      </c>
      <c r="E508" s="39">
        <f>(C508-D508)*1440</f>
        <v/>
      </c>
    </row>
    <row r="509">
      <c r="A509" t="n">
        <v>506</v>
      </c>
      <c r="B509" s="40" t="n">
        <v>46090</v>
      </c>
      <c r="C509" s="41" t="n">
        <v>0.40420158625</v>
      </c>
      <c r="D509" s="41" t="n">
        <v>0.4037045900925926</v>
      </c>
      <c r="E509" s="39">
        <f>(C509-D509)*1440</f>
        <v/>
      </c>
    </row>
    <row r="510">
      <c r="A510" t="n">
        <v>507</v>
      </c>
      <c r="B510" s="40" t="n">
        <v>46090</v>
      </c>
      <c r="C510" s="41" t="n">
        <v>0.4045118771412037</v>
      </c>
      <c r="D510" s="41" t="n">
        <v>0.40420158625</v>
      </c>
      <c r="E510" s="39">
        <f>(C510-D510)*1440</f>
        <v/>
      </c>
    </row>
    <row r="511">
      <c r="A511" t="n">
        <v>508</v>
      </c>
      <c r="B511" s="40" t="n">
        <v>46090</v>
      </c>
      <c r="C511" s="41" t="n">
        <v>0.4045270768981482</v>
      </c>
      <c r="D511" s="41" t="n">
        <v>0.4045118771412037</v>
      </c>
      <c r="E511" s="39">
        <f>(C511-D511)*1440</f>
        <v/>
      </c>
    </row>
    <row r="512">
      <c r="A512" t="n">
        <v>509</v>
      </c>
      <c r="B512" s="40" t="n">
        <v>46090</v>
      </c>
      <c r="C512" s="41" t="n">
        <v>0.405077998125</v>
      </c>
      <c r="D512" s="41" t="n">
        <v>0.4045270768981482</v>
      </c>
      <c r="E512" s="39">
        <f>(C512-D512)*1440</f>
        <v/>
      </c>
    </row>
    <row r="513">
      <c r="A513" t="n">
        <v>510</v>
      </c>
      <c r="B513" s="40" t="n">
        <v>46090</v>
      </c>
      <c r="C513" s="41" t="n">
        <v>0.4052472969560185</v>
      </c>
      <c r="D513" s="41" t="n">
        <v>0.405077998125</v>
      </c>
      <c r="E513" s="39">
        <f>(C513-D513)*1440</f>
        <v/>
      </c>
    </row>
    <row r="514">
      <c r="A514" t="n">
        <v>511</v>
      </c>
      <c r="B514" s="40" t="n">
        <v>46090</v>
      </c>
      <c r="C514" s="41" t="n">
        <v>0.4080635067129629</v>
      </c>
      <c r="D514" s="41" t="n">
        <v>0.4052472969560185</v>
      </c>
      <c r="E514" s="39">
        <f>(C514-D514)*1440</f>
        <v/>
      </c>
    </row>
    <row r="515">
      <c r="A515" t="n">
        <v>512</v>
      </c>
      <c r="B515" s="40" t="n">
        <v>46090</v>
      </c>
      <c r="C515" s="41" t="n">
        <v>0.4085048854050926</v>
      </c>
      <c r="D515" s="41" t="n">
        <v>0.4080635067129629</v>
      </c>
      <c r="E515" s="39">
        <f>(C515-D515)*1440</f>
        <v/>
      </c>
    </row>
    <row r="516">
      <c r="A516" t="n">
        <v>513</v>
      </c>
      <c r="B516" s="40" t="n">
        <v>46090</v>
      </c>
      <c r="C516" s="41" t="n">
        <v>0.4086620653819444</v>
      </c>
      <c r="D516" s="41" t="n">
        <v>0.4085048854050926</v>
      </c>
      <c r="E516" s="39">
        <f>(C516-D516)*1440</f>
        <v/>
      </c>
    </row>
    <row r="517">
      <c r="A517" t="n">
        <v>514</v>
      </c>
      <c r="B517" s="40" t="n">
        <v>46090</v>
      </c>
      <c r="C517" s="41" t="n">
        <v>0.4096253551851852</v>
      </c>
      <c r="D517" s="41" t="n">
        <v>0.4086620653819444</v>
      </c>
      <c r="E517" s="39">
        <f>(C517-D517)*1440</f>
        <v/>
      </c>
    </row>
    <row r="518">
      <c r="A518" t="n">
        <v>515</v>
      </c>
      <c r="B518" s="40" t="n">
        <v>46090</v>
      </c>
      <c r="C518" s="41" t="n">
        <v>0.4110902938773148</v>
      </c>
      <c r="D518" s="41" t="n">
        <v>0.4096253551851852</v>
      </c>
      <c r="E518" s="39">
        <f>(C518-D518)*1440</f>
        <v/>
      </c>
    </row>
    <row r="519">
      <c r="A519" t="n">
        <v>516</v>
      </c>
      <c r="B519" s="40" t="n">
        <v>46090</v>
      </c>
      <c r="C519" s="41" t="n">
        <v>0.4116355440972222</v>
      </c>
      <c r="D519" s="41" t="n">
        <v>0.4110902938773148</v>
      </c>
      <c r="E519" s="39">
        <f>(C519-D519)*1440</f>
        <v/>
      </c>
    </row>
    <row r="520">
      <c r="A520" t="n">
        <v>517</v>
      </c>
      <c r="B520" s="40" t="n">
        <v>46090</v>
      </c>
      <c r="C520" s="41" t="n">
        <v>0.4127380630902778</v>
      </c>
      <c r="D520" s="41" t="n">
        <v>0.4116355440972222</v>
      </c>
      <c r="E520" s="39">
        <f>(C520-D520)*1440</f>
        <v/>
      </c>
    </row>
    <row r="521">
      <c r="A521" t="n">
        <v>518</v>
      </c>
      <c r="B521" s="40" t="n">
        <v>46090</v>
      </c>
      <c r="C521" s="41" t="n">
        <v>0.4140650453819445</v>
      </c>
      <c r="D521" s="41" t="n">
        <v>0.4127380630902778</v>
      </c>
      <c r="E521" s="39">
        <f>(C521-D521)*1440</f>
        <v/>
      </c>
    </row>
    <row r="522">
      <c r="A522" t="n">
        <v>519</v>
      </c>
      <c r="B522" s="40" t="n">
        <v>46090</v>
      </c>
      <c r="C522" s="41" t="n">
        <v>0.4141022982060185</v>
      </c>
      <c r="D522" s="41" t="n">
        <v>0.4140650453819445</v>
      </c>
      <c r="E522" s="39">
        <f>(C522-D522)*1440</f>
        <v/>
      </c>
    </row>
    <row r="523">
      <c r="A523" t="n">
        <v>520</v>
      </c>
      <c r="B523" s="40" t="n">
        <v>46090</v>
      </c>
      <c r="C523" s="41" t="n">
        <v>0.4152113921875</v>
      </c>
      <c r="D523" s="41" t="n">
        <v>0.4141022982060185</v>
      </c>
      <c r="E523" s="39">
        <f>(C523-D523)*1440</f>
        <v/>
      </c>
    </row>
    <row r="524">
      <c r="A524" t="n">
        <v>521</v>
      </c>
      <c r="B524" s="40" t="n">
        <v>46090</v>
      </c>
      <c r="C524" s="41" t="n">
        <v>0.4152639556944445</v>
      </c>
      <c r="D524" s="41" t="n">
        <v>0.4152113921875</v>
      </c>
      <c r="E524" s="39">
        <f>(C524-D524)*1440</f>
        <v/>
      </c>
    </row>
    <row r="525">
      <c r="A525" t="n">
        <v>522</v>
      </c>
      <c r="B525" s="40" t="n">
        <v>46090</v>
      </c>
      <c r="C525" s="41" t="n">
        <v>0.4159868164814815</v>
      </c>
      <c r="D525" s="41" t="n">
        <v>0.4152639556944445</v>
      </c>
      <c r="E525" s="39">
        <f>(C525-D525)*1440</f>
        <v/>
      </c>
    </row>
    <row r="526">
      <c r="A526" t="n">
        <v>523</v>
      </c>
      <c r="B526" s="40" t="n">
        <v>46090</v>
      </c>
      <c r="C526" s="41" t="n">
        <v>0.4160540555324074</v>
      </c>
      <c r="D526" s="41" t="n">
        <v>0.4159868164814815</v>
      </c>
      <c r="E526" s="39">
        <f>(C526-D526)*1440</f>
        <v/>
      </c>
    </row>
    <row r="527">
      <c r="A527" t="n">
        <v>524</v>
      </c>
      <c r="B527" s="40" t="n">
        <v>46090</v>
      </c>
      <c r="C527" s="41" t="n">
        <v>0.4164788202777778</v>
      </c>
      <c r="D527" s="41" t="n">
        <v>0.4160540555324074</v>
      </c>
      <c r="E527" s="39">
        <f>(C527-D527)*1440</f>
        <v/>
      </c>
    </row>
    <row r="528">
      <c r="A528" t="n">
        <v>525</v>
      </c>
      <c r="B528" s="40" t="n">
        <v>46090</v>
      </c>
      <c r="C528" s="41" t="n">
        <v>0.4165150824189815</v>
      </c>
      <c r="D528" s="41" t="n">
        <v>0.4164788202777778</v>
      </c>
      <c r="E528" s="39">
        <f>(C528-D528)*1440</f>
        <v/>
      </c>
    </row>
    <row r="529">
      <c r="A529" t="n">
        <v>526</v>
      </c>
      <c r="B529" s="40" t="n">
        <v>46091</v>
      </c>
      <c r="C529" s="41" t="n">
        <v>0.3756395620949074</v>
      </c>
      <c r="D529" s="41" t="n">
        <v>0.3751776364814815</v>
      </c>
      <c r="E529" s="39">
        <f>(C529-D529)*1440</f>
        <v/>
      </c>
    </row>
    <row r="530">
      <c r="A530" t="n">
        <v>527</v>
      </c>
      <c r="B530" s="40" t="n">
        <v>46091</v>
      </c>
      <c r="C530" s="41" t="n">
        <v>0.3767697027662037</v>
      </c>
      <c r="D530" s="41" t="n">
        <v>0.3756395620949074</v>
      </c>
      <c r="E530" s="39">
        <f>(C530-D530)*1440</f>
        <v/>
      </c>
    </row>
    <row r="531">
      <c r="A531" t="n">
        <v>528</v>
      </c>
      <c r="B531" s="40" t="n">
        <v>46091</v>
      </c>
      <c r="C531" s="41" t="n">
        <v>0.3772698202662037</v>
      </c>
      <c r="D531" s="41" t="n">
        <v>0.3767697027662037</v>
      </c>
      <c r="E531" s="39">
        <f>(C531-D531)*1440</f>
        <v/>
      </c>
    </row>
    <row r="532">
      <c r="A532" t="n">
        <v>529</v>
      </c>
      <c r="B532" s="40" t="n">
        <v>46091</v>
      </c>
      <c r="C532" s="41" t="n">
        <v>0.3778689685300926</v>
      </c>
      <c r="D532" s="41" t="n">
        <v>0.3772698202662037</v>
      </c>
      <c r="E532" s="39">
        <f>(C532-D532)*1440</f>
        <v/>
      </c>
    </row>
    <row r="533">
      <c r="A533" t="n">
        <v>530</v>
      </c>
      <c r="B533" s="40" t="n">
        <v>46091</v>
      </c>
      <c r="C533" s="41" t="n">
        <v>0.3781909085300926</v>
      </c>
      <c r="D533" s="41" t="n">
        <v>0.3778689685300926</v>
      </c>
      <c r="E533" s="39">
        <f>(C533-D533)*1440</f>
        <v/>
      </c>
    </row>
    <row r="534">
      <c r="A534" t="n">
        <v>531</v>
      </c>
      <c r="B534" s="40" t="n">
        <v>46091</v>
      </c>
      <c r="C534" s="41" t="n">
        <v>0.3782422384953704</v>
      </c>
      <c r="D534" s="41" t="n">
        <v>0.3781909085300926</v>
      </c>
      <c r="E534" s="39">
        <f>(C534-D534)*1440</f>
        <v/>
      </c>
    </row>
    <row r="535">
      <c r="A535" t="n">
        <v>532</v>
      </c>
      <c r="B535" s="40" t="n">
        <v>46091</v>
      </c>
      <c r="C535" s="41" t="n">
        <v>0.3783960385532408</v>
      </c>
      <c r="D535" s="41" t="n">
        <v>0.3782422384953704</v>
      </c>
      <c r="E535" s="39">
        <f>(C535-D535)*1440</f>
        <v/>
      </c>
    </row>
    <row r="536">
      <c r="A536" t="n">
        <v>533</v>
      </c>
      <c r="B536" s="40" t="n">
        <v>46091</v>
      </c>
      <c r="C536" s="41" t="n">
        <v>0.3784570910416666</v>
      </c>
      <c r="D536" s="41" t="n">
        <v>0.3783960385532408</v>
      </c>
      <c r="E536" s="39">
        <f>(C536-D536)*1440</f>
        <v/>
      </c>
    </row>
    <row r="537">
      <c r="A537" t="n">
        <v>534</v>
      </c>
      <c r="B537" s="40" t="n">
        <v>46091</v>
      </c>
      <c r="C537" s="41" t="n">
        <v>0.3798665793171296</v>
      </c>
      <c r="D537" s="41" t="n">
        <v>0.3784570910416666</v>
      </c>
      <c r="E537" s="39">
        <f>(C537-D537)*1440</f>
        <v/>
      </c>
    </row>
    <row r="538">
      <c r="A538" t="n">
        <v>535</v>
      </c>
      <c r="B538" s="40" t="n">
        <v>46091</v>
      </c>
      <c r="C538" s="41" t="n">
        <v>0.3806420239351851</v>
      </c>
      <c r="D538" s="41" t="n">
        <v>0.3798665793171296</v>
      </c>
      <c r="E538" s="39">
        <f>(C538-D538)*1440</f>
        <v/>
      </c>
    </row>
    <row r="539">
      <c r="A539" t="n">
        <v>536</v>
      </c>
      <c r="B539" s="40" t="n">
        <v>46091</v>
      </c>
      <c r="C539" s="41" t="n">
        <v>0.3807909603240741</v>
      </c>
      <c r="D539" s="41" t="n">
        <v>0.3806420239351851</v>
      </c>
      <c r="E539" s="39">
        <f>(C539-D539)*1440</f>
        <v/>
      </c>
    </row>
    <row r="540">
      <c r="A540" t="n">
        <v>537</v>
      </c>
      <c r="B540" s="40" t="n">
        <v>46091</v>
      </c>
      <c r="C540" s="41" t="n">
        <v>0.3813371482523148</v>
      </c>
      <c r="D540" s="41" t="n">
        <v>0.3807909603240741</v>
      </c>
      <c r="E540" s="39">
        <f>(C540-D540)*1440</f>
        <v/>
      </c>
    </row>
    <row r="541">
      <c r="A541" t="n">
        <v>538</v>
      </c>
      <c r="B541" s="40" t="n">
        <v>46091</v>
      </c>
      <c r="C541" s="41" t="n">
        <v>0.3815968174421296</v>
      </c>
      <c r="D541" s="41" t="n">
        <v>0.3813371482523148</v>
      </c>
      <c r="E541" s="39">
        <f>(C541-D541)*1440</f>
        <v/>
      </c>
    </row>
    <row r="542">
      <c r="A542" t="n">
        <v>539</v>
      </c>
      <c r="B542" s="40" t="n">
        <v>46091</v>
      </c>
      <c r="C542" s="41" t="n">
        <v>0.382755726099537</v>
      </c>
      <c r="D542" s="41" t="n">
        <v>0.3815968174421296</v>
      </c>
      <c r="E542" s="39">
        <f>(C542-D542)*1440</f>
        <v/>
      </c>
    </row>
    <row r="543">
      <c r="A543" t="n">
        <v>540</v>
      </c>
      <c r="B543" s="40" t="n">
        <v>46091</v>
      </c>
      <c r="C543" s="41" t="n">
        <v>0.3829901676967592</v>
      </c>
      <c r="D543" s="41" t="n">
        <v>0.382755726099537</v>
      </c>
      <c r="E543" s="39">
        <f>(C543-D543)*1440</f>
        <v/>
      </c>
    </row>
    <row r="544">
      <c r="A544" t="n">
        <v>541</v>
      </c>
      <c r="B544" s="40" t="n">
        <v>46091</v>
      </c>
      <c r="C544" s="41" t="n">
        <v>0.3830366951967593</v>
      </c>
      <c r="D544" s="41" t="n">
        <v>0.3829901676967592</v>
      </c>
      <c r="E544" s="39">
        <f>(C544-D544)*1440</f>
        <v/>
      </c>
    </row>
    <row r="545">
      <c r="A545" t="n">
        <v>542</v>
      </c>
      <c r="B545" s="40" t="n">
        <v>46091</v>
      </c>
      <c r="C545" s="41" t="n">
        <v>0.3845683404513889</v>
      </c>
      <c r="D545" s="41" t="n">
        <v>0.3830366951967593</v>
      </c>
      <c r="E545" s="39">
        <f>(C545-D545)*1440</f>
        <v/>
      </c>
    </row>
    <row r="546">
      <c r="A546" t="n">
        <v>543</v>
      </c>
      <c r="B546" s="40" t="n">
        <v>46091</v>
      </c>
      <c r="C546" s="41" t="n">
        <v>0.3849205436574074</v>
      </c>
      <c r="D546" s="41" t="n">
        <v>0.3845683404513889</v>
      </c>
      <c r="E546" s="39">
        <f>(C546-D546)*1440</f>
        <v/>
      </c>
    </row>
    <row r="547">
      <c r="A547" t="n">
        <v>544</v>
      </c>
      <c r="B547" s="40" t="n">
        <v>46091</v>
      </c>
      <c r="C547" s="41" t="n">
        <v>0.3853814619097222</v>
      </c>
      <c r="D547" s="41" t="n">
        <v>0.3849205436574074</v>
      </c>
      <c r="E547" s="39">
        <f>(C547-D547)*1440</f>
        <v/>
      </c>
    </row>
    <row r="548">
      <c r="A548" t="n">
        <v>545</v>
      </c>
      <c r="B548" s="40" t="n">
        <v>46091</v>
      </c>
      <c r="C548" s="41" t="n">
        <v>0.3876051091203703</v>
      </c>
      <c r="D548" s="41" t="n">
        <v>0.3853814619097222</v>
      </c>
      <c r="E548" s="39">
        <f>(C548-D548)*1440</f>
        <v/>
      </c>
    </row>
    <row r="549">
      <c r="A549" t="n">
        <v>546</v>
      </c>
      <c r="B549" s="40" t="n">
        <v>46091</v>
      </c>
      <c r="C549" s="41" t="n">
        <v>0.3877093068518518</v>
      </c>
      <c r="D549" s="41" t="n">
        <v>0.3876051091203703</v>
      </c>
      <c r="E549" s="39">
        <f>(C549-D549)*1440</f>
        <v/>
      </c>
    </row>
    <row r="550">
      <c r="A550" t="n">
        <v>547</v>
      </c>
      <c r="B550" s="40" t="n">
        <v>46091</v>
      </c>
      <c r="C550" s="41" t="n">
        <v>0.3880846914236111</v>
      </c>
      <c r="D550" s="41" t="n">
        <v>0.3877093068518518</v>
      </c>
      <c r="E550" s="39">
        <f>(C550-D550)*1440</f>
        <v/>
      </c>
    </row>
    <row r="551">
      <c r="A551" t="n">
        <v>548</v>
      </c>
      <c r="B551" s="40" t="n">
        <v>46091</v>
      </c>
      <c r="C551" s="41" t="n">
        <v>0.3886404826157407</v>
      </c>
      <c r="D551" s="41" t="n">
        <v>0.3880846914236111</v>
      </c>
      <c r="E551" s="39">
        <f>(C551-D551)*1440</f>
        <v/>
      </c>
    </row>
    <row r="552">
      <c r="A552" t="n">
        <v>549</v>
      </c>
      <c r="B552" s="40" t="n">
        <v>46091</v>
      </c>
      <c r="C552" s="41" t="n">
        <v>0.3888475335069444</v>
      </c>
      <c r="D552" s="41" t="n">
        <v>0.3886404826157407</v>
      </c>
      <c r="E552" s="39">
        <f>(C552-D552)*1440</f>
        <v/>
      </c>
    </row>
    <row r="553">
      <c r="A553" t="n">
        <v>550</v>
      </c>
      <c r="B553" s="40" t="n">
        <v>46091</v>
      </c>
      <c r="C553" s="41" t="n">
        <v>0.3892811477314815</v>
      </c>
      <c r="D553" s="41" t="n">
        <v>0.3888475335069444</v>
      </c>
      <c r="E553" s="39">
        <f>(C553-D553)*1440</f>
        <v/>
      </c>
    </row>
    <row r="554">
      <c r="A554" t="n">
        <v>551</v>
      </c>
      <c r="B554" s="40" t="n">
        <v>46091</v>
      </c>
      <c r="C554" s="41" t="n">
        <v>0.3898614971412037</v>
      </c>
      <c r="D554" s="41" t="n">
        <v>0.3892811477314815</v>
      </c>
      <c r="E554" s="39">
        <f>(C554-D554)*1440</f>
        <v/>
      </c>
    </row>
    <row r="555">
      <c r="A555" t="n">
        <v>552</v>
      </c>
      <c r="B555" s="40" t="n">
        <v>46091</v>
      </c>
      <c r="C555" s="41" t="n">
        <v>0.3902845887152778</v>
      </c>
      <c r="D555" s="41" t="n">
        <v>0.3898614971412037</v>
      </c>
      <c r="E555" s="39">
        <f>(C555-D555)*1440</f>
        <v/>
      </c>
    </row>
    <row r="556">
      <c r="A556" t="n">
        <v>553</v>
      </c>
      <c r="B556" s="40" t="n">
        <v>46091</v>
      </c>
      <c r="C556" s="41" t="n">
        <v>0.3910485976967593</v>
      </c>
      <c r="D556" s="41" t="n">
        <v>0.3902845887152778</v>
      </c>
      <c r="E556" s="39">
        <f>(C556-D556)*1440</f>
        <v/>
      </c>
    </row>
    <row r="557">
      <c r="A557" t="n">
        <v>554</v>
      </c>
      <c r="B557" s="40" t="n">
        <v>46091</v>
      </c>
      <c r="C557" s="41" t="n">
        <v>0.3911918185185185</v>
      </c>
      <c r="D557" s="41" t="n">
        <v>0.3910485976967593</v>
      </c>
      <c r="E557" s="39">
        <f>(C557-D557)*1440</f>
        <v/>
      </c>
    </row>
    <row r="558">
      <c r="A558" t="n">
        <v>555</v>
      </c>
      <c r="B558" s="40" t="n">
        <v>46091</v>
      </c>
      <c r="C558" s="41" t="n">
        <v>0.3911935528009259</v>
      </c>
      <c r="D558" s="41" t="n">
        <v>0.3911918185185185</v>
      </c>
      <c r="E558" s="39">
        <f>(C558-D558)*1440</f>
        <v/>
      </c>
    </row>
    <row r="559">
      <c r="A559" t="n">
        <v>556</v>
      </c>
      <c r="B559" s="40" t="n">
        <v>46091</v>
      </c>
      <c r="C559" s="41" t="n">
        <v>0.3916916354745371</v>
      </c>
      <c r="D559" s="41" t="n">
        <v>0.3911935528009259</v>
      </c>
      <c r="E559" s="39">
        <f>(C559-D559)*1440</f>
        <v/>
      </c>
    </row>
    <row r="560">
      <c r="A560" t="n">
        <v>557</v>
      </c>
      <c r="B560" s="40" t="n">
        <v>46091</v>
      </c>
      <c r="C560" s="41" t="n">
        <v>0.3917949143865741</v>
      </c>
      <c r="D560" s="41" t="n">
        <v>0.3916916354745371</v>
      </c>
      <c r="E560" s="39">
        <f>(C560-D560)*1440</f>
        <v/>
      </c>
    </row>
    <row r="561">
      <c r="A561" t="n">
        <v>558</v>
      </c>
      <c r="B561" s="40" t="n">
        <v>46091</v>
      </c>
      <c r="C561" s="41" t="n">
        <v>0.392119233287037</v>
      </c>
      <c r="D561" s="41" t="n">
        <v>0.3917949143865741</v>
      </c>
      <c r="E561" s="39">
        <f>(C561-D561)*1440</f>
        <v/>
      </c>
    </row>
    <row r="562">
      <c r="A562" t="n">
        <v>559</v>
      </c>
      <c r="B562" s="40" t="n">
        <v>46091</v>
      </c>
      <c r="C562" s="41" t="n">
        <v>0.3921753301041667</v>
      </c>
      <c r="D562" s="41" t="n">
        <v>0.392119233287037</v>
      </c>
      <c r="E562" s="39">
        <f>(C562-D562)*1440</f>
        <v/>
      </c>
    </row>
    <row r="563">
      <c r="A563" t="n">
        <v>560</v>
      </c>
      <c r="B563" s="40" t="n">
        <v>46091</v>
      </c>
      <c r="C563" s="41" t="n">
        <v>0.3922233091898148</v>
      </c>
      <c r="D563" s="41" t="n">
        <v>0.3921753301041667</v>
      </c>
      <c r="E563" s="39">
        <f>(C563-D563)*1440</f>
        <v/>
      </c>
    </row>
    <row r="564">
      <c r="A564" t="n">
        <v>561</v>
      </c>
      <c r="B564" s="40" t="n">
        <v>46091</v>
      </c>
      <c r="C564" s="41" t="n">
        <v>0.3922236903125</v>
      </c>
      <c r="D564" s="41" t="n">
        <v>0.3922233091898148</v>
      </c>
      <c r="E564" s="39">
        <f>(C564-D564)*1440</f>
        <v/>
      </c>
    </row>
    <row r="565">
      <c r="A565" t="n">
        <v>562</v>
      </c>
      <c r="B565" s="40" t="n">
        <v>46091</v>
      </c>
      <c r="C565" s="41" t="n">
        <v>0.3933434295023148</v>
      </c>
      <c r="D565" s="41" t="n">
        <v>0.3922236903125</v>
      </c>
      <c r="E565" s="39">
        <f>(C565-D565)*1440</f>
        <v/>
      </c>
    </row>
    <row r="566">
      <c r="A566" t="n">
        <v>563</v>
      </c>
      <c r="B566" s="40" t="n">
        <v>46091</v>
      </c>
      <c r="C566" s="41" t="n">
        <v>0.3936212866550926</v>
      </c>
      <c r="D566" s="41" t="n">
        <v>0.3933434295023148</v>
      </c>
      <c r="E566" s="39">
        <f>(C566-D566)*1440</f>
        <v/>
      </c>
    </row>
    <row r="567">
      <c r="A567" t="n">
        <v>564</v>
      </c>
      <c r="B567" s="40" t="n">
        <v>46091</v>
      </c>
      <c r="C567" s="41" t="n">
        <v>0.393896223912037</v>
      </c>
      <c r="D567" s="41" t="n">
        <v>0.3936212866550926</v>
      </c>
      <c r="E567" s="39">
        <f>(C567-D567)*1440</f>
        <v/>
      </c>
    </row>
    <row r="568">
      <c r="A568" t="n">
        <v>565</v>
      </c>
      <c r="B568" s="40" t="n">
        <v>46091</v>
      </c>
      <c r="C568" s="41" t="n">
        <v>0.3953345719791667</v>
      </c>
      <c r="D568" s="41" t="n">
        <v>0.393896223912037</v>
      </c>
      <c r="E568" s="39">
        <f>(C568-D568)*1440</f>
        <v/>
      </c>
    </row>
    <row r="569">
      <c r="A569" t="n">
        <v>566</v>
      </c>
      <c r="B569" s="40" t="n">
        <v>46091</v>
      </c>
      <c r="C569" s="41" t="n">
        <v>0.3959206899537037</v>
      </c>
      <c r="D569" s="41" t="n">
        <v>0.3953345719791667</v>
      </c>
      <c r="E569" s="39">
        <f>(C569-D569)*1440</f>
        <v/>
      </c>
    </row>
    <row r="570">
      <c r="A570" t="n">
        <v>567</v>
      </c>
      <c r="B570" s="40" t="n">
        <v>46091</v>
      </c>
      <c r="C570" s="41" t="n">
        <v>0.3961049912037037</v>
      </c>
      <c r="D570" s="41" t="n">
        <v>0.3959206899537037</v>
      </c>
      <c r="E570" s="39">
        <f>(C570-D570)*1440</f>
        <v/>
      </c>
    </row>
    <row r="571">
      <c r="A571" t="n">
        <v>568</v>
      </c>
      <c r="B571" s="40" t="n">
        <v>46091</v>
      </c>
      <c r="C571" s="41" t="n">
        <v>0.397034971712963</v>
      </c>
      <c r="D571" s="41" t="n">
        <v>0.3961049912037037</v>
      </c>
      <c r="E571" s="39">
        <f>(C571-D571)*1440</f>
        <v/>
      </c>
    </row>
    <row r="572">
      <c r="A572" t="n">
        <v>569</v>
      </c>
      <c r="B572" s="40" t="n">
        <v>46091</v>
      </c>
      <c r="C572" s="41" t="n">
        <v>0.3972122599189815</v>
      </c>
      <c r="D572" s="41" t="n">
        <v>0.397034971712963</v>
      </c>
      <c r="E572" s="39">
        <f>(C572-D572)*1440</f>
        <v/>
      </c>
    </row>
    <row r="573">
      <c r="A573" t="n">
        <v>570</v>
      </c>
      <c r="B573" s="40" t="n">
        <v>46091</v>
      </c>
      <c r="C573" s="41" t="n">
        <v>0.3975246205324074</v>
      </c>
      <c r="D573" s="41" t="n">
        <v>0.3972122599189815</v>
      </c>
      <c r="E573" s="39">
        <f>(C573-D573)*1440</f>
        <v/>
      </c>
    </row>
    <row r="574">
      <c r="A574" t="n">
        <v>571</v>
      </c>
      <c r="B574" s="40" t="n">
        <v>46091</v>
      </c>
      <c r="C574" s="41" t="n">
        <v>0.3975287714467592</v>
      </c>
      <c r="D574" s="41" t="n">
        <v>0.3975246205324074</v>
      </c>
      <c r="E574" s="39">
        <f>(C574-D574)*1440</f>
        <v/>
      </c>
    </row>
    <row r="575">
      <c r="A575" t="n">
        <v>572</v>
      </c>
      <c r="B575" s="40" t="n">
        <v>46091</v>
      </c>
      <c r="C575" s="41" t="n">
        <v>0.3980727206712963</v>
      </c>
      <c r="D575" s="41" t="n">
        <v>0.3975287714467592</v>
      </c>
      <c r="E575" s="39">
        <f>(C575-D575)*1440</f>
        <v/>
      </c>
    </row>
    <row r="576">
      <c r="A576" t="n">
        <v>573</v>
      </c>
      <c r="B576" s="40" t="n">
        <v>46091</v>
      </c>
      <c r="C576" s="41" t="n">
        <v>0.3981898565046297</v>
      </c>
      <c r="D576" s="41" t="n">
        <v>0.3980727206712963</v>
      </c>
      <c r="E576" s="39">
        <f>(C576-D576)*1440</f>
        <v/>
      </c>
    </row>
    <row r="577">
      <c r="A577" t="n">
        <v>574</v>
      </c>
      <c r="B577" s="40" t="n">
        <v>46091</v>
      </c>
      <c r="C577" s="41" t="n">
        <v>0.3984146009375</v>
      </c>
      <c r="D577" s="41" t="n">
        <v>0.3981898565046297</v>
      </c>
      <c r="E577" s="39">
        <f>(C577-D577)*1440</f>
        <v/>
      </c>
    </row>
    <row r="578">
      <c r="A578" t="n">
        <v>575</v>
      </c>
      <c r="B578" s="40" t="n">
        <v>46091</v>
      </c>
      <c r="C578" s="41" t="n">
        <v>0.3996160523148148</v>
      </c>
      <c r="D578" s="41" t="n">
        <v>0.3984146009375</v>
      </c>
      <c r="E578" s="39">
        <f>(C578-D578)*1440</f>
        <v/>
      </c>
    </row>
    <row r="579">
      <c r="A579" t="n">
        <v>576</v>
      </c>
      <c r="B579" s="40" t="n">
        <v>46091</v>
      </c>
      <c r="C579" s="41" t="n">
        <v>0.4002911351504629</v>
      </c>
      <c r="D579" s="41" t="n">
        <v>0.3996160523148148</v>
      </c>
      <c r="E579" s="39">
        <f>(C579-D579)*1440</f>
        <v/>
      </c>
    </row>
    <row r="580">
      <c r="A580" t="n">
        <v>577</v>
      </c>
      <c r="B580" s="40" t="n">
        <v>46091</v>
      </c>
      <c r="C580" s="41" t="n">
        <v>0.4003582396759259</v>
      </c>
      <c r="D580" s="41" t="n">
        <v>0.4002911351504629</v>
      </c>
      <c r="E580" s="39">
        <f>(C580-D580)*1440</f>
        <v/>
      </c>
    </row>
    <row r="581">
      <c r="A581" t="n">
        <v>578</v>
      </c>
      <c r="B581" s="40" t="n">
        <v>46091</v>
      </c>
      <c r="C581" s="41" t="n">
        <v>0.4004850575347222</v>
      </c>
      <c r="D581" s="41" t="n">
        <v>0.4003582396759259</v>
      </c>
      <c r="E581" s="39">
        <f>(C581-D581)*1440</f>
        <v/>
      </c>
    </row>
    <row r="582">
      <c r="A582" t="n">
        <v>579</v>
      </c>
      <c r="B582" s="40" t="n">
        <v>46091</v>
      </c>
      <c r="C582" s="41" t="n">
        <v>0.40149462375</v>
      </c>
      <c r="D582" s="41" t="n">
        <v>0.4004850575347222</v>
      </c>
      <c r="E582" s="39">
        <f>(C582-D582)*1440</f>
        <v/>
      </c>
    </row>
    <row r="583">
      <c r="A583" t="n">
        <v>580</v>
      </c>
      <c r="B583" s="40" t="n">
        <v>46091</v>
      </c>
      <c r="C583" s="41" t="n">
        <v>0.4015436489699075</v>
      </c>
      <c r="D583" s="41" t="n">
        <v>0.40149462375</v>
      </c>
      <c r="E583" s="39">
        <f>(C583-D583)*1440</f>
        <v/>
      </c>
    </row>
    <row r="584">
      <c r="A584" t="n">
        <v>581</v>
      </c>
      <c r="B584" s="40" t="n">
        <v>46091</v>
      </c>
      <c r="C584" s="41" t="n">
        <v>0.4018714875925926</v>
      </c>
      <c r="D584" s="41" t="n">
        <v>0.4015436489699075</v>
      </c>
      <c r="E584" s="39">
        <f>(C584-D584)*1440</f>
        <v/>
      </c>
    </row>
    <row r="585">
      <c r="A585" t="n">
        <v>582</v>
      </c>
      <c r="B585" s="40" t="n">
        <v>46091</v>
      </c>
      <c r="C585" s="41" t="n">
        <v>0.4018963235648148</v>
      </c>
      <c r="D585" s="41" t="n">
        <v>0.4018714875925926</v>
      </c>
      <c r="E585" s="39">
        <f>(C585-D585)*1440</f>
        <v/>
      </c>
    </row>
    <row r="586">
      <c r="A586" t="n">
        <v>583</v>
      </c>
      <c r="B586" s="40" t="n">
        <v>46091</v>
      </c>
      <c r="C586" s="41" t="n">
        <v>0.4024575134722223</v>
      </c>
      <c r="D586" s="41" t="n">
        <v>0.4018963235648148</v>
      </c>
      <c r="E586" s="39">
        <f>(C586-D586)*1440</f>
        <v/>
      </c>
    </row>
    <row r="587">
      <c r="A587" t="n">
        <v>584</v>
      </c>
      <c r="B587" s="40" t="n">
        <v>46091</v>
      </c>
      <c r="C587" s="41" t="n">
        <v>0.4034574517939815</v>
      </c>
      <c r="D587" s="41" t="n">
        <v>0.4024575134722223</v>
      </c>
      <c r="E587" s="39">
        <f>(C587-D587)*1440</f>
        <v/>
      </c>
    </row>
    <row r="588">
      <c r="A588" t="n">
        <v>585</v>
      </c>
      <c r="B588" s="40" t="n">
        <v>46091</v>
      </c>
      <c r="C588" s="41" t="n">
        <v>0.4034763591087963</v>
      </c>
      <c r="D588" s="41" t="n">
        <v>0.4034574517939815</v>
      </c>
      <c r="E588" s="39">
        <f>(C588-D588)*1440</f>
        <v/>
      </c>
    </row>
    <row r="589">
      <c r="A589" t="n">
        <v>586</v>
      </c>
      <c r="B589" s="40" t="n">
        <v>46091</v>
      </c>
      <c r="C589" s="41" t="n">
        <v>0.4039638623726852</v>
      </c>
      <c r="D589" s="41" t="n">
        <v>0.4034763591087963</v>
      </c>
      <c r="E589" s="39">
        <f>(C589-D589)*1440</f>
        <v/>
      </c>
    </row>
    <row r="590">
      <c r="A590" t="n">
        <v>587</v>
      </c>
      <c r="B590" s="40" t="n">
        <v>46091</v>
      </c>
      <c r="C590" s="41" t="n">
        <v>0.4041407239467593</v>
      </c>
      <c r="D590" s="41" t="n">
        <v>0.4039638623726852</v>
      </c>
      <c r="E590" s="39">
        <f>(C590-D590)*1440</f>
        <v/>
      </c>
    </row>
    <row r="591">
      <c r="A591" t="n">
        <v>588</v>
      </c>
      <c r="B591" s="40" t="n">
        <v>46091</v>
      </c>
      <c r="C591" s="41" t="n">
        <v>0.4042647027662037</v>
      </c>
      <c r="D591" s="41" t="n">
        <v>0.4041407239467593</v>
      </c>
      <c r="E591" s="39">
        <f>(C591-D591)*1440</f>
        <v/>
      </c>
    </row>
    <row r="592">
      <c r="A592" t="n">
        <v>589</v>
      </c>
      <c r="B592" s="40" t="n">
        <v>46091</v>
      </c>
      <c r="C592" s="41" t="n">
        <v>0.4043848802199074</v>
      </c>
      <c r="D592" s="41" t="n">
        <v>0.4042647027662037</v>
      </c>
      <c r="E592" s="39">
        <f>(C592-D592)*1440</f>
        <v/>
      </c>
    </row>
    <row r="593">
      <c r="A593" t="n">
        <v>590</v>
      </c>
      <c r="B593" s="40" t="n">
        <v>46091</v>
      </c>
      <c r="C593" s="41" t="n">
        <v>0.4049573296412037</v>
      </c>
      <c r="D593" s="41" t="n">
        <v>0.4043848802199074</v>
      </c>
      <c r="E593" s="39">
        <f>(C593-D593)*1440</f>
        <v/>
      </c>
    </row>
    <row r="594">
      <c r="A594" t="n">
        <v>591</v>
      </c>
      <c r="B594" s="40" t="n">
        <v>46091</v>
      </c>
      <c r="C594" s="41" t="n">
        <v>0.4062687954976852</v>
      </c>
      <c r="D594" s="41" t="n">
        <v>0.4049573296412037</v>
      </c>
      <c r="E594" s="39">
        <f>(C594-D594)*1440</f>
        <v/>
      </c>
    </row>
    <row r="595">
      <c r="A595" t="n">
        <v>592</v>
      </c>
      <c r="B595" s="40" t="n">
        <v>46091</v>
      </c>
      <c r="C595" s="41" t="n">
        <v>0.4067946679166667</v>
      </c>
      <c r="D595" s="41" t="n">
        <v>0.4062687954976852</v>
      </c>
      <c r="E595" s="39">
        <f>(C595-D595)*1440</f>
        <v/>
      </c>
    </row>
    <row r="596">
      <c r="A596" t="n">
        <v>593</v>
      </c>
      <c r="B596" s="40" t="n">
        <v>46091</v>
      </c>
      <c r="C596" s="41" t="n">
        <v>0.4069312126851852</v>
      </c>
      <c r="D596" s="41" t="n">
        <v>0.4067946679166667</v>
      </c>
      <c r="E596" s="39">
        <f>(C596-D596)*1440</f>
        <v/>
      </c>
    </row>
    <row r="597">
      <c r="A597" t="n">
        <v>594</v>
      </c>
      <c r="B597" s="40" t="n">
        <v>46091</v>
      </c>
      <c r="C597" s="41" t="n">
        <v>0.4082243837615741</v>
      </c>
      <c r="D597" s="41" t="n">
        <v>0.4069312126851852</v>
      </c>
      <c r="E597" s="39">
        <f>(C597-D597)*1440</f>
        <v/>
      </c>
    </row>
    <row r="598">
      <c r="A598" t="n">
        <v>595</v>
      </c>
      <c r="B598" s="40" t="n">
        <v>46091</v>
      </c>
      <c r="C598" s="41" t="n">
        <v>0.4086412318981482</v>
      </c>
      <c r="D598" s="41" t="n">
        <v>0.4082243837615741</v>
      </c>
      <c r="E598" s="39">
        <f>(C598-D598)*1440</f>
        <v/>
      </c>
    </row>
    <row r="599">
      <c r="A599" t="n">
        <v>596</v>
      </c>
      <c r="B599" s="40" t="n">
        <v>46091</v>
      </c>
      <c r="C599" s="41" t="n">
        <v>0.4087451783217592</v>
      </c>
      <c r="D599" s="41" t="n">
        <v>0.4086412318981482</v>
      </c>
      <c r="E599" s="39">
        <f>(C599-D599)*1440</f>
        <v/>
      </c>
    </row>
    <row r="600">
      <c r="A600" t="n">
        <v>597</v>
      </c>
      <c r="B600" s="40" t="n">
        <v>46091</v>
      </c>
      <c r="C600" s="41" t="n">
        <v>0.4088135807291666</v>
      </c>
      <c r="D600" s="41" t="n">
        <v>0.4087451783217592</v>
      </c>
      <c r="E600" s="39">
        <f>(C600-D600)*1440</f>
        <v/>
      </c>
    </row>
    <row r="601">
      <c r="A601" t="n">
        <v>598</v>
      </c>
      <c r="B601" s="40" t="n">
        <v>46091</v>
      </c>
      <c r="C601" s="41" t="n">
        <v>0.4092423149305556</v>
      </c>
      <c r="D601" s="41" t="n">
        <v>0.4088135807291666</v>
      </c>
      <c r="E601" s="39">
        <f>(C601-D601)*1440</f>
        <v/>
      </c>
    </row>
    <row r="602">
      <c r="A602" t="n">
        <v>599</v>
      </c>
      <c r="B602" s="40" t="n">
        <v>46091</v>
      </c>
      <c r="C602" s="41" t="n">
        <v>0.4102135637847222</v>
      </c>
      <c r="D602" s="41" t="n">
        <v>0.4092423149305556</v>
      </c>
      <c r="E602" s="39">
        <f>(C602-D602)*1440</f>
        <v/>
      </c>
    </row>
    <row r="603">
      <c r="A603" t="n">
        <v>600</v>
      </c>
      <c r="B603" s="40" t="n">
        <v>46091</v>
      </c>
      <c r="C603" s="41" t="n">
        <v>0.4110145230439815</v>
      </c>
      <c r="D603" s="41" t="n">
        <v>0.4102135637847222</v>
      </c>
      <c r="E603" s="39">
        <f>(C603-D603)*1440</f>
        <v/>
      </c>
    </row>
    <row r="604">
      <c r="A604" t="n">
        <v>601</v>
      </c>
      <c r="B604" s="40" t="n">
        <v>46091</v>
      </c>
      <c r="C604" s="41" t="n">
        <v>0.4112699523611111</v>
      </c>
      <c r="D604" s="41" t="n">
        <v>0.4110145230439815</v>
      </c>
      <c r="E604" s="39">
        <f>(C604-D604)*1440</f>
        <v/>
      </c>
    </row>
    <row r="605">
      <c r="A605" t="n">
        <v>602</v>
      </c>
      <c r="B605" s="40" t="n">
        <v>46091</v>
      </c>
      <c r="C605" s="41" t="n">
        <v>0.4114424217708333</v>
      </c>
      <c r="D605" s="41" t="n">
        <v>0.4112699523611111</v>
      </c>
      <c r="E605" s="39">
        <f>(C605-D605)*1440</f>
        <v/>
      </c>
    </row>
    <row r="606">
      <c r="A606" t="n">
        <v>603</v>
      </c>
      <c r="B606" s="40" t="n">
        <v>46091</v>
      </c>
      <c r="C606" s="41" t="n">
        <v>0.4120781422337963</v>
      </c>
      <c r="D606" s="41" t="n">
        <v>0.4114424217708333</v>
      </c>
      <c r="E606" s="39">
        <f>(C606-D606)*1440</f>
        <v/>
      </c>
    </row>
    <row r="607">
      <c r="A607" t="n">
        <v>604</v>
      </c>
      <c r="B607" s="40" t="n">
        <v>46091</v>
      </c>
      <c r="C607" s="41" t="n">
        <v>0.4125681709953704</v>
      </c>
      <c r="D607" s="41" t="n">
        <v>0.4120781422337963</v>
      </c>
      <c r="E607" s="39">
        <f>(C607-D607)*1440</f>
        <v/>
      </c>
    </row>
    <row r="608">
      <c r="A608" t="n">
        <v>605</v>
      </c>
      <c r="B608" s="40" t="n">
        <v>46091</v>
      </c>
      <c r="C608" s="41" t="n">
        <v>0.4129597110416667</v>
      </c>
      <c r="D608" s="41" t="n">
        <v>0.4125681709953704</v>
      </c>
      <c r="E608" s="39">
        <f>(C608-D608)*1440</f>
        <v/>
      </c>
    </row>
    <row r="609">
      <c r="A609" t="n">
        <v>606</v>
      </c>
      <c r="B609" s="40" t="n">
        <v>46091</v>
      </c>
      <c r="C609" s="41" t="n">
        <v>0.413408617037037</v>
      </c>
      <c r="D609" s="41" t="n">
        <v>0.4129597110416667</v>
      </c>
      <c r="E609" s="39">
        <f>(C609-D609)*1440</f>
        <v/>
      </c>
    </row>
    <row r="610">
      <c r="A610" t="n">
        <v>607</v>
      </c>
      <c r="B610" s="40" t="n">
        <v>46091</v>
      </c>
      <c r="C610" s="41" t="n">
        <v>0.4136513084490741</v>
      </c>
      <c r="D610" s="41" t="n">
        <v>0.413408617037037</v>
      </c>
      <c r="E610" s="39">
        <f>(C610-D610)*1440</f>
        <v/>
      </c>
    </row>
    <row r="611">
      <c r="A611" t="n">
        <v>608</v>
      </c>
      <c r="B611" s="40" t="n">
        <v>46091</v>
      </c>
      <c r="C611" s="41" t="n">
        <v>0.4138880812037037</v>
      </c>
      <c r="D611" s="41" t="n">
        <v>0.4136513084490741</v>
      </c>
      <c r="E611" s="39">
        <f>(C611-D611)*1440</f>
        <v/>
      </c>
    </row>
    <row r="612">
      <c r="A612" t="n">
        <v>609</v>
      </c>
      <c r="B612" s="40" t="n">
        <v>46091</v>
      </c>
      <c r="C612" s="41" t="n">
        <v>0.4139156935648148</v>
      </c>
      <c r="D612" s="41" t="n">
        <v>0.4138880812037037</v>
      </c>
      <c r="E612" s="39">
        <f>(C612-D612)*1440</f>
        <v/>
      </c>
    </row>
    <row r="613">
      <c r="A613" t="n">
        <v>610</v>
      </c>
      <c r="B613" s="40" t="n">
        <v>46091</v>
      </c>
      <c r="C613" s="41" t="n">
        <v>0.4139505233449074</v>
      </c>
      <c r="D613" s="41" t="n">
        <v>0.4139156935648148</v>
      </c>
      <c r="E613" s="39">
        <f>(C613-D613)*1440</f>
        <v/>
      </c>
    </row>
    <row r="614">
      <c r="A614" t="n">
        <v>611</v>
      </c>
      <c r="B614" s="40" t="n">
        <v>46091</v>
      </c>
      <c r="C614" s="41" t="n">
        <v>0.4142078000578704</v>
      </c>
      <c r="D614" s="41" t="n">
        <v>0.4139505233449074</v>
      </c>
      <c r="E614" s="39">
        <f>(C614-D614)*1440</f>
        <v/>
      </c>
    </row>
    <row r="615">
      <c r="A615" t="n">
        <v>612</v>
      </c>
      <c r="B615" s="40" t="n">
        <v>46091</v>
      </c>
      <c r="C615" s="41" t="n">
        <v>0.4144481015509259</v>
      </c>
      <c r="D615" s="41" t="n">
        <v>0.4142078000578704</v>
      </c>
      <c r="E615" s="39">
        <f>(C615-D615)*1440</f>
        <v/>
      </c>
    </row>
    <row r="616">
      <c r="A616" t="n">
        <v>613</v>
      </c>
      <c r="B616" s="40" t="n">
        <v>46091</v>
      </c>
      <c r="C616" s="41" t="n">
        <v>0.4145434657060186</v>
      </c>
      <c r="D616" s="41" t="n">
        <v>0.4144481015509259</v>
      </c>
      <c r="E616" s="39">
        <f>(C616-D616)*1440</f>
        <v/>
      </c>
    </row>
    <row r="617">
      <c r="A617" t="n">
        <v>614</v>
      </c>
      <c r="B617" s="40" t="n">
        <v>46091</v>
      </c>
      <c r="C617" s="41" t="n">
        <v>0.4146857226504629</v>
      </c>
      <c r="D617" s="41" t="n">
        <v>0.4145434657060186</v>
      </c>
      <c r="E617" s="39">
        <f>(C617-D617)*1440</f>
        <v/>
      </c>
    </row>
    <row r="618">
      <c r="A618" t="n">
        <v>615</v>
      </c>
      <c r="B618" s="40" t="n">
        <v>46091</v>
      </c>
      <c r="C618" s="41" t="n">
        <v>0.4153385005324074</v>
      </c>
      <c r="D618" s="41" t="n">
        <v>0.4146857226504629</v>
      </c>
      <c r="E618" s="39">
        <f>(C618-D618)*1440</f>
        <v/>
      </c>
    </row>
    <row r="619">
      <c r="A619" t="n">
        <v>616</v>
      </c>
      <c r="B619" s="40" t="n">
        <v>46091</v>
      </c>
      <c r="C619" s="41" t="n">
        <v>0.4155199758101852</v>
      </c>
      <c r="D619" s="41" t="n">
        <v>0.4153385005324074</v>
      </c>
      <c r="E619" s="39">
        <f>(C619-D619)*1440</f>
        <v/>
      </c>
    </row>
    <row r="620">
      <c r="A620" t="n">
        <v>617</v>
      </c>
      <c r="B620" s="40" t="n">
        <v>46091</v>
      </c>
      <c r="C620" s="41" t="n">
        <v>0.4156584195949075</v>
      </c>
      <c r="D620" s="41" t="n">
        <v>0.4155199758101852</v>
      </c>
      <c r="E620" s="39">
        <f>(C620-D620)*1440</f>
        <v/>
      </c>
    </row>
    <row r="621">
      <c r="A621" t="n">
        <v>618</v>
      </c>
      <c r="B621" s="40" t="n">
        <v>46092</v>
      </c>
      <c r="C621" s="41" t="n">
        <v>0.3757363945717592</v>
      </c>
      <c r="D621" s="41" t="n">
        <v>0.3756558642592592</v>
      </c>
      <c r="E621" s="39">
        <f>(C621-D621)*1440</f>
        <v/>
      </c>
    </row>
    <row r="622">
      <c r="A622" t="n">
        <v>619</v>
      </c>
      <c r="B622" s="40" t="n">
        <v>46092</v>
      </c>
      <c r="C622" s="41" t="n">
        <v>0.3766538163888889</v>
      </c>
      <c r="D622" s="41" t="n">
        <v>0.3757363945717592</v>
      </c>
      <c r="E622" s="39">
        <f>(C622-D622)*1440</f>
        <v/>
      </c>
    </row>
    <row r="623">
      <c r="A623" t="n">
        <v>620</v>
      </c>
      <c r="B623" s="40" t="n">
        <v>46092</v>
      </c>
      <c r="C623" s="41" t="n">
        <v>0.3768844986805556</v>
      </c>
      <c r="D623" s="41" t="n">
        <v>0.3766538163888889</v>
      </c>
      <c r="E623" s="39">
        <f>(C623-D623)*1440</f>
        <v/>
      </c>
    </row>
    <row r="624">
      <c r="A624" t="n">
        <v>621</v>
      </c>
      <c r="B624" s="40" t="n">
        <v>46092</v>
      </c>
      <c r="C624" s="41" t="n">
        <v>0.3770916786226852</v>
      </c>
      <c r="D624" s="41" t="n">
        <v>0.3768844986805556</v>
      </c>
      <c r="E624" s="39">
        <f>(C624-D624)*1440</f>
        <v/>
      </c>
    </row>
    <row r="625">
      <c r="A625" t="n">
        <v>622</v>
      </c>
      <c r="B625" s="40" t="n">
        <v>46092</v>
      </c>
      <c r="C625" s="41" t="n">
        <v>0.3779096997453704</v>
      </c>
      <c r="D625" s="41" t="n">
        <v>0.3770916786226852</v>
      </c>
      <c r="E625" s="39">
        <f>(C625-D625)*1440</f>
        <v/>
      </c>
    </row>
    <row r="626">
      <c r="A626" t="n">
        <v>623</v>
      </c>
      <c r="B626" s="40" t="n">
        <v>46092</v>
      </c>
      <c r="C626" s="41" t="n">
        <v>0.3779401328356481</v>
      </c>
      <c r="D626" s="41" t="n">
        <v>0.3779096997453704</v>
      </c>
      <c r="E626" s="39">
        <f>(C626-D626)*1440</f>
        <v/>
      </c>
    </row>
    <row r="627">
      <c r="A627" t="n">
        <v>624</v>
      </c>
      <c r="B627" s="40" t="n">
        <v>46092</v>
      </c>
      <c r="C627" s="41" t="n">
        <v>0.3780887096180556</v>
      </c>
      <c r="D627" s="41" t="n">
        <v>0.3779401328356481</v>
      </c>
      <c r="E627" s="39">
        <f>(C627-D627)*1440</f>
        <v/>
      </c>
    </row>
    <row r="628">
      <c r="A628" t="n">
        <v>625</v>
      </c>
      <c r="B628" s="40" t="n">
        <v>46092</v>
      </c>
      <c r="C628" s="41" t="n">
        <v>0.3785037037152778</v>
      </c>
      <c r="D628" s="41" t="n">
        <v>0.3780887096180556</v>
      </c>
      <c r="E628" s="39">
        <f>(C628-D628)*1440</f>
        <v/>
      </c>
    </row>
    <row r="629">
      <c r="A629" t="n">
        <v>626</v>
      </c>
      <c r="B629" s="40" t="n">
        <v>46092</v>
      </c>
      <c r="C629" s="41" t="n">
        <v>0.3788477032638889</v>
      </c>
      <c r="D629" s="41" t="n">
        <v>0.3785037037152778</v>
      </c>
      <c r="E629" s="39">
        <f>(C629-D629)*1440</f>
        <v/>
      </c>
    </row>
    <row r="630">
      <c r="A630" t="n">
        <v>627</v>
      </c>
      <c r="B630" s="40" t="n">
        <v>46092</v>
      </c>
      <c r="C630" s="41" t="n">
        <v>0.3791214157060185</v>
      </c>
      <c r="D630" s="41" t="n">
        <v>0.3788477032638889</v>
      </c>
      <c r="E630" s="39">
        <f>(C630-D630)*1440</f>
        <v/>
      </c>
    </row>
    <row r="631">
      <c r="A631" t="n">
        <v>628</v>
      </c>
      <c r="B631" s="40" t="n">
        <v>46092</v>
      </c>
      <c r="C631" s="41" t="n">
        <v>0.379948395787037</v>
      </c>
      <c r="D631" s="41" t="n">
        <v>0.3791214157060185</v>
      </c>
      <c r="E631" s="39">
        <f>(C631-D631)*1440</f>
        <v/>
      </c>
    </row>
    <row r="632">
      <c r="A632" t="n">
        <v>629</v>
      </c>
      <c r="B632" s="40" t="n">
        <v>46092</v>
      </c>
      <c r="C632" s="41" t="n">
        <v>0.3809956112037037</v>
      </c>
      <c r="D632" s="41" t="n">
        <v>0.379948395787037</v>
      </c>
      <c r="E632" s="39">
        <f>(C632-D632)*1440</f>
        <v/>
      </c>
    </row>
    <row r="633">
      <c r="A633" t="n">
        <v>630</v>
      </c>
      <c r="B633" s="40" t="n">
        <v>46092</v>
      </c>
      <c r="C633" s="41" t="n">
        <v>0.3813942470486111</v>
      </c>
      <c r="D633" s="41" t="n">
        <v>0.3809956112037037</v>
      </c>
      <c r="E633" s="39">
        <f>(C633-D633)*1440</f>
        <v/>
      </c>
    </row>
    <row r="634">
      <c r="A634" t="n">
        <v>631</v>
      </c>
      <c r="B634" s="40" t="n">
        <v>46092</v>
      </c>
      <c r="C634" s="41" t="n">
        <v>0.3816687126851852</v>
      </c>
      <c r="D634" s="41" t="n">
        <v>0.3813942470486111</v>
      </c>
      <c r="E634" s="39">
        <f>(C634-D634)*1440</f>
        <v/>
      </c>
    </row>
    <row r="635">
      <c r="A635" t="n">
        <v>632</v>
      </c>
      <c r="B635" s="40" t="n">
        <v>46092</v>
      </c>
      <c r="C635" s="41" t="n">
        <v>0.3825300986226852</v>
      </c>
      <c r="D635" s="41" t="n">
        <v>0.3816687126851852</v>
      </c>
      <c r="E635" s="39">
        <f>(C635-D635)*1440</f>
        <v/>
      </c>
    </row>
    <row r="636">
      <c r="A636" t="n">
        <v>633</v>
      </c>
      <c r="B636" s="40" t="n">
        <v>46092</v>
      </c>
      <c r="C636" s="41" t="n">
        <v>0.3826426437962963</v>
      </c>
      <c r="D636" s="41" t="n">
        <v>0.3825300986226852</v>
      </c>
      <c r="E636" s="39">
        <f>(C636-D636)*1440</f>
        <v/>
      </c>
    </row>
    <row r="637">
      <c r="A637" t="n">
        <v>634</v>
      </c>
      <c r="B637" s="40" t="n">
        <v>46092</v>
      </c>
      <c r="C637" s="41" t="n">
        <v>0.3827542062384259</v>
      </c>
      <c r="D637" s="41" t="n">
        <v>0.3826426437962963</v>
      </c>
      <c r="E637" s="39">
        <f>(C637-D637)*1440</f>
        <v/>
      </c>
    </row>
    <row r="638">
      <c r="A638" t="n">
        <v>635</v>
      </c>
      <c r="B638" s="40" t="n">
        <v>46092</v>
      </c>
      <c r="C638" s="41" t="n">
        <v>0.3839654115162037</v>
      </c>
      <c r="D638" s="41" t="n">
        <v>0.3827542062384259</v>
      </c>
      <c r="E638" s="39">
        <f>(C638-D638)*1440</f>
        <v/>
      </c>
    </row>
    <row r="639">
      <c r="A639" t="n">
        <v>636</v>
      </c>
      <c r="B639" s="40" t="n">
        <v>46092</v>
      </c>
      <c r="C639" s="41" t="n">
        <v>0.3846238601851852</v>
      </c>
      <c r="D639" s="41" t="n">
        <v>0.3839654115162037</v>
      </c>
      <c r="E639" s="39">
        <f>(C639-D639)*1440</f>
        <v/>
      </c>
    </row>
    <row r="640">
      <c r="A640" t="n">
        <v>637</v>
      </c>
      <c r="B640" s="40" t="n">
        <v>46092</v>
      </c>
      <c r="C640" s="41" t="n">
        <v>0.3852619989004629</v>
      </c>
      <c r="D640" s="41" t="n">
        <v>0.3846238601851852</v>
      </c>
      <c r="E640" s="39">
        <f>(C640-D640)*1440</f>
        <v/>
      </c>
    </row>
    <row r="641">
      <c r="A641" t="n">
        <v>638</v>
      </c>
      <c r="B641" s="40" t="n">
        <v>46092</v>
      </c>
      <c r="C641" s="41" t="n">
        <v>0.3856314047222222</v>
      </c>
      <c r="D641" s="41" t="n">
        <v>0.3852619989004629</v>
      </c>
      <c r="E641" s="39">
        <f>(C641-D641)*1440</f>
        <v/>
      </c>
    </row>
    <row r="642">
      <c r="A642" t="n">
        <v>639</v>
      </c>
      <c r="B642" s="40" t="n">
        <v>46092</v>
      </c>
      <c r="C642" s="41" t="n">
        <v>0.3862127318402778</v>
      </c>
      <c r="D642" s="41" t="n">
        <v>0.3856314047222222</v>
      </c>
      <c r="E642" s="39">
        <f>(C642-D642)*1440</f>
        <v/>
      </c>
    </row>
    <row r="643">
      <c r="A643" t="n">
        <v>640</v>
      </c>
      <c r="B643" s="40" t="n">
        <v>46092</v>
      </c>
      <c r="C643" s="41" t="n">
        <v>0.3869411836805555</v>
      </c>
      <c r="D643" s="41" t="n">
        <v>0.3862127318402778</v>
      </c>
      <c r="E643" s="39">
        <f>(C643-D643)*1440</f>
        <v/>
      </c>
    </row>
    <row r="644">
      <c r="A644" t="n">
        <v>641</v>
      </c>
      <c r="B644" s="40" t="n">
        <v>46092</v>
      </c>
      <c r="C644" s="41" t="n">
        <v>0.3876703689930555</v>
      </c>
      <c r="D644" s="41" t="n">
        <v>0.3869411836805555</v>
      </c>
      <c r="E644" s="39">
        <f>(C644-D644)*1440</f>
        <v/>
      </c>
    </row>
    <row r="645">
      <c r="A645" t="n">
        <v>642</v>
      </c>
      <c r="B645" s="40" t="n">
        <v>46092</v>
      </c>
      <c r="C645" s="41" t="n">
        <v>0.3877147482060185</v>
      </c>
      <c r="D645" s="41" t="n">
        <v>0.3876703689930555</v>
      </c>
      <c r="E645" s="39">
        <f>(C645-D645)*1440</f>
        <v/>
      </c>
    </row>
    <row r="646">
      <c r="A646" t="n">
        <v>643</v>
      </c>
      <c r="B646" s="40" t="n">
        <v>46092</v>
      </c>
      <c r="C646" s="41" t="n">
        <v>0.3880534696990741</v>
      </c>
      <c r="D646" s="41" t="n">
        <v>0.3877147482060185</v>
      </c>
      <c r="E646" s="39">
        <f>(C646-D646)*1440</f>
        <v/>
      </c>
    </row>
    <row r="647">
      <c r="A647" t="n">
        <v>644</v>
      </c>
      <c r="B647" s="40" t="n">
        <v>46092</v>
      </c>
      <c r="C647" s="41" t="n">
        <v>0.3898090191782408</v>
      </c>
      <c r="D647" s="41" t="n">
        <v>0.3880534696990741</v>
      </c>
      <c r="E647" s="39">
        <f>(C647-D647)*1440</f>
        <v/>
      </c>
    </row>
    <row r="648">
      <c r="A648" t="n">
        <v>645</v>
      </c>
      <c r="B648" s="40" t="n">
        <v>46092</v>
      </c>
      <c r="C648" s="41" t="n">
        <v>0.3901359311226852</v>
      </c>
      <c r="D648" s="41" t="n">
        <v>0.3898090191782408</v>
      </c>
      <c r="E648" s="39">
        <f>(C648-D648)*1440</f>
        <v/>
      </c>
    </row>
    <row r="649">
      <c r="A649" t="n">
        <v>646</v>
      </c>
      <c r="B649" s="40" t="n">
        <v>46092</v>
      </c>
      <c r="C649" s="41" t="n">
        <v>0.3902941630902778</v>
      </c>
      <c r="D649" s="41" t="n">
        <v>0.3901359311226852</v>
      </c>
      <c r="E649" s="39">
        <f>(C649-D649)*1440</f>
        <v/>
      </c>
    </row>
    <row r="650">
      <c r="A650" t="n">
        <v>647</v>
      </c>
      <c r="B650" s="40" t="n">
        <v>46092</v>
      </c>
      <c r="C650" s="41" t="n">
        <v>0.3911334486689815</v>
      </c>
      <c r="D650" s="41" t="n">
        <v>0.3902941630902778</v>
      </c>
      <c r="E650" s="39">
        <f>(C650-D650)*1440</f>
        <v/>
      </c>
    </row>
    <row r="651">
      <c r="A651" t="n">
        <v>648</v>
      </c>
      <c r="B651" s="40" t="n">
        <v>46092</v>
      </c>
      <c r="C651" s="41" t="n">
        <v>0.3924019967129629</v>
      </c>
      <c r="D651" s="41" t="n">
        <v>0.3911334486689815</v>
      </c>
      <c r="E651" s="39">
        <f>(C651-D651)*1440</f>
        <v/>
      </c>
    </row>
    <row r="652">
      <c r="A652" t="n">
        <v>649</v>
      </c>
      <c r="B652" s="40" t="n">
        <v>46092</v>
      </c>
      <c r="C652" s="41" t="n">
        <v>0.3927047373958333</v>
      </c>
      <c r="D652" s="41" t="n">
        <v>0.3924019967129629</v>
      </c>
      <c r="E652" s="39">
        <f>(C652-D652)*1440</f>
        <v/>
      </c>
    </row>
    <row r="653">
      <c r="A653" t="n">
        <v>650</v>
      </c>
      <c r="B653" s="40" t="n">
        <v>46092</v>
      </c>
      <c r="C653" s="41" t="n">
        <v>0.3929691661689815</v>
      </c>
      <c r="D653" s="41" t="n">
        <v>0.3927047373958333</v>
      </c>
      <c r="E653" s="39">
        <f>(C653-D653)*1440</f>
        <v/>
      </c>
    </row>
    <row r="654">
      <c r="A654" t="n">
        <v>651</v>
      </c>
      <c r="B654" s="40" t="n">
        <v>46092</v>
      </c>
      <c r="C654" s="41" t="n">
        <v>0.3929873584953703</v>
      </c>
      <c r="D654" s="41" t="n">
        <v>0.3929691661689815</v>
      </c>
      <c r="E654" s="39">
        <f>(C654-D654)*1440</f>
        <v/>
      </c>
    </row>
    <row r="655">
      <c r="A655" t="n">
        <v>652</v>
      </c>
      <c r="B655" s="40" t="n">
        <v>46092</v>
      </c>
      <c r="C655" s="41" t="n">
        <v>0.3931558445486111</v>
      </c>
      <c r="D655" s="41" t="n">
        <v>0.3929873584953703</v>
      </c>
      <c r="E655" s="39">
        <f>(C655-D655)*1440</f>
        <v/>
      </c>
    </row>
    <row r="656">
      <c r="A656" t="n">
        <v>653</v>
      </c>
      <c r="B656" s="40" t="n">
        <v>46092</v>
      </c>
      <c r="C656" s="41" t="n">
        <v>0.3932349732291667</v>
      </c>
      <c r="D656" s="41" t="n">
        <v>0.3931558445486111</v>
      </c>
      <c r="E656" s="39">
        <f>(C656-D656)*1440</f>
        <v/>
      </c>
    </row>
    <row r="657">
      <c r="A657" t="n">
        <v>654</v>
      </c>
      <c r="B657" s="40" t="n">
        <v>46092</v>
      </c>
      <c r="C657" s="41" t="n">
        <v>0.3937422018055556</v>
      </c>
      <c r="D657" s="41" t="n">
        <v>0.3932349732291667</v>
      </c>
      <c r="E657" s="39">
        <f>(C657-D657)*1440</f>
        <v/>
      </c>
    </row>
    <row r="658">
      <c r="A658" t="n">
        <v>655</v>
      </c>
      <c r="B658" s="40" t="n">
        <v>46092</v>
      </c>
      <c r="C658" s="41" t="n">
        <v>0.3940326891666667</v>
      </c>
      <c r="D658" s="41" t="n">
        <v>0.3937422018055556</v>
      </c>
      <c r="E658" s="39">
        <f>(C658-D658)*1440</f>
        <v/>
      </c>
    </row>
    <row r="659">
      <c r="A659" t="n">
        <v>656</v>
      </c>
      <c r="B659" s="40" t="n">
        <v>46092</v>
      </c>
      <c r="C659" s="41" t="n">
        <v>0.3953797630787037</v>
      </c>
      <c r="D659" s="41" t="n">
        <v>0.3940326891666667</v>
      </c>
      <c r="E659" s="39">
        <f>(C659-D659)*1440</f>
        <v/>
      </c>
    </row>
    <row r="660">
      <c r="A660" t="n">
        <v>657</v>
      </c>
      <c r="B660" s="40" t="n">
        <v>46092</v>
      </c>
      <c r="C660" s="41" t="n">
        <v>0.3954742694328704</v>
      </c>
      <c r="D660" s="41" t="n">
        <v>0.3953797630787037</v>
      </c>
      <c r="E660" s="39">
        <f>(C660-D660)*1440</f>
        <v/>
      </c>
    </row>
    <row r="661">
      <c r="A661" t="n">
        <v>658</v>
      </c>
      <c r="B661" s="40" t="n">
        <v>46092</v>
      </c>
      <c r="C661" s="41" t="n">
        <v>0.3957400326851852</v>
      </c>
      <c r="D661" s="41" t="n">
        <v>0.3954742694328704</v>
      </c>
      <c r="E661" s="39">
        <f>(C661-D661)*1440</f>
        <v/>
      </c>
    </row>
    <row r="662">
      <c r="A662" t="n">
        <v>659</v>
      </c>
      <c r="B662" s="40" t="n">
        <v>46092</v>
      </c>
      <c r="C662" s="41" t="n">
        <v>0.3967378360300926</v>
      </c>
      <c r="D662" s="41" t="n">
        <v>0.3957400326851852</v>
      </c>
      <c r="E662" s="39">
        <f>(C662-D662)*1440</f>
        <v/>
      </c>
    </row>
    <row r="663">
      <c r="A663" t="n">
        <v>660</v>
      </c>
      <c r="B663" s="40" t="n">
        <v>46092</v>
      </c>
      <c r="C663" s="41" t="n">
        <v>0.3968014018055556</v>
      </c>
      <c r="D663" s="41" t="n">
        <v>0.3967378360300926</v>
      </c>
      <c r="E663" s="39">
        <f>(C663-D663)*1440</f>
        <v/>
      </c>
    </row>
    <row r="664">
      <c r="A664" t="n">
        <v>661</v>
      </c>
      <c r="B664" s="40" t="n">
        <v>46092</v>
      </c>
      <c r="C664" s="41" t="n">
        <v>0.3976637177777778</v>
      </c>
      <c r="D664" s="41" t="n">
        <v>0.3968014018055556</v>
      </c>
      <c r="E664" s="39">
        <f>(C664-D664)*1440</f>
        <v/>
      </c>
    </row>
    <row r="665">
      <c r="A665" t="n">
        <v>662</v>
      </c>
      <c r="B665" s="40" t="n">
        <v>46092</v>
      </c>
      <c r="C665" s="41" t="n">
        <v>0.3980902427893519</v>
      </c>
      <c r="D665" s="41" t="n">
        <v>0.3976637177777778</v>
      </c>
      <c r="E665" s="39">
        <f>(C665-D665)*1440</f>
        <v/>
      </c>
    </row>
    <row r="666">
      <c r="A666" t="n">
        <v>663</v>
      </c>
      <c r="B666" s="40" t="n">
        <v>46092</v>
      </c>
      <c r="C666" s="41" t="n">
        <v>0.3981068712731481</v>
      </c>
      <c r="D666" s="41" t="n">
        <v>0.3980902427893519</v>
      </c>
      <c r="E666" s="39">
        <f>(C666-D666)*1440</f>
        <v/>
      </c>
    </row>
    <row r="667">
      <c r="A667" t="n">
        <v>664</v>
      </c>
      <c r="B667" s="40" t="n">
        <v>46092</v>
      </c>
      <c r="C667" s="41" t="n">
        <v>0.3998086270254629</v>
      </c>
      <c r="D667" s="41" t="n">
        <v>0.3981068712731481</v>
      </c>
      <c r="E667" s="39">
        <f>(C667-D667)*1440</f>
        <v/>
      </c>
    </row>
    <row r="668">
      <c r="A668" t="n">
        <v>665</v>
      </c>
      <c r="B668" s="40" t="n">
        <v>46092</v>
      </c>
      <c r="C668" s="41" t="n">
        <v>0.4000814223726851</v>
      </c>
      <c r="D668" s="41" t="n">
        <v>0.3998086270254629</v>
      </c>
      <c r="E668" s="39">
        <f>(C668-D668)*1440</f>
        <v/>
      </c>
    </row>
    <row r="669">
      <c r="A669" t="n">
        <v>666</v>
      </c>
      <c r="B669" s="40" t="n">
        <v>46092</v>
      </c>
      <c r="C669" s="41" t="n">
        <v>0.4003944965393518</v>
      </c>
      <c r="D669" s="41" t="n">
        <v>0.4000814223726851</v>
      </c>
      <c r="E669" s="39">
        <f>(C669-D669)*1440</f>
        <v/>
      </c>
    </row>
    <row r="670">
      <c r="A670" t="n">
        <v>667</v>
      </c>
      <c r="B670" s="40" t="n">
        <v>46092</v>
      </c>
      <c r="C670" s="41" t="n">
        <v>0.4008691041782408</v>
      </c>
      <c r="D670" s="41" t="n">
        <v>0.4003944965393518</v>
      </c>
      <c r="E670" s="39">
        <f>(C670-D670)*1440</f>
        <v/>
      </c>
    </row>
    <row r="671">
      <c r="A671" t="n">
        <v>668</v>
      </c>
      <c r="B671" s="40" t="n">
        <v>46092</v>
      </c>
      <c r="C671" s="41" t="n">
        <v>0.4012059561805555</v>
      </c>
      <c r="D671" s="41" t="n">
        <v>0.4008691041782408</v>
      </c>
      <c r="E671" s="39">
        <f>(C671-D671)*1440</f>
        <v/>
      </c>
    </row>
    <row r="672">
      <c r="A672" t="n">
        <v>669</v>
      </c>
      <c r="B672" s="40" t="n">
        <v>46092</v>
      </c>
      <c r="C672" s="41" t="n">
        <v>0.4027842007407408</v>
      </c>
      <c r="D672" s="41" t="n">
        <v>0.4012059561805555</v>
      </c>
      <c r="E672" s="39">
        <f>(C672-D672)*1440</f>
        <v/>
      </c>
    </row>
    <row r="673">
      <c r="A673" t="n">
        <v>670</v>
      </c>
      <c r="B673" s="40" t="n">
        <v>46092</v>
      </c>
      <c r="C673" s="41" t="n">
        <v>0.4035000057523148</v>
      </c>
      <c r="D673" s="41" t="n">
        <v>0.4027842007407408</v>
      </c>
      <c r="E673" s="39">
        <f>(C673-D673)*1440</f>
        <v/>
      </c>
    </row>
    <row r="674">
      <c r="A674" t="n">
        <v>671</v>
      </c>
      <c r="B674" s="40" t="n">
        <v>46092</v>
      </c>
      <c r="C674" s="41" t="n">
        <v>0.4043949463657407</v>
      </c>
      <c r="D674" s="41" t="n">
        <v>0.4035000057523148</v>
      </c>
      <c r="E674" s="39">
        <f>(C674-D674)*1440</f>
        <v/>
      </c>
    </row>
    <row r="675">
      <c r="A675" t="n">
        <v>672</v>
      </c>
      <c r="B675" s="40" t="n">
        <v>46092</v>
      </c>
      <c r="C675" s="41" t="n">
        <v>0.4047682320949074</v>
      </c>
      <c r="D675" s="41" t="n">
        <v>0.4043949463657407</v>
      </c>
      <c r="E675" s="39">
        <f>(C675-D675)*1440</f>
        <v/>
      </c>
    </row>
    <row r="676">
      <c r="A676" t="n">
        <v>673</v>
      </c>
      <c r="B676" s="40" t="n">
        <v>46092</v>
      </c>
      <c r="C676" s="41" t="n">
        <v>0.4058079833333333</v>
      </c>
      <c r="D676" s="41" t="n">
        <v>0.4047682320949074</v>
      </c>
      <c r="E676" s="39">
        <f>(C676-D676)*1440</f>
        <v/>
      </c>
    </row>
    <row r="677">
      <c r="A677" t="n">
        <v>674</v>
      </c>
      <c r="B677" s="40" t="n">
        <v>46092</v>
      </c>
      <c r="C677" s="41" t="n">
        <v>0.4072655635069444</v>
      </c>
      <c r="D677" s="41" t="n">
        <v>0.4058079833333333</v>
      </c>
      <c r="E677" s="39">
        <f>(C677-D677)*1440</f>
        <v/>
      </c>
    </row>
    <row r="678">
      <c r="A678" t="n">
        <v>675</v>
      </c>
      <c r="B678" s="40" t="n">
        <v>46092</v>
      </c>
      <c r="C678" s="41" t="n">
        <v>0.4091868986458334</v>
      </c>
      <c r="D678" s="41" t="n">
        <v>0.4072655635069444</v>
      </c>
      <c r="E678" s="39">
        <f>(C678-D678)*1440</f>
        <v/>
      </c>
    </row>
    <row r="679">
      <c r="A679" t="n">
        <v>676</v>
      </c>
      <c r="B679" s="40" t="n">
        <v>46092</v>
      </c>
      <c r="C679" s="41" t="n">
        <v>0.4093821126967593</v>
      </c>
      <c r="D679" s="41" t="n">
        <v>0.4091868986458334</v>
      </c>
      <c r="E679" s="39">
        <f>(C679-D679)*1440</f>
        <v/>
      </c>
    </row>
    <row r="680">
      <c r="A680" t="n">
        <v>677</v>
      </c>
      <c r="B680" s="40" t="n">
        <v>46092</v>
      </c>
      <c r="C680" s="41" t="n">
        <v>0.4099491892708333</v>
      </c>
      <c r="D680" s="41" t="n">
        <v>0.4093821126967593</v>
      </c>
      <c r="E680" s="39">
        <f>(C680-D680)*1440</f>
        <v/>
      </c>
    </row>
    <row r="681">
      <c r="A681" t="n">
        <v>678</v>
      </c>
      <c r="B681" s="40" t="n">
        <v>46092</v>
      </c>
      <c r="C681" s="41" t="n">
        <v>0.4101743605324074</v>
      </c>
      <c r="D681" s="41" t="n">
        <v>0.4099491892708333</v>
      </c>
      <c r="E681" s="39">
        <f>(C681-D681)*1440</f>
        <v/>
      </c>
    </row>
    <row r="682">
      <c r="A682" t="n">
        <v>679</v>
      </c>
      <c r="B682" s="40" t="n">
        <v>46092</v>
      </c>
      <c r="C682" s="41" t="n">
        <v>0.4103367404861111</v>
      </c>
      <c r="D682" s="41" t="n">
        <v>0.4101743605324074</v>
      </c>
      <c r="E682" s="39">
        <f>(C682-D682)*1440</f>
        <v/>
      </c>
    </row>
    <row r="683">
      <c r="A683" t="n">
        <v>680</v>
      </c>
      <c r="B683" s="40" t="n">
        <v>46092</v>
      </c>
      <c r="C683" s="41" t="n">
        <v>0.4108006161574074</v>
      </c>
      <c r="D683" s="41" t="n">
        <v>0.4103367404861111</v>
      </c>
      <c r="E683" s="39">
        <f>(C683-D683)*1440</f>
        <v/>
      </c>
    </row>
    <row r="684">
      <c r="A684" t="n">
        <v>681</v>
      </c>
      <c r="B684" s="40" t="n">
        <v>46092</v>
      </c>
      <c r="C684" s="41" t="n">
        <v>0.4128554411458333</v>
      </c>
      <c r="D684" s="41" t="n">
        <v>0.4108006161574074</v>
      </c>
      <c r="E684" s="39">
        <f>(C684-D684)*1440</f>
        <v/>
      </c>
    </row>
    <row r="685">
      <c r="A685" t="n">
        <v>682</v>
      </c>
      <c r="B685" s="40" t="n">
        <v>46092</v>
      </c>
      <c r="C685" s="41" t="n">
        <v>0.4143583841666666</v>
      </c>
      <c r="D685" s="41" t="n">
        <v>0.4128554411458333</v>
      </c>
      <c r="E685" s="39">
        <f>(C685-D685)*1440</f>
        <v/>
      </c>
    </row>
    <row r="686">
      <c r="A686" t="n">
        <v>683</v>
      </c>
      <c r="B686" s="40" t="n">
        <v>46092</v>
      </c>
      <c r="C686" s="41" t="n">
        <v>0.4143707230671296</v>
      </c>
      <c r="D686" s="41" t="n">
        <v>0.4143583841666666</v>
      </c>
      <c r="E686" s="39">
        <f>(C686-D686)*1440</f>
        <v/>
      </c>
    </row>
    <row r="687">
      <c r="A687" t="n">
        <v>684</v>
      </c>
      <c r="B687" s="40" t="n">
        <v>46092</v>
      </c>
      <c r="C687" s="41" t="n">
        <v>0.414464558113426</v>
      </c>
      <c r="D687" s="41" t="n">
        <v>0.4143707230671296</v>
      </c>
      <c r="E687" s="39">
        <f>(C687-D687)*1440</f>
        <v/>
      </c>
    </row>
    <row r="688">
      <c r="A688" t="n">
        <v>685</v>
      </c>
      <c r="B688" s="40" t="n">
        <v>46092</v>
      </c>
      <c r="C688" s="41" t="n">
        <v>0.4145000669907407</v>
      </c>
      <c r="D688" s="41" t="n">
        <v>0.414464558113426</v>
      </c>
      <c r="E688" s="39">
        <f>(C688-D688)*1440</f>
        <v/>
      </c>
    </row>
    <row r="689">
      <c r="A689" t="n">
        <v>686</v>
      </c>
      <c r="B689" s="40" t="n">
        <v>46092</v>
      </c>
      <c r="C689" s="41" t="n">
        <v>0.414542584537037</v>
      </c>
      <c r="D689" s="41" t="n">
        <v>0.4145000669907407</v>
      </c>
      <c r="E689" s="39">
        <f>(C689-D689)*1440</f>
        <v/>
      </c>
    </row>
    <row r="690">
      <c r="A690" t="n">
        <v>687</v>
      </c>
      <c r="B690" s="40" t="n">
        <v>46092</v>
      </c>
      <c r="C690" s="41" t="n">
        <v>0.4146919624305556</v>
      </c>
      <c r="D690" s="41" t="n">
        <v>0.414542584537037</v>
      </c>
      <c r="E690" s="39">
        <f>(C690-D690)*1440</f>
        <v/>
      </c>
    </row>
    <row r="691">
      <c r="A691" t="n">
        <v>688</v>
      </c>
      <c r="B691" s="40" t="n">
        <v>46092</v>
      </c>
      <c r="C691" s="41" t="n">
        <v>0.4147697555439815</v>
      </c>
      <c r="D691" s="41" t="n">
        <v>0.4146919624305556</v>
      </c>
      <c r="E691" s="39">
        <f>(C691-D691)*1440</f>
        <v/>
      </c>
    </row>
    <row r="692">
      <c r="A692" t="n">
        <v>689</v>
      </c>
      <c r="B692" s="40" t="n">
        <v>46092</v>
      </c>
      <c r="C692" s="41" t="n">
        <v>0.4152284544097222</v>
      </c>
      <c r="D692" s="41" t="n">
        <v>0.4147697555439815</v>
      </c>
      <c r="E692" s="39">
        <f>(C692-D692)*1440</f>
        <v/>
      </c>
    </row>
    <row r="693">
      <c r="A693" t="n">
        <v>690</v>
      </c>
      <c r="B693" s="40" t="n">
        <v>46092</v>
      </c>
      <c r="C693" s="41" t="n">
        <v>0.4152508517361111</v>
      </c>
      <c r="D693" s="41" t="n">
        <v>0.4152284544097222</v>
      </c>
      <c r="E693" s="39">
        <f>(C693-D693)*1440</f>
        <v/>
      </c>
    </row>
    <row r="694">
      <c r="A694" t="n">
        <v>691</v>
      </c>
      <c r="B694" s="40" t="n">
        <v>46092</v>
      </c>
      <c r="C694" s="41" t="n">
        <v>0.4152584181134259</v>
      </c>
      <c r="D694" s="41" t="n">
        <v>0.4152508517361111</v>
      </c>
      <c r="E694" s="39">
        <f>(C694-D694)*1440</f>
        <v/>
      </c>
    </row>
    <row r="695">
      <c r="A695" t="n">
        <v>692</v>
      </c>
      <c r="B695" s="40" t="n">
        <v>46092</v>
      </c>
      <c r="C695" s="41" t="n">
        <v>0.4153467254282407</v>
      </c>
      <c r="D695" s="41" t="n">
        <v>0.4152584181134259</v>
      </c>
      <c r="E695" s="39">
        <f>(C695-D695)*1440</f>
        <v/>
      </c>
    </row>
    <row r="696">
      <c r="A696" t="n">
        <v>693</v>
      </c>
      <c r="B696" s="40" t="n">
        <v>46092</v>
      </c>
      <c r="C696" s="41" t="n">
        <v>0.4160098620138888</v>
      </c>
      <c r="D696" s="41" t="n">
        <v>0.4153467254282407</v>
      </c>
      <c r="E696" s="39">
        <f>(C696-D696)*1440</f>
        <v/>
      </c>
    </row>
    <row r="697">
      <c r="A697" t="n">
        <v>694</v>
      </c>
      <c r="B697" s="40" t="n">
        <v>46092</v>
      </c>
      <c r="C697" s="41" t="n">
        <v>0.4161268691550926</v>
      </c>
      <c r="D697" s="41" t="n">
        <v>0.4160098620138888</v>
      </c>
      <c r="E697" s="39">
        <f>(C697-D697)*1440</f>
        <v/>
      </c>
    </row>
    <row r="698">
      <c r="A698" t="n">
        <v>695</v>
      </c>
      <c r="B698" s="40" t="n">
        <v>46092</v>
      </c>
      <c r="C698" s="41" t="n">
        <v>0.4164750912847223</v>
      </c>
      <c r="D698" s="41" t="n">
        <v>0.4161268691550926</v>
      </c>
      <c r="E698" s="39">
        <f>(C698-D698)*1440</f>
        <v/>
      </c>
    </row>
    <row r="699">
      <c r="A699" t="n">
        <v>696</v>
      </c>
      <c r="B699" s="40" t="n">
        <v>46093</v>
      </c>
      <c r="C699" s="41" t="n">
        <v>0.3756638795486111</v>
      </c>
      <c r="D699" s="41" t="n">
        <v>0.3753894566435185</v>
      </c>
      <c r="E699" s="39">
        <f>(C699-D699)*1440</f>
        <v/>
      </c>
    </row>
    <row r="700">
      <c r="A700" t="n">
        <v>697</v>
      </c>
      <c r="B700" s="40" t="n">
        <v>46093</v>
      </c>
      <c r="C700" s="41" t="n">
        <v>0.3758589416087963</v>
      </c>
      <c r="D700" s="41" t="n">
        <v>0.3756638795486111</v>
      </c>
      <c r="E700" s="39">
        <f>(C700-D700)*1440</f>
        <v/>
      </c>
    </row>
    <row r="701">
      <c r="A701" t="n">
        <v>698</v>
      </c>
      <c r="B701" s="40" t="n">
        <v>46093</v>
      </c>
      <c r="C701" s="41" t="n">
        <v>0.376345198912037</v>
      </c>
      <c r="D701" s="41" t="n">
        <v>0.3758589416087963</v>
      </c>
      <c r="E701" s="39">
        <f>(C701-D701)*1440</f>
        <v/>
      </c>
    </row>
    <row r="702">
      <c r="A702" t="n">
        <v>699</v>
      </c>
      <c r="B702" s="40" t="n">
        <v>46093</v>
      </c>
      <c r="C702" s="41" t="n">
        <v>0.376467506712963</v>
      </c>
      <c r="D702" s="41" t="n">
        <v>0.376345198912037</v>
      </c>
      <c r="E702" s="39">
        <f>(C702-D702)*1440</f>
        <v/>
      </c>
    </row>
    <row r="703">
      <c r="A703" t="n">
        <v>700</v>
      </c>
      <c r="B703" s="40" t="n">
        <v>46093</v>
      </c>
      <c r="C703" s="41" t="n">
        <v>0.3767696620949074</v>
      </c>
      <c r="D703" s="41" t="n">
        <v>0.376467506712963</v>
      </c>
      <c r="E703" s="39">
        <f>(C703-D703)*1440</f>
        <v/>
      </c>
    </row>
    <row r="704">
      <c r="A704" t="n">
        <v>701</v>
      </c>
      <c r="B704" s="40" t="n">
        <v>46093</v>
      </c>
      <c r="C704" s="41" t="n">
        <v>0.3769235518287037</v>
      </c>
      <c r="D704" s="41" t="n">
        <v>0.3767696620949074</v>
      </c>
      <c r="E704" s="39">
        <f>(C704-D704)*1440</f>
        <v/>
      </c>
    </row>
    <row r="705">
      <c r="A705" t="n">
        <v>702</v>
      </c>
      <c r="B705" s="40" t="n">
        <v>46093</v>
      </c>
      <c r="C705" s="41" t="n">
        <v>0.3770112996412037</v>
      </c>
      <c r="D705" s="41" t="n">
        <v>0.3769235518287037</v>
      </c>
      <c r="E705" s="39">
        <f>(C705-D705)*1440</f>
        <v/>
      </c>
    </row>
    <row r="706">
      <c r="A706" t="n">
        <v>703</v>
      </c>
      <c r="B706" s="40" t="n">
        <v>46093</v>
      </c>
      <c r="C706" s="41" t="n">
        <v>0.3771650949074074</v>
      </c>
      <c r="D706" s="41" t="n">
        <v>0.3770112996412037</v>
      </c>
      <c r="E706" s="39">
        <f>(C706-D706)*1440</f>
        <v/>
      </c>
    </row>
    <row r="707">
      <c r="A707" t="n">
        <v>704</v>
      </c>
      <c r="B707" s="40" t="n">
        <v>46093</v>
      </c>
      <c r="C707" s="41" t="n">
        <v>0.3781646566666667</v>
      </c>
      <c r="D707" s="41" t="n">
        <v>0.3771650949074074</v>
      </c>
      <c r="E707" s="39">
        <f>(C707-D707)*1440</f>
        <v/>
      </c>
    </row>
    <row r="708">
      <c r="A708" t="n">
        <v>705</v>
      </c>
      <c r="B708" s="40" t="n">
        <v>46093</v>
      </c>
      <c r="C708" s="41" t="n">
        <v>0.3791983962615741</v>
      </c>
      <c r="D708" s="41" t="n">
        <v>0.3781646566666667</v>
      </c>
      <c r="E708" s="39">
        <f>(C708-D708)*1440</f>
        <v/>
      </c>
    </row>
    <row r="709">
      <c r="A709" t="n">
        <v>706</v>
      </c>
      <c r="B709" s="40" t="n">
        <v>46093</v>
      </c>
      <c r="C709" s="41" t="n">
        <v>0.3797193223148149</v>
      </c>
      <c r="D709" s="41" t="n">
        <v>0.3791983962615741</v>
      </c>
      <c r="E709" s="39">
        <f>(C709-D709)*1440</f>
        <v/>
      </c>
    </row>
    <row r="710">
      <c r="A710" t="n">
        <v>707</v>
      </c>
      <c r="B710" s="40" t="n">
        <v>46093</v>
      </c>
      <c r="C710" s="41" t="n">
        <v>0.3797547648958334</v>
      </c>
      <c r="D710" s="41" t="n">
        <v>0.3797193223148149</v>
      </c>
      <c r="E710" s="39">
        <f>(C710-D710)*1440</f>
        <v/>
      </c>
    </row>
    <row r="711">
      <c r="A711" t="n">
        <v>708</v>
      </c>
      <c r="B711" s="40" t="n">
        <v>46093</v>
      </c>
      <c r="C711" s="41" t="n">
        <v>0.3799499437268518</v>
      </c>
      <c r="D711" s="41" t="n">
        <v>0.3797547648958334</v>
      </c>
      <c r="E711" s="39">
        <f>(C711-D711)*1440</f>
        <v/>
      </c>
    </row>
    <row r="712">
      <c r="A712" t="n">
        <v>709</v>
      </c>
      <c r="B712" s="40" t="n">
        <v>46093</v>
      </c>
      <c r="C712" s="41" t="n">
        <v>0.3800965066435185</v>
      </c>
      <c r="D712" s="41" t="n">
        <v>0.3799499437268518</v>
      </c>
      <c r="E712" s="39">
        <f>(C712-D712)*1440</f>
        <v/>
      </c>
    </row>
    <row r="713">
      <c r="A713" t="n">
        <v>710</v>
      </c>
      <c r="B713" s="40" t="n">
        <v>46093</v>
      </c>
      <c r="C713" s="41" t="n">
        <v>0.3803775121296296</v>
      </c>
      <c r="D713" s="41" t="n">
        <v>0.3800965066435185</v>
      </c>
      <c r="E713" s="39">
        <f>(C713-D713)*1440</f>
        <v/>
      </c>
    </row>
    <row r="714">
      <c r="A714" t="n">
        <v>711</v>
      </c>
      <c r="B714" s="40" t="n">
        <v>46093</v>
      </c>
      <c r="C714" s="41" t="n">
        <v>0.380443189375</v>
      </c>
      <c r="D714" s="41" t="n">
        <v>0.3803775121296296</v>
      </c>
      <c r="E714" s="39">
        <f>(C714-D714)*1440</f>
        <v/>
      </c>
    </row>
    <row r="715">
      <c r="A715" t="n">
        <v>712</v>
      </c>
      <c r="B715" s="40" t="n">
        <v>46093</v>
      </c>
      <c r="C715" s="41" t="n">
        <v>0.3805071411574074</v>
      </c>
      <c r="D715" s="41" t="n">
        <v>0.380443189375</v>
      </c>
      <c r="E715" s="39">
        <f>(C715-D715)*1440</f>
        <v/>
      </c>
    </row>
    <row r="716">
      <c r="A716" t="n">
        <v>713</v>
      </c>
      <c r="B716" s="40" t="n">
        <v>46093</v>
      </c>
      <c r="C716" s="41" t="n">
        <v>0.3805269474884259</v>
      </c>
      <c r="D716" s="41" t="n">
        <v>0.3805071411574074</v>
      </c>
      <c r="E716" s="39">
        <f>(C716-D716)*1440</f>
        <v/>
      </c>
    </row>
    <row r="717">
      <c r="A717" t="n">
        <v>714</v>
      </c>
      <c r="B717" s="40" t="n">
        <v>46093</v>
      </c>
      <c r="C717" s="41" t="n">
        <v>0.3806366835185185</v>
      </c>
      <c r="D717" s="41" t="n">
        <v>0.3805269474884259</v>
      </c>
      <c r="E717" s="39">
        <f>(C717-D717)*1440</f>
        <v/>
      </c>
    </row>
    <row r="718">
      <c r="A718" t="n">
        <v>715</v>
      </c>
      <c r="B718" s="40" t="n">
        <v>46093</v>
      </c>
      <c r="C718" s="41" t="n">
        <v>0.3808591319212963</v>
      </c>
      <c r="D718" s="41" t="n">
        <v>0.3806366835185185</v>
      </c>
      <c r="E718" s="39">
        <f>(C718-D718)*1440</f>
        <v/>
      </c>
    </row>
    <row r="719">
      <c r="A719" t="n">
        <v>716</v>
      </c>
      <c r="B719" s="40" t="n">
        <v>46093</v>
      </c>
      <c r="C719" s="41" t="n">
        <v>0.3809629440509259</v>
      </c>
      <c r="D719" s="41" t="n">
        <v>0.3808591319212963</v>
      </c>
      <c r="E719" s="39">
        <f>(C719-D719)*1440</f>
        <v/>
      </c>
    </row>
    <row r="720">
      <c r="A720" t="n">
        <v>717</v>
      </c>
      <c r="B720" s="40" t="n">
        <v>46093</v>
      </c>
      <c r="C720" s="41" t="n">
        <v>0.3810326082638889</v>
      </c>
      <c r="D720" s="41" t="n">
        <v>0.3809629440509259</v>
      </c>
      <c r="E720" s="39">
        <f>(C720-D720)*1440</f>
        <v/>
      </c>
    </row>
    <row r="721">
      <c r="A721" t="n">
        <v>718</v>
      </c>
      <c r="B721" s="40" t="n">
        <v>46093</v>
      </c>
      <c r="C721" s="41" t="n">
        <v>0.3820904100231482</v>
      </c>
      <c r="D721" s="41" t="n">
        <v>0.3810326082638889</v>
      </c>
      <c r="E721" s="39">
        <f>(C721-D721)*1440</f>
        <v/>
      </c>
    </row>
    <row r="722">
      <c r="A722" t="n">
        <v>719</v>
      </c>
      <c r="B722" s="40" t="n">
        <v>46093</v>
      </c>
      <c r="C722" s="41" t="n">
        <v>0.3822146858449074</v>
      </c>
      <c r="D722" s="41" t="n">
        <v>0.3820904100231482</v>
      </c>
      <c r="E722" s="39">
        <f>(C722-D722)*1440</f>
        <v/>
      </c>
    </row>
    <row r="723">
      <c r="A723" t="n">
        <v>720</v>
      </c>
      <c r="B723" s="40" t="n">
        <v>46093</v>
      </c>
      <c r="C723" s="41" t="n">
        <v>0.3823740621759259</v>
      </c>
      <c r="D723" s="41" t="n">
        <v>0.3822146858449074</v>
      </c>
      <c r="E723" s="39">
        <f>(C723-D723)*1440</f>
        <v/>
      </c>
    </row>
    <row r="724">
      <c r="A724" t="n">
        <v>721</v>
      </c>
      <c r="B724" s="40" t="n">
        <v>46093</v>
      </c>
      <c r="C724" s="41" t="n">
        <v>0.3823779641087963</v>
      </c>
      <c r="D724" s="41" t="n">
        <v>0.3823740621759259</v>
      </c>
      <c r="E724" s="39">
        <f>(C724-D724)*1440</f>
        <v/>
      </c>
    </row>
    <row r="725">
      <c r="A725" t="n">
        <v>722</v>
      </c>
      <c r="B725" s="40" t="n">
        <v>46093</v>
      </c>
      <c r="C725" s="41" t="n">
        <v>0.3826305440509259</v>
      </c>
      <c r="D725" s="41" t="n">
        <v>0.3823779641087963</v>
      </c>
      <c r="E725" s="39">
        <f>(C725-D725)*1440</f>
        <v/>
      </c>
    </row>
    <row r="726">
      <c r="A726" t="n">
        <v>723</v>
      </c>
      <c r="B726" s="40" t="n">
        <v>46093</v>
      </c>
      <c r="C726" s="41" t="n">
        <v>0.383659444525463</v>
      </c>
      <c r="D726" s="41" t="n">
        <v>0.3826305440509259</v>
      </c>
      <c r="E726" s="39">
        <f>(C726-D726)*1440</f>
        <v/>
      </c>
    </row>
    <row r="727">
      <c r="A727" t="n">
        <v>724</v>
      </c>
      <c r="B727" s="40" t="n">
        <v>46093</v>
      </c>
      <c r="C727" s="41" t="n">
        <v>0.3842771205324074</v>
      </c>
      <c r="D727" s="41" t="n">
        <v>0.383659444525463</v>
      </c>
      <c r="E727" s="39">
        <f>(C727-D727)*1440</f>
        <v/>
      </c>
    </row>
    <row r="728">
      <c r="A728" t="n">
        <v>725</v>
      </c>
      <c r="B728" s="40" t="n">
        <v>46093</v>
      </c>
      <c r="C728" s="41" t="n">
        <v>0.3846353717013889</v>
      </c>
      <c r="D728" s="41" t="n">
        <v>0.3842771205324074</v>
      </c>
      <c r="E728" s="39">
        <f>(C728-D728)*1440</f>
        <v/>
      </c>
    </row>
    <row r="729">
      <c r="A729" t="n">
        <v>726</v>
      </c>
      <c r="B729" s="40" t="n">
        <v>46093</v>
      </c>
      <c r="C729" s="41" t="n">
        <v>0.3854059337847222</v>
      </c>
      <c r="D729" s="41" t="n">
        <v>0.3846353717013889</v>
      </c>
      <c r="E729" s="39">
        <f>(C729-D729)*1440</f>
        <v/>
      </c>
    </row>
    <row r="730">
      <c r="A730" t="n">
        <v>727</v>
      </c>
      <c r="B730" s="40" t="n">
        <v>46093</v>
      </c>
      <c r="C730" s="41" t="n">
        <v>0.3866090717476852</v>
      </c>
      <c r="D730" s="41" t="n">
        <v>0.3854059337847222</v>
      </c>
      <c r="E730" s="39">
        <f>(C730-D730)*1440</f>
        <v/>
      </c>
    </row>
    <row r="731">
      <c r="A731" t="n">
        <v>728</v>
      </c>
      <c r="B731" s="40" t="n">
        <v>46093</v>
      </c>
      <c r="C731" s="41" t="n">
        <v>0.3877236989236111</v>
      </c>
      <c r="D731" s="41" t="n">
        <v>0.3866090717476852</v>
      </c>
      <c r="E731" s="39">
        <f>(C731-D731)*1440</f>
        <v/>
      </c>
    </row>
    <row r="732">
      <c r="A732" t="n">
        <v>729</v>
      </c>
      <c r="B732" s="40" t="n">
        <v>46093</v>
      </c>
      <c r="C732" s="41" t="n">
        <v>0.3879555208796296</v>
      </c>
      <c r="D732" s="41" t="n">
        <v>0.3877236989236111</v>
      </c>
      <c r="E732" s="39">
        <f>(C732-D732)*1440</f>
        <v/>
      </c>
    </row>
    <row r="733">
      <c r="A733" t="n">
        <v>730</v>
      </c>
      <c r="B733" s="40" t="n">
        <v>46093</v>
      </c>
      <c r="C733" s="41" t="n">
        <v>0.3880242485300926</v>
      </c>
      <c r="D733" s="41" t="n">
        <v>0.3879555208796296</v>
      </c>
      <c r="E733" s="39">
        <f>(C733-D733)*1440</f>
        <v/>
      </c>
    </row>
    <row r="734">
      <c r="A734" t="n">
        <v>731</v>
      </c>
      <c r="B734" s="40" t="n">
        <v>46093</v>
      </c>
      <c r="C734" s="41" t="n">
        <v>0.3894822492245371</v>
      </c>
      <c r="D734" s="41" t="n">
        <v>0.3880242485300926</v>
      </c>
      <c r="E734" s="39">
        <f>(C734-D734)*1440</f>
        <v/>
      </c>
    </row>
    <row r="735">
      <c r="A735" t="n">
        <v>732</v>
      </c>
      <c r="B735" s="40" t="n">
        <v>46093</v>
      </c>
      <c r="C735" s="41" t="n">
        <v>0.3895877208449074</v>
      </c>
      <c r="D735" s="41" t="n">
        <v>0.3894822492245371</v>
      </c>
      <c r="E735" s="39">
        <f>(C735-D735)*1440</f>
        <v/>
      </c>
    </row>
    <row r="736">
      <c r="A736" t="n">
        <v>733</v>
      </c>
      <c r="B736" s="40" t="n">
        <v>46093</v>
      </c>
      <c r="C736" s="41" t="n">
        <v>0.3900540766435185</v>
      </c>
      <c r="D736" s="41" t="n">
        <v>0.3895877208449074</v>
      </c>
      <c r="E736" s="39">
        <f>(C736-D736)*1440</f>
        <v/>
      </c>
    </row>
    <row r="737">
      <c r="A737" t="n">
        <v>734</v>
      </c>
      <c r="B737" s="40" t="n">
        <v>46093</v>
      </c>
      <c r="C737" s="41" t="n">
        <v>0.3901265834606482</v>
      </c>
      <c r="D737" s="41" t="n">
        <v>0.3900540766435185</v>
      </c>
      <c r="E737" s="39">
        <f>(C737-D737)*1440</f>
        <v/>
      </c>
    </row>
    <row r="738">
      <c r="A738" t="n">
        <v>735</v>
      </c>
      <c r="B738" s="40" t="n">
        <v>46093</v>
      </c>
      <c r="C738" s="41" t="n">
        <v>0.3903677483564815</v>
      </c>
      <c r="D738" s="41" t="n">
        <v>0.3901265834606482</v>
      </c>
      <c r="E738" s="39">
        <f>(C738-D738)*1440</f>
        <v/>
      </c>
    </row>
    <row r="739">
      <c r="A739" t="n">
        <v>736</v>
      </c>
      <c r="B739" s="40" t="n">
        <v>46093</v>
      </c>
      <c r="C739" s="41" t="n">
        <v>0.3903897226273149</v>
      </c>
      <c r="D739" s="41" t="n">
        <v>0.3903677483564815</v>
      </c>
      <c r="E739" s="39">
        <f>(C739-D739)*1440</f>
        <v/>
      </c>
    </row>
    <row r="740">
      <c r="A740" t="n">
        <v>737</v>
      </c>
      <c r="B740" s="40" t="n">
        <v>46093</v>
      </c>
      <c r="C740" s="41" t="n">
        <v>0.3910178040625</v>
      </c>
      <c r="D740" s="41" t="n">
        <v>0.3903897226273149</v>
      </c>
      <c r="E740" s="39">
        <f>(C740-D740)*1440</f>
        <v/>
      </c>
    </row>
    <row r="741">
      <c r="A741" t="n">
        <v>738</v>
      </c>
      <c r="B741" s="40" t="n">
        <v>46093</v>
      </c>
      <c r="C741" s="41" t="n">
        <v>0.3910556708217592</v>
      </c>
      <c r="D741" s="41" t="n">
        <v>0.3910178040625</v>
      </c>
      <c r="E741" s="39">
        <f>(C741-D741)*1440</f>
        <v/>
      </c>
    </row>
    <row r="742">
      <c r="A742" t="n">
        <v>739</v>
      </c>
      <c r="B742" s="40" t="n">
        <v>46093</v>
      </c>
      <c r="C742" s="41" t="n">
        <v>0.3912226623148148</v>
      </c>
      <c r="D742" s="41" t="n">
        <v>0.3910556708217592</v>
      </c>
      <c r="E742" s="39">
        <f>(C742-D742)*1440</f>
        <v/>
      </c>
    </row>
    <row r="743">
      <c r="A743" t="n">
        <v>740</v>
      </c>
      <c r="B743" s="40" t="n">
        <v>46093</v>
      </c>
      <c r="C743" s="41" t="n">
        <v>0.3915433421064815</v>
      </c>
      <c r="D743" s="41" t="n">
        <v>0.3912226623148148</v>
      </c>
      <c r="E743" s="39">
        <f>(C743-D743)*1440</f>
        <v/>
      </c>
    </row>
    <row r="744">
      <c r="A744" t="n">
        <v>741</v>
      </c>
      <c r="B744" s="40" t="n">
        <v>46093</v>
      </c>
      <c r="C744" s="41" t="n">
        <v>0.3917331837268518</v>
      </c>
      <c r="D744" s="41" t="n">
        <v>0.3915433421064815</v>
      </c>
      <c r="E744" s="39">
        <f>(C744-D744)*1440</f>
        <v/>
      </c>
    </row>
    <row r="745">
      <c r="A745" t="n">
        <v>742</v>
      </c>
      <c r="B745" s="40" t="n">
        <v>46093</v>
      </c>
      <c r="C745" s="41" t="n">
        <v>0.3922022893171296</v>
      </c>
      <c r="D745" s="41" t="n">
        <v>0.3917331837268518</v>
      </c>
      <c r="E745" s="39">
        <f>(C745-D745)*1440</f>
        <v/>
      </c>
    </row>
    <row r="746">
      <c r="A746" t="n">
        <v>743</v>
      </c>
      <c r="B746" s="40" t="n">
        <v>46093</v>
      </c>
      <c r="C746" s="41" t="n">
        <v>0.3922319307638888</v>
      </c>
      <c r="D746" s="41" t="n">
        <v>0.3922022893171296</v>
      </c>
      <c r="E746" s="39">
        <f>(C746-D746)*1440</f>
        <v/>
      </c>
    </row>
    <row r="747">
      <c r="A747" t="n">
        <v>744</v>
      </c>
      <c r="B747" s="40" t="n">
        <v>46093</v>
      </c>
      <c r="C747" s="41" t="n">
        <v>0.3926505296875</v>
      </c>
      <c r="D747" s="41" t="n">
        <v>0.3922319307638888</v>
      </c>
      <c r="E747" s="39">
        <f>(C747-D747)*1440</f>
        <v/>
      </c>
    </row>
    <row r="748">
      <c r="A748" t="n">
        <v>745</v>
      </c>
      <c r="B748" s="40" t="n">
        <v>46093</v>
      </c>
      <c r="C748" s="41" t="n">
        <v>0.3927225614930556</v>
      </c>
      <c r="D748" s="41" t="n">
        <v>0.3926505296875</v>
      </c>
      <c r="E748" s="39">
        <f>(C748-D748)*1440</f>
        <v/>
      </c>
    </row>
    <row r="749">
      <c r="A749" t="n">
        <v>746</v>
      </c>
      <c r="B749" s="40" t="n">
        <v>46093</v>
      </c>
      <c r="C749" s="41" t="n">
        <v>0.3928597671064815</v>
      </c>
      <c r="D749" s="41" t="n">
        <v>0.3927225614930556</v>
      </c>
      <c r="E749" s="39">
        <f>(C749-D749)*1440</f>
        <v/>
      </c>
    </row>
    <row r="750">
      <c r="A750" t="n">
        <v>747</v>
      </c>
      <c r="B750" s="40" t="n">
        <v>46093</v>
      </c>
      <c r="C750" s="41" t="n">
        <v>0.392867832037037</v>
      </c>
      <c r="D750" s="41" t="n">
        <v>0.3928597671064815</v>
      </c>
      <c r="E750" s="39">
        <f>(C750-D750)*1440</f>
        <v/>
      </c>
    </row>
    <row r="751">
      <c r="A751" t="n">
        <v>748</v>
      </c>
      <c r="B751" s="40" t="n">
        <v>46093</v>
      </c>
      <c r="C751" s="41" t="n">
        <v>0.393120029988426</v>
      </c>
      <c r="D751" s="41" t="n">
        <v>0.392867832037037</v>
      </c>
      <c r="E751" s="39">
        <f>(C751-D751)*1440</f>
        <v/>
      </c>
    </row>
    <row r="752">
      <c r="A752" t="n">
        <v>749</v>
      </c>
      <c r="B752" s="40" t="n">
        <v>46093</v>
      </c>
      <c r="C752" s="41" t="n">
        <v>0.3933277606712963</v>
      </c>
      <c r="D752" s="41" t="n">
        <v>0.393120029988426</v>
      </c>
      <c r="E752" s="39">
        <f>(C752-D752)*1440</f>
        <v/>
      </c>
    </row>
    <row r="753">
      <c r="A753" t="n">
        <v>750</v>
      </c>
      <c r="B753" s="40" t="n">
        <v>46093</v>
      </c>
      <c r="C753" s="41" t="n">
        <v>0.393750051863426</v>
      </c>
      <c r="D753" s="41" t="n">
        <v>0.3933277606712963</v>
      </c>
      <c r="E753" s="39">
        <f>(C753-D753)*1440</f>
        <v/>
      </c>
    </row>
    <row r="754">
      <c r="A754" t="n">
        <v>751</v>
      </c>
      <c r="B754" s="40" t="n">
        <v>46093</v>
      </c>
      <c r="C754" s="41" t="n">
        <v>0.3939508299768519</v>
      </c>
      <c r="D754" s="41" t="n">
        <v>0.393750051863426</v>
      </c>
      <c r="E754" s="39">
        <f>(C754-D754)*1440</f>
        <v/>
      </c>
    </row>
    <row r="755">
      <c r="A755" t="n">
        <v>752</v>
      </c>
      <c r="B755" s="40" t="n">
        <v>46093</v>
      </c>
      <c r="C755" s="41" t="n">
        <v>0.3943866770023148</v>
      </c>
      <c r="D755" s="41" t="n">
        <v>0.3939508299768519</v>
      </c>
      <c r="E755" s="39">
        <f>(C755-D755)*1440</f>
        <v/>
      </c>
    </row>
    <row r="756">
      <c r="A756" t="n">
        <v>753</v>
      </c>
      <c r="B756" s="40" t="n">
        <v>46093</v>
      </c>
      <c r="C756" s="41" t="n">
        <v>0.3953657309027778</v>
      </c>
      <c r="D756" s="41" t="n">
        <v>0.3943866770023148</v>
      </c>
      <c r="E756" s="39">
        <f>(C756-D756)*1440</f>
        <v/>
      </c>
    </row>
    <row r="757">
      <c r="A757" t="n">
        <v>754</v>
      </c>
      <c r="B757" s="40" t="n">
        <v>46093</v>
      </c>
      <c r="C757" s="41" t="n">
        <v>0.3954534592129629</v>
      </c>
      <c r="D757" s="41" t="n">
        <v>0.3953657309027778</v>
      </c>
      <c r="E757" s="39">
        <f>(C757-D757)*1440</f>
        <v/>
      </c>
    </row>
    <row r="758">
      <c r="A758" t="n">
        <v>755</v>
      </c>
      <c r="B758" s="40" t="n">
        <v>46093</v>
      </c>
      <c r="C758" s="41" t="n">
        <v>0.3958213235069445</v>
      </c>
      <c r="D758" s="41" t="n">
        <v>0.3954534592129629</v>
      </c>
      <c r="E758" s="39">
        <f>(C758-D758)*1440</f>
        <v/>
      </c>
    </row>
    <row r="759">
      <c r="A759" t="n">
        <v>756</v>
      </c>
      <c r="B759" s="40" t="n">
        <v>46093</v>
      </c>
      <c r="C759" s="41" t="n">
        <v>0.3962692251851851</v>
      </c>
      <c r="D759" s="41" t="n">
        <v>0.3958213235069445</v>
      </c>
      <c r="E759" s="39">
        <f>(C759-D759)*1440</f>
        <v/>
      </c>
    </row>
    <row r="760">
      <c r="A760" t="n">
        <v>757</v>
      </c>
      <c r="B760" s="40" t="n">
        <v>46093</v>
      </c>
      <c r="C760" s="41" t="n">
        <v>0.3964423427314815</v>
      </c>
      <c r="D760" s="41" t="n">
        <v>0.3962692251851851</v>
      </c>
      <c r="E760" s="39">
        <f>(C760-D760)*1440</f>
        <v/>
      </c>
    </row>
    <row r="761">
      <c r="A761" t="n">
        <v>758</v>
      </c>
      <c r="B761" s="40" t="n">
        <v>46093</v>
      </c>
      <c r="C761" s="41" t="n">
        <v>0.3971527123611111</v>
      </c>
      <c r="D761" s="41" t="n">
        <v>0.3964423427314815</v>
      </c>
      <c r="E761" s="39">
        <f>(C761-D761)*1440</f>
        <v/>
      </c>
    </row>
    <row r="762">
      <c r="A762" t="n">
        <v>759</v>
      </c>
      <c r="B762" s="40" t="n">
        <v>46093</v>
      </c>
      <c r="C762" s="41" t="n">
        <v>0.3973965297337962</v>
      </c>
      <c r="D762" s="41" t="n">
        <v>0.3971527123611111</v>
      </c>
      <c r="E762" s="39">
        <f>(C762-D762)*1440</f>
        <v/>
      </c>
    </row>
    <row r="763">
      <c r="A763" t="n">
        <v>760</v>
      </c>
      <c r="B763" s="40" t="n">
        <v>46093</v>
      </c>
      <c r="C763" s="41" t="n">
        <v>0.3984028132638889</v>
      </c>
      <c r="D763" s="41" t="n">
        <v>0.3973965297337962</v>
      </c>
      <c r="E763" s="39">
        <f>(C763-D763)*1440</f>
        <v/>
      </c>
    </row>
    <row r="764">
      <c r="A764" t="n">
        <v>761</v>
      </c>
      <c r="B764" s="40" t="n">
        <v>46093</v>
      </c>
      <c r="C764" s="41" t="n">
        <v>0.399335056574074</v>
      </c>
      <c r="D764" s="41" t="n">
        <v>0.3984028132638889</v>
      </c>
      <c r="E764" s="39">
        <f>(C764-D764)*1440</f>
        <v/>
      </c>
    </row>
    <row r="765">
      <c r="A765" t="n">
        <v>762</v>
      </c>
      <c r="B765" s="40" t="n">
        <v>46093</v>
      </c>
      <c r="C765" s="41" t="n">
        <v>0.399720466886574</v>
      </c>
      <c r="D765" s="41" t="n">
        <v>0.399335056574074</v>
      </c>
      <c r="E765" s="39">
        <f>(C765-D765)*1440</f>
        <v/>
      </c>
    </row>
    <row r="766">
      <c r="A766" t="n">
        <v>763</v>
      </c>
      <c r="B766" s="40" t="n">
        <v>46093</v>
      </c>
      <c r="C766" s="41" t="n">
        <v>0.4016866359143518</v>
      </c>
      <c r="D766" s="41" t="n">
        <v>0.399720466886574</v>
      </c>
      <c r="E766" s="39">
        <f>(C766-D766)*1440</f>
        <v/>
      </c>
    </row>
    <row r="767">
      <c r="A767" t="n">
        <v>764</v>
      </c>
      <c r="B767" s="40" t="n">
        <v>46093</v>
      </c>
      <c r="C767" s="41" t="n">
        <v>0.4017672970023148</v>
      </c>
      <c r="D767" s="41" t="n">
        <v>0.4016866359143518</v>
      </c>
      <c r="E767" s="39">
        <f>(C767-D767)*1440</f>
        <v/>
      </c>
    </row>
    <row r="768">
      <c r="A768" t="n">
        <v>765</v>
      </c>
      <c r="B768" s="40" t="n">
        <v>46093</v>
      </c>
      <c r="C768" s="41" t="n">
        <v>0.4021056856018518</v>
      </c>
      <c r="D768" s="41" t="n">
        <v>0.4017672970023148</v>
      </c>
      <c r="E768" s="39">
        <f>(C768-D768)*1440</f>
        <v/>
      </c>
    </row>
    <row r="769">
      <c r="A769" t="n">
        <v>766</v>
      </c>
      <c r="B769" s="40" t="n">
        <v>46093</v>
      </c>
      <c r="C769" s="41" t="n">
        <v>0.4024254779050926</v>
      </c>
      <c r="D769" s="41" t="n">
        <v>0.4021056856018518</v>
      </c>
      <c r="E769" s="39">
        <f>(C769-D769)*1440</f>
        <v/>
      </c>
    </row>
    <row r="770">
      <c r="A770" t="n">
        <v>767</v>
      </c>
      <c r="B770" s="40" t="n">
        <v>46093</v>
      </c>
      <c r="C770" s="41" t="n">
        <v>0.4028307847106481</v>
      </c>
      <c r="D770" s="41" t="n">
        <v>0.4024254779050926</v>
      </c>
      <c r="E770" s="39">
        <f>(C770-D770)*1440</f>
        <v/>
      </c>
    </row>
    <row r="771">
      <c r="A771" t="n">
        <v>768</v>
      </c>
      <c r="B771" s="40" t="n">
        <v>46093</v>
      </c>
      <c r="C771" s="41" t="n">
        <v>0.4031070841435185</v>
      </c>
      <c r="D771" s="41" t="n">
        <v>0.4028307847106481</v>
      </c>
      <c r="E771" s="39">
        <f>(C771-D771)*1440</f>
        <v/>
      </c>
    </row>
    <row r="772">
      <c r="A772" t="n">
        <v>769</v>
      </c>
      <c r="B772" s="40" t="n">
        <v>46093</v>
      </c>
      <c r="C772" s="41" t="n">
        <v>0.4031367514814815</v>
      </c>
      <c r="D772" s="41" t="n">
        <v>0.4031070841435185</v>
      </c>
      <c r="E772" s="39">
        <f>(C772-D772)*1440</f>
        <v/>
      </c>
    </row>
    <row r="773">
      <c r="A773" t="n">
        <v>770</v>
      </c>
      <c r="B773" s="40" t="n">
        <v>46093</v>
      </c>
      <c r="C773" s="41" t="n">
        <v>0.4034340011921296</v>
      </c>
      <c r="D773" s="41" t="n">
        <v>0.4031367514814815</v>
      </c>
      <c r="E773" s="39">
        <f>(C773-D773)*1440</f>
        <v/>
      </c>
    </row>
    <row r="774">
      <c r="A774" t="n">
        <v>771</v>
      </c>
      <c r="B774" s="40" t="n">
        <v>46093</v>
      </c>
      <c r="C774" s="41" t="n">
        <v>0.4042451550810185</v>
      </c>
      <c r="D774" s="41" t="n">
        <v>0.4034340011921296</v>
      </c>
      <c r="E774" s="39">
        <f>(C774-D774)*1440</f>
        <v/>
      </c>
    </row>
    <row r="775">
      <c r="A775" t="n">
        <v>772</v>
      </c>
      <c r="B775" s="40" t="n">
        <v>46093</v>
      </c>
      <c r="C775" s="41" t="n">
        <v>0.4043254475115741</v>
      </c>
      <c r="D775" s="41" t="n">
        <v>0.4042451550810185</v>
      </c>
      <c r="E775" s="39">
        <f>(C775-D775)*1440</f>
        <v/>
      </c>
    </row>
    <row r="776">
      <c r="A776" t="n">
        <v>773</v>
      </c>
      <c r="B776" s="40" t="n">
        <v>46093</v>
      </c>
      <c r="C776" s="41" t="n">
        <v>0.4049019936921296</v>
      </c>
      <c r="D776" s="41" t="n">
        <v>0.4043254475115741</v>
      </c>
      <c r="E776" s="39">
        <f>(C776-D776)*1440</f>
        <v/>
      </c>
    </row>
    <row r="777">
      <c r="A777" t="n">
        <v>774</v>
      </c>
      <c r="B777" s="40" t="n">
        <v>46093</v>
      </c>
      <c r="C777" s="41" t="n">
        <v>0.4051038689930556</v>
      </c>
      <c r="D777" s="41" t="n">
        <v>0.4049019936921296</v>
      </c>
      <c r="E777" s="39">
        <f>(C777-D777)*1440</f>
        <v/>
      </c>
    </row>
    <row r="778">
      <c r="A778" t="n">
        <v>775</v>
      </c>
      <c r="B778" s="40" t="n">
        <v>46093</v>
      </c>
      <c r="C778" s="41" t="n">
        <v>0.4053243824189814</v>
      </c>
      <c r="D778" s="41" t="n">
        <v>0.4051038689930556</v>
      </c>
      <c r="E778" s="39">
        <f>(C778-D778)*1440</f>
        <v/>
      </c>
    </row>
    <row r="779">
      <c r="A779" t="n">
        <v>776</v>
      </c>
      <c r="B779" s="40" t="n">
        <v>46093</v>
      </c>
      <c r="C779" s="41" t="n">
        <v>0.405469008275463</v>
      </c>
      <c r="D779" s="41" t="n">
        <v>0.4053243824189814</v>
      </c>
      <c r="E779" s="39">
        <f>(C779-D779)*1440</f>
        <v/>
      </c>
    </row>
    <row r="780">
      <c r="A780" t="n">
        <v>777</v>
      </c>
      <c r="B780" s="40" t="n">
        <v>46093</v>
      </c>
      <c r="C780" s="41" t="n">
        <v>0.4059589486458333</v>
      </c>
      <c r="D780" s="41" t="n">
        <v>0.405469008275463</v>
      </c>
      <c r="E780" s="39">
        <f>(C780-D780)*1440</f>
        <v/>
      </c>
    </row>
    <row r="781">
      <c r="A781" t="n">
        <v>778</v>
      </c>
      <c r="B781" s="40" t="n">
        <v>46093</v>
      </c>
      <c r="C781" s="41" t="n">
        <v>0.4065827478009259</v>
      </c>
      <c r="D781" s="41" t="n">
        <v>0.4059589486458333</v>
      </c>
      <c r="E781" s="39">
        <f>(C781-D781)*1440</f>
        <v/>
      </c>
    </row>
    <row r="782">
      <c r="A782" t="n">
        <v>779</v>
      </c>
      <c r="B782" s="40" t="n">
        <v>46093</v>
      </c>
      <c r="C782" s="41" t="n">
        <v>0.4079966493865741</v>
      </c>
      <c r="D782" s="41" t="n">
        <v>0.4065827478009259</v>
      </c>
      <c r="E782" s="39">
        <f>(C782-D782)*1440</f>
        <v/>
      </c>
    </row>
    <row r="783">
      <c r="A783" t="n">
        <v>780</v>
      </c>
      <c r="B783" s="40" t="n">
        <v>46093</v>
      </c>
      <c r="C783" s="41" t="n">
        <v>0.408611938587963</v>
      </c>
      <c r="D783" s="41" t="n">
        <v>0.4079966493865741</v>
      </c>
      <c r="E783" s="39">
        <f>(C783-D783)*1440</f>
        <v/>
      </c>
    </row>
    <row r="784">
      <c r="A784" t="n">
        <v>781</v>
      </c>
      <c r="B784" s="40" t="n">
        <v>46093</v>
      </c>
      <c r="C784" s="41" t="n">
        <v>0.4088617227777778</v>
      </c>
      <c r="D784" s="41" t="n">
        <v>0.408611938587963</v>
      </c>
      <c r="E784" s="39">
        <f>(C784-D784)*1440</f>
        <v/>
      </c>
    </row>
    <row r="785">
      <c r="A785" t="n">
        <v>782</v>
      </c>
      <c r="B785" s="40" t="n">
        <v>46093</v>
      </c>
      <c r="C785" s="41" t="n">
        <v>0.4092347599189815</v>
      </c>
      <c r="D785" s="41" t="n">
        <v>0.4088617227777778</v>
      </c>
      <c r="E785" s="39">
        <f>(C785-D785)*1440</f>
        <v/>
      </c>
    </row>
    <row r="786">
      <c r="A786" t="n">
        <v>783</v>
      </c>
      <c r="B786" s="40" t="n">
        <v>46093</v>
      </c>
      <c r="C786" s="41" t="n">
        <v>0.4095564203240741</v>
      </c>
      <c r="D786" s="41" t="n">
        <v>0.4092347599189815</v>
      </c>
      <c r="E786" s="39">
        <f>(C786-D786)*1440</f>
        <v/>
      </c>
    </row>
    <row r="787">
      <c r="A787" t="n">
        <v>784</v>
      </c>
      <c r="B787" s="40" t="n">
        <v>46093</v>
      </c>
      <c r="C787" s="41" t="n">
        <v>0.4103556713888889</v>
      </c>
      <c r="D787" s="41" t="n">
        <v>0.4095564203240741</v>
      </c>
      <c r="E787" s="39">
        <f>(C787-D787)*1440</f>
        <v/>
      </c>
    </row>
    <row r="788">
      <c r="A788" t="n">
        <v>785</v>
      </c>
      <c r="B788" s="40" t="n">
        <v>46093</v>
      </c>
      <c r="C788" s="41" t="n">
        <v>0.4105602476851852</v>
      </c>
      <c r="D788" s="41" t="n">
        <v>0.4103556713888889</v>
      </c>
      <c r="E788" s="39">
        <f>(C788-D788)*1440</f>
        <v/>
      </c>
    </row>
    <row r="789">
      <c r="A789" t="n">
        <v>786</v>
      </c>
      <c r="B789" s="40" t="n">
        <v>46093</v>
      </c>
      <c r="C789" s="41" t="n">
        <v>0.4107620488541667</v>
      </c>
      <c r="D789" s="41" t="n">
        <v>0.4105602476851852</v>
      </c>
      <c r="E789" s="39">
        <f>(C789-D789)*1440</f>
        <v/>
      </c>
    </row>
    <row r="790">
      <c r="A790" t="n">
        <v>787</v>
      </c>
      <c r="B790" s="40" t="n">
        <v>46093</v>
      </c>
      <c r="C790" s="41" t="n">
        <v>0.4109055363888889</v>
      </c>
      <c r="D790" s="41" t="n">
        <v>0.4107620488541667</v>
      </c>
      <c r="E790" s="39">
        <f>(C790-D790)*1440</f>
        <v/>
      </c>
    </row>
    <row r="791">
      <c r="A791" t="n">
        <v>788</v>
      </c>
      <c r="B791" s="40" t="n">
        <v>46093</v>
      </c>
      <c r="C791" s="41" t="n">
        <v>0.4109472641550926</v>
      </c>
      <c r="D791" s="41" t="n">
        <v>0.4109055363888889</v>
      </c>
      <c r="E791" s="39">
        <f>(C791-D791)*1440</f>
        <v/>
      </c>
    </row>
    <row r="792">
      <c r="A792" t="n">
        <v>789</v>
      </c>
      <c r="B792" s="40" t="n">
        <v>46093</v>
      </c>
      <c r="C792" s="41" t="n">
        <v>0.4110600849537037</v>
      </c>
      <c r="D792" s="41" t="n">
        <v>0.4109472641550926</v>
      </c>
      <c r="E792" s="39">
        <f>(C792-D792)*1440</f>
        <v/>
      </c>
    </row>
    <row r="793">
      <c r="A793" t="n">
        <v>790</v>
      </c>
      <c r="B793" s="40" t="n">
        <v>46093</v>
      </c>
      <c r="C793" s="41" t="n">
        <v>0.4111711209375</v>
      </c>
      <c r="D793" s="41" t="n">
        <v>0.4110600849537037</v>
      </c>
      <c r="E793" s="39">
        <f>(C793-D793)*1440</f>
        <v/>
      </c>
    </row>
    <row r="794">
      <c r="A794" t="n">
        <v>791</v>
      </c>
      <c r="B794" s="40" t="n">
        <v>46093</v>
      </c>
      <c r="C794" s="41" t="n">
        <v>0.4121771736805556</v>
      </c>
      <c r="D794" s="41" t="n">
        <v>0.4111711209375</v>
      </c>
      <c r="E794" s="39">
        <f>(C794-D794)*1440</f>
        <v/>
      </c>
    </row>
    <row r="795">
      <c r="A795" t="n">
        <v>792</v>
      </c>
      <c r="B795" s="40" t="n">
        <v>46093</v>
      </c>
      <c r="C795" s="41" t="n">
        <v>0.4125520692476852</v>
      </c>
      <c r="D795" s="41" t="n">
        <v>0.4121771736805556</v>
      </c>
      <c r="E795" s="39">
        <f>(C795-D795)*1440</f>
        <v/>
      </c>
    </row>
    <row r="796">
      <c r="A796" t="n">
        <v>793</v>
      </c>
      <c r="B796" s="40" t="n">
        <v>46093</v>
      </c>
      <c r="C796" s="41" t="n">
        <v>0.412819301875</v>
      </c>
      <c r="D796" s="41" t="n">
        <v>0.4125520692476852</v>
      </c>
      <c r="E796" s="39">
        <f>(C796-D796)*1440</f>
        <v/>
      </c>
    </row>
    <row r="797">
      <c r="A797" t="n">
        <v>794</v>
      </c>
      <c r="B797" s="40" t="n">
        <v>46093</v>
      </c>
      <c r="C797" s="41" t="n">
        <v>0.4129397815046296</v>
      </c>
      <c r="D797" s="41" t="n">
        <v>0.412819301875</v>
      </c>
      <c r="E797" s="39">
        <f>(C797-D797)*1440</f>
        <v/>
      </c>
    </row>
    <row r="798">
      <c r="A798" t="n">
        <v>795</v>
      </c>
      <c r="B798" s="40" t="n">
        <v>46093</v>
      </c>
      <c r="C798" s="41" t="n">
        <v>0.4135401516550926</v>
      </c>
      <c r="D798" s="41" t="n">
        <v>0.4129397815046296</v>
      </c>
      <c r="E798" s="39">
        <f>(C798-D798)*1440</f>
        <v/>
      </c>
    </row>
    <row r="799">
      <c r="A799" t="n">
        <v>796</v>
      </c>
      <c r="B799" s="40" t="n">
        <v>46093</v>
      </c>
      <c r="C799" s="41" t="n">
        <v>0.4142427282870371</v>
      </c>
      <c r="D799" s="41" t="n">
        <v>0.4135401516550926</v>
      </c>
      <c r="E799" s="39">
        <f>(C799-D799)*1440</f>
        <v/>
      </c>
    </row>
    <row r="800">
      <c r="A800" t="n">
        <v>797</v>
      </c>
      <c r="B800" s="40" t="n">
        <v>46093</v>
      </c>
      <c r="C800" s="41" t="n">
        <v>0.4152724476157407</v>
      </c>
      <c r="D800" s="41" t="n">
        <v>0.4142427282870371</v>
      </c>
      <c r="E800" s="39">
        <f>(C800-D800)*1440</f>
        <v/>
      </c>
    </row>
    <row r="801">
      <c r="A801" t="n">
        <v>798</v>
      </c>
      <c r="B801" s="40" t="n">
        <v>46093</v>
      </c>
      <c r="C801" s="41" t="n">
        <v>0.4153345911921296</v>
      </c>
      <c r="D801" s="41" t="n">
        <v>0.4152724476157407</v>
      </c>
      <c r="E801" s="39">
        <f>(C801-D801)*1440</f>
        <v/>
      </c>
    </row>
    <row r="802">
      <c r="A802" t="n">
        <v>799</v>
      </c>
      <c r="B802" s="40" t="n">
        <v>46093</v>
      </c>
      <c r="C802" s="41" t="n">
        <v>0.4163191027199074</v>
      </c>
      <c r="D802" s="41" t="n">
        <v>0.4153345911921296</v>
      </c>
      <c r="E802" s="39">
        <f>(C802-D802)*1440</f>
        <v/>
      </c>
    </row>
    <row r="803">
      <c r="A803" t="n">
        <v>800</v>
      </c>
      <c r="B803" s="40" t="n">
        <v>46094</v>
      </c>
      <c r="C803" s="41" t="n">
        <v>0.3755488043518518</v>
      </c>
      <c r="D803" s="41" t="n">
        <v>0.3752293604050926</v>
      </c>
      <c r="E803" s="39">
        <f>(C803-D803)*1440</f>
        <v/>
      </c>
    </row>
    <row r="804">
      <c r="A804" t="n">
        <v>801</v>
      </c>
      <c r="B804" s="40" t="n">
        <v>46094</v>
      </c>
      <c r="C804" s="41" t="n">
        <v>0.3765067851736111</v>
      </c>
      <c r="D804" s="41" t="n">
        <v>0.3755488043518518</v>
      </c>
      <c r="E804" s="39">
        <f>(C804-D804)*1440</f>
        <v/>
      </c>
    </row>
    <row r="805">
      <c r="A805" t="n">
        <v>802</v>
      </c>
      <c r="B805" s="40" t="n">
        <v>46094</v>
      </c>
      <c r="C805" s="41" t="n">
        <v>0.3765109607754629</v>
      </c>
      <c r="D805" s="41" t="n">
        <v>0.3765067851736111</v>
      </c>
      <c r="E805" s="39">
        <f>(C805-D805)*1440</f>
        <v/>
      </c>
    </row>
    <row r="806">
      <c r="A806" t="n">
        <v>803</v>
      </c>
      <c r="B806" s="40" t="n">
        <v>46094</v>
      </c>
      <c r="C806" s="41" t="n">
        <v>0.3767983521643519</v>
      </c>
      <c r="D806" s="41" t="n">
        <v>0.3765109607754629</v>
      </c>
      <c r="E806" s="39">
        <f>(C806-D806)*1440</f>
        <v/>
      </c>
    </row>
    <row r="807">
      <c r="A807" t="n">
        <v>804</v>
      </c>
      <c r="B807" s="40" t="n">
        <v>46094</v>
      </c>
      <c r="C807" s="41" t="n">
        <v>0.3768670014467593</v>
      </c>
      <c r="D807" s="41" t="n">
        <v>0.3767983521643519</v>
      </c>
      <c r="E807" s="39">
        <f>(C807-D807)*1440</f>
        <v/>
      </c>
    </row>
    <row r="808">
      <c r="A808" t="n">
        <v>805</v>
      </c>
      <c r="B808" s="40" t="n">
        <v>46094</v>
      </c>
      <c r="C808" s="41" t="n">
        <v>0.37690223625</v>
      </c>
      <c r="D808" s="41" t="n">
        <v>0.3768670014467593</v>
      </c>
      <c r="E808" s="39">
        <f>(C808-D808)*1440</f>
        <v/>
      </c>
    </row>
    <row r="809">
      <c r="A809" t="n">
        <v>806</v>
      </c>
      <c r="B809" s="40" t="n">
        <v>46094</v>
      </c>
      <c r="C809" s="41" t="n">
        <v>0.3790038877314815</v>
      </c>
      <c r="D809" s="41" t="n">
        <v>0.37690223625</v>
      </c>
      <c r="E809" s="39">
        <f>(C809-D809)*1440</f>
        <v/>
      </c>
    </row>
    <row r="810">
      <c r="A810" t="n">
        <v>807</v>
      </c>
      <c r="B810" s="40" t="n">
        <v>46094</v>
      </c>
      <c r="C810" s="41" t="n">
        <v>0.3790490109375</v>
      </c>
      <c r="D810" s="41" t="n">
        <v>0.3790038877314815</v>
      </c>
      <c r="E810" s="39">
        <f>(C810-D810)*1440</f>
        <v/>
      </c>
    </row>
    <row r="811">
      <c r="A811" t="n">
        <v>808</v>
      </c>
      <c r="B811" s="40" t="n">
        <v>46094</v>
      </c>
      <c r="C811" s="41" t="n">
        <v>0.3795185513310185</v>
      </c>
      <c r="D811" s="41" t="n">
        <v>0.3790490109375</v>
      </c>
      <c r="E811" s="39">
        <f>(C811-D811)*1440</f>
        <v/>
      </c>
    </row>
    <row r="812">
      <c r="A812" t="n">
        <v>809</v>
      </c>
      <c r="B812" s="40" t="n">
        <v>46094</v>
      </c>
      <c r="C812" s="41" t="n">
        <v>0.379825006400463</v>
      </c>
      <c r="D812" s="41" t="n">
        <v>0.3795185513310185</v>
      </c>
      <c r="E812" s="39">
        <f>(C812-D812)*1440</f>
        <v/>
      </c>
    </row>
    <row r="813">
      <c r="A813" t="n">
        <v>810</v>
      </c>
      <c r="B813" s="40" t="n">
        <v>46094</v>
      </c>
      <c r="C813" s="41" t="n">
        <v>0.3804669492708334</v>
      </c>
      <c r="D813" s="41" t="n">
        <v>0.379825006400463</v>
      </c>
      <c r="E813" s="39">
        <f>(C813-D813)*1440</f>
        <v/>
      </c>
    </row>
    <row r="814">
      <c r="A814" t="n">
        <v>811</v>
      </c>
      <c r="B814" s="40" t="n">
        <v>46094</v>
      </c>
      <c r="C814" s="41" t="n">
        <v>0.3807954289583333</v>
      </c>
      <c r="D814" s="41" t="n">
        <v>0.3804669492708334</v>
      </c>
      <c r="E814" s="39">
        <f>(C814-D814)*1440</f>
        <v/>
      </c>
    </row>
    <row r="815">
      <c r="A815" t="n">
        <v>812</v>
      </c>
      <c r="B815" s="40" t="n">
        <v>46094</v>
      </c>
      <c r="C815" s="41" t="n">
        <v>0.3809306040393519</v>
      </c>
      <c r="D815" s="41" t="n">
        <v>0.3807954289583333</v>
      </c>
      <c r="E815" s="39">
        <f>(C815-D815)*1440</f>
        <v/>
      </c>
    </row>
    <row r="816">
      <c r="A816" t="n">
        <v>813</v>
      </c>
      <c r="B816" s="40" t="n">
        <v>46094</v>
      </c>
      <c r="C816" s="41" t="n">
        <v>0.3817967079050926</v>
      </c>
      <c r="D816" s="41" t="n">
        <v>0.3809306040393519</v>
      </c>
      <c r="E816" s="39">
        <f>(C816-D816)*1440</f>
        <v/>
      </c>
    </row>
    <row r="817">
      <c r="A817" t="n">
        <v>814</v>
      </c>
      <c r="B817" s="40" t="n">
        <v>46094</v>
      </c>
      <c r="C817" s="41" t="n">
        <v>0.3826211596296296</v>
      </c>
      <c r="D817" s="41" t="n">
        <v>0.3817967079050926</v>
      </c>
      <c r="E817" s="39">
        <f>(C817-D817)*1440</f>
        <v/>
      </c>
    </row>
    <row r="818">
      <c r="A818" t="n">
        <v>815</v>
      </c>
      <c r="B818" s="40" t="n">
        <v>46094</v>
      </c>
      <c r="C818" s="41" t="n">
        <v>0.3832319084375</v>
      </c>
      <c r="D818" s="41" t="n">
        <v>0.3826211596296296</v>
      </c>
      <c r="E818" s="39">
        <f>(C818-D818)*1440</f>
        <v/>
      </c>
    </row>
    <row r="819">
      <c r="A819" t="n">
        <v>816</v>
      </c>
      <c r="B819" s="40" t="n">
        <v>46094</v>
      </c>
      <c r="C819" s="41" t="n">
        <v>0.3833009412962963</v>
      </c>
      <c r="D819" s="41" t="n">
        <v>0.3832319084375</v>
      </c>
      <c r="E819" s="39">
        <f>(C819-D819)*1440</f>
        <v/>
      </c>
    </row>
    <row r="820">
      <c r="A820" t="n">
        <v>817</v>
      </c>
      <c r="B820" s="40" t="n">
        <v>46094</v>
      </c>
      <c r="C820" s="41" t="n">
        <v>0.3836726503472222</v>
      </c>
      <c r="D820" s="41" t="n">
        <v>0.3833009412962963</v>
      </c>
      <c r="E820" s="39">
        <f>(C820-D820)*1440</f>
        <v/>
      </c>
    </row>
    <row r="821">
      <c r="A821" t="n">
        <v>818</v>
      </c>
      <c r="B821" s="40" t="n">
        <v>46094</v>
      </c>
      <c r="C821" s="41" t="n">
        <v>0.3837237958796296</v>
      </c>
      <c r="D821" s="41" t="n">
        <v>0.3836726503472222</v>
      </c>
      <c r="E821" s="39">
        <f>(C821-D821)*1440</f>
        <v/>
      </c>
    </row>
    <row r="822">
      <c r="A822" t="n">
        <v>819</v>
      </c>
      <c r="B822" s="40" t="n">
        <v>46094</v>
      </c>
      <c r="C822" s="41" t="n">
        <v>0.383815633275463</v>
      </c>
      <c r="D822" s="41" t="n">
        <v>0.3837237958796296</v>
      </c>
      <c r="E822" s="39">
        <f>(C822-D822)*1440</f>
        <v/>
      </c>
    </row>
    <row r="823">
      <c r="A823" t="n">
        <v>820</v>
      </c>
      <c r="B823" s="40" t="n">
        <v>46094</v>
      </c>
      <c r="C823" s="41" t="n">
        <v>0.3850147761574074</v>
      </c>
      <c r="D823" s="41" t="n">
        <v>0.383815633275463</v>
      </c>
      <c r="E823" s="39">
        <f>(C823-D823)*1440</f>
        <v/>
      </c>
    </row>
    <row r="824">
      <c r="A824" t="n">
        <v>821</v>
      </c>
      <c r="B824" s="40" t="n">
        <v>46094</v>
      </c>
      <c r="C824" s="41" t="n">
        <v>0.386660445150463</v>
      </c>
      <c r="D824" s="41" t="n">
        <v>0.3850147761574074</v>
      </c>
      <c r="E824" s="39">
        <f>(C824-D824)*1440</f>
        <v/>
      </c>
    </row>
    <row r="825">
      <c r="A825" t="n">
        <v>822</v>
      </c>
      <c r="B825" s="40" t="n">
        <v>46094</v>
      </c>
      <c r="C825" s="41" t="n">
        <v>0.3867313415393518</v>
      </c>
      <c r="D825" s="41" t="n">
        <v>0.386660445150463</v>
      </c>
      <c r="E825" s="39">
        <f>(C825-D825)*1440</f>
        <v/>
      </c>
    </row>
    <row r="826">
      <c r="A826" t="n">
        <v>823</v>
      </c>
      <c r="B826" s="40" t="n">
        <v>46094</v>
      </c>
      <c r="C826" s="41" t="n">
        <v>0.3875249317013889</v>
      </c>
      <c r="D826" s="41" t="n">
        <v>0.3867313415393518</v>
      </c>
      <c r="E826" s="39">
        <f>(C826-D826)*1440</f>
        <v/>
      </c>
    </row>
    <row r="827">
      <c r="A827" t="n">
        <v>824</v>
      </c>
      <c r="B827" s="40" t="n">
        <v>46094</v>
      </c>
      <c r="C827" s="41" t="n">
        <v>0.3890309105208333</v>
      </c>
      <c r="D827" s="41" t="n">
        <v>0.3875249317013889</v>
      </c>
      <c r="E827" s="39">
        <f>(C827-D827)*1440</f>
        <v/>
      </c>
    </row>
    <row r="828">
      <c r="A828" t="n">
        <v>825</v>
      </c>
      <c r="B828" s="40" t="n">
        <v>46094</v>
      </c>
      <c r="C828" s="41" t="n">
        <v>0.3890337786805556</v>
      </c>
      <c r="D828" s="41" t="n">
        <v>0.3890309105208333</v>
      </c>
      <c r="E828" s="39">
        <f>(C828-D828)*1440</f>
        <v/>
      </c>
    </row>
    <row r="829">
      <c r="A829" t="n">
        <v>826</v>
      </c>
      <c r="B829" s="40" t="n">
        <v>46094</v>
      </c>
      <c r="C829" s="41" t="n">
        <v>0.3891235763425926</v>
      </c>
      <c r="D829" s="41" t="n">
        <v>0.3890337786805556</v>
      </c>
      <c r="E829" s="39">
        <f>(C829-D829)*1440</f>
        <v/>
      </c>
    </row>
    <row r="830">
      <c r="A830" t="n">
        <v>827</v>
      </c>
      <c r="B830" s="40" t="n">
        <v>46094</v>
      </c>
      <c r="C830" s="41" t="n">
        <v>0.3894363562962964</v>
      </c>
      <c r="D830" s="41" t="n">
        <v>0.3891235763425926</v>
      </c>
      <c r="E830" s="39">
        <f>(C830-D830)*1440</f>
        <v/>
      </c>
    </row>
    <row r="831">
      <c r="A831" t="n">
        <v>828</v>
      </c>
      <c r="B831" s="40" t="n">
        <v>46094</v>
      </c>
      <c r="C831" s="41" t="n">
        <v>0.3898329760069445</v>
      </c>
      <c r="D831" s="41" t="n">
        <v>0.3894363562962964</v>
      </c>
      <c r="E831" s="39">
        <f>(C831-D831)*1440</f>
        <v/>
      </c>
    </row>
    <row r="832">
      <c r="A832" t="n">
        <v>829</v>
      </c>
      <c r="B832" s="40" t="n">
        <v>46094</v>
      </c>
      <c r="C832" s="41" t="n">
        <v>0.3903259963657407</v>
      </c>
      <c r="D832" s="41" t="n">
        <v>0.3898329760069445</v>
      </c>
      <c r="E832" s="39">
        <f>(C832-D832)*1440</f>
        <v/>
      </c>
    </row>
    <row r="833">
      <c r="A833" t="n">
        <v>830</v>
      </c>
      <c r="B833" s="40" t="n">
        <v>46094</v>
      </c>
      <c r="C833" s="41" t="n">
        <v>0.3908281672569445</v>
      </c>
      <c r="D833" s="41" t="n">
        <v>0.3903259963657407</v>
      </c>
      <c r="E833" s="39">
        <f>(C833-D833)*1440</f>
        <v/>
      </c>
    </row>
    <row r="834">
      <c r="A834" t="n">
        <v>831</v>
      </c>
      <c r="B834" s="40" t="n">
        <v>46094</v>
      </c>
      <c r="C834" s="41" t="n">
        <v>0.3915958143287037</v>
      </c>
      <c r="D834" s="41" t="n">
        <v>0.3908281672569445</v>
      </c>
      <c r="E834" s="39">
        <f>(C834-D834)*1440</f>
        <v/>
      </c>
    </row>
    <row r="835">
      <c r="A835" t="n">
        <v>832</v>
      </c>
      <c r="B835" s="40" t="n">
        <v>46094</v>
      </c>
      <c r="C835" s="41" t="n">
        <v>0.3918051656828703</v>
      </c>
      <c r="D835" s="41" t="n">
        <v>0.3915958143287037</v>
      </c>
      <c r="E835" s="39">
        <f>(C835-D835)*1440</f>
        <v/>
      </c>
    </row>
    <row r="836">
      <c r="A836" t="n">
        <v>833</v>
      </c>
      <c r="B836" s="40" t="n">
        <v>46094</v>
      </c>
      <c r="C836" s="41" t="n">
        <v>0.3921294599768518</v>
      </c>
      <c r="D836" s="41" t="n">
        <v>0.3918051656828703</v>
      </c>
      <c r="E836" s="39">
        <f>(C836-D836)*1440</f>
        <v/>
      </c>
    </row>
    <row r="837">
      <c r="A837" t="n">
        <v>834</v>
      </c>
      <c r="B837" s="40" t="n">
        <v>46094</v>
      </c>
      <c r="C837" s="41" t="n">
        <v>0.3923770295486111</v>
      </c>
      <c r="D837" s="41" t="n">
        <v>0.3921294599768518</v>
      </c>
      <c r="E837" s="39">
        <f>(C837-D837)*1440</f>
        <v/>
      </c>
    </row>
    <row r="838">
      <c r="A838" t="n">
        <v>835</v>
      </c>
      <c r="B838" s="40" t="n">
        <v>46094</v>
      </c>
      <c r="C838" s="41" t="n">
        <v>0.393048801712963</v>
      </c>
      <c r="D838" s="41" t="n">
        <v>0.3923770295486111</v>
      </c>
      <c r="E838" s="39">
        <f>(C838-D838)*1440</f>
        <v/>
      </c>
    </row>
    <row r="839">
      <c r="A839" t="n">
        <v>836</v>
      </c>
      <c r="B839" s="40" t="n">
        <v>46094</v>
      </c>
      <c r="C839" s="41" t="n">
        <v>0.3934162385879629</v>
      </c>
      <c r="D839" s="41" t="n">
        <v>0.393048801712963</v>
      </c>
      <c r="E839" s="39">
        <f>(C839-D839)*1440</f>
        <v/>
      </c>
    </row>
    <row r="840">
      <c r="A840" t="n">
        <v>837</v>
      </c>
      <c r="B840" s="40" t="n">
        <v>46094</v>
      </c>
      <c r="C840" s="41" t="n">
        <v>0.3934609569791666</v>
      </c>
      <c r="D840" s="41" t="n">
        <v>0.3934162385879629</v>
      </c>
      <c r="E840" s="39">
        <f>(C840-D840)*1440</f>
        <v/>
      </c>
    </row>
    <row r="841">
      <c r="A841" t="n">
        <v>838</v>
      </c>
      <c r="B841" s="40" t="n">
        <v>46094</v>
      </c>
      <c r="C841" s="41" t="n">
        <v>0.3943600964699074</v>
      </c>
      <c r="D841" s="41" t="n">
        <v>0.3934609569791666</v>
      </c>
      <c r="E841" s="39">
        <f>(C841-D841)*1440</f>
        <v/>
      </c>
    </row>
    <row r="842">
      <c r="A842" t="n">
        <v>839</v>
      </c>
      <c r="B842" s="40" t="n">
        <v>46094</v>
      </c>
      <c r="C842" s="41" t="n">
        <v>0.396246093287037</v>
      </c>
      <c r="D842" s="41" t="n">
        <v>0.3943600964699074</v>
      </c>
      <c r="E842" s="39">
        <f>(C842-D842)*1440</f>
        <v/>
      </c>
    </row>
    <row r="843">
      <c r="A843" t="n">
        <v>840</v>
      </c>
      <c r="B843" s="40" t="n">
        <v>46094</v>
      </c>
      <c r="C843" s="41" t="n">
        <v>0.3964071780671296</v>
      </c>
      <c r="D843" s="41" t="n">
        <v>0.396246093287037</v>
      </c>
      <c r="E843" s="39">
        <f>(C843-D843)*1440</f>
        <v/>
      </c>
    </row>
    <row r="844">
      <c r="A844" t="n">
        <v>841</v>
      </c>
      <c r="B844" s="40" t="n">
        <v>46094</v>
      </c>
      <c r="C844" s="41" t="n">
        <v>0.3964520895486111</v>
      </c>
      <c r="D844" s="41" t="n">
        <v>0.3964071780671296</v>
      </c>
      <c r="E844" s="39">
        <f>(C844-D844)*1440</f>
        <v/>
      </c>
    </row>
    <row r="845">
      <c r="A845" t="n">
        <v>842</v>
      </c>
      <c r="B845" s="40" t="n">
        <v>46094</v>
      </c>
      <c r="C845" s="41" t="n">
        <v>0.3968090393518519</v>
      </c>
      <c r="D845" s="41" t="n">
        <v>0.3964520895486111</v>
      </c>
      <c r="E845" s="39">
        <f>(C845-D845)*1440</f>
        <v/>
      </c>
    </row>
    <row r="846">
      <c r="A846" t="n">
        <v>843</v>
      </c>
      <c r="B846" s="40" t="n">
        <v>46094</v>
      </c>
      <c r="C846" s="41" t="n">
        <v>0.3973170261805555</v>
      </c>
      <c r="D846" s="41" t="n">
        <v>0.3968090393518519</v>
      </c>
      <c r="E846" s="39">
        <f>(C846-D846)*1440</f>
        <v/>
      </c>
    </row>
    <row r="847">
      <c r="A847" t="n">
        <v>844</v>
      </c>
      <c r="B847" s="40" t="n">
        <v>46094</v>
      </c>
      <c r="C847" s="41" t="n">
        <v>0.3978493718981481</v>
      </c>
      <c r="D847" s="41" t="n">
        <v>0.3973170261805555</v>
      </c>
      <c r="E847" s="39">
        <f>(C847-D847)*1440</f>
        <v/>
      </c>
    </row>
    <row r="848">
      <c r="A848" t="n">
        <v>845</v>
      </c>
      <c r="B848" s="40" t="n">
        <v>46094</v>
      </c>
      <c r="C848" s="41" t="n">
        <v>0.3982688745370371</v>
      </c>
      <c r="D848" s="41" t="n">
        <v>0.3978493718981481</v>
      </c>
      <c r="E848" s="39">
        <f>(C848-D848)*1440</f>
        <v/>
      </c>
    </row>
    <row r="849">
      <c r="A849" t="n">
        <v>846</v>
      </c>
      <c r="B849" s="40" t="n">
        <v>46094</v>
      </c>
      <c r="C849" s="41" t="n">
        <v>0.3982856925925926</v>
      </c>
      <c r="D849" s="41" t="n">
        <v>0.3982688745370371</v>
      </c>
      <c r="E849" s="39">
        <f>(C849-D849)*1440</f>
        <v/>
      </c>
    </row>
    <row r="850">
      <c r="A850" t="n">
        <v>847</v>
      </c>
      <c r="B850" s="40" t="n">
        <v>46094</v>
      </c>
      <c r="C850" s="41" t="n">
        <v>0.3983744441550926</v>
      </c>
      <c r="D850" s="41" t="n">
        <v>0.3982856925925926</v>
      </c>
      <c r="E850" s="39">
        <f>(C850-D850)*1440</f>
        <v/>
      </c>
    </row>
    <row r="851">
      <c r="A851" t="n">
        <v>848</v>
      </c>
      <c r="B851" s="40" t="n">
        <v>46094</v>
      </c>
      <c r="C851" s="41" t="n">
        <v>0.3989228133796296</v>
      </c>
      <c r="D851" s="41" t="n">
        <v>0.3983744441550926</v>
      </c>
      <c r="E851" s="39">
        <f>(C851-D851)*1440</f>
        <v/>
      </c>
    </row>
    <row r="852">
      <c r="A852" t="n">
        <v>849</v>
      </c>
      <c r="B852" s="40" t="n">
        <v>46094</v>
      </c>
      <c r="C852" s="41" t="n">
        <v>0.3992767887847222</v>
      </c>
      <c r="D852" s="41" t="n">
        <v>0.3989228133796296</v>
      </c>
      <c r="E852" s="39">
        <f>(C852-D852)*1440</f>
        <v/>
      </c>
    </row>
    <row r="853">
      <c r="A853" t="n">
        <v>850</v>
      </c>
      <c r="B853" s="40" t="n">
        <v>46094</v>
      </c>
      <c r="C853" s="41" t="n">
        <v>0.4009902421064815</v>
      </c>
      <c r="D853" s="41" t="n">
        <v>0.3992767887847222</v>
      </c>
      <c r="E853" s="39">
        <f>(C853-D853)*1440</f>
        <v/>
      </c>
    </row>
    <row r="854">
      <c r="A854" t="n">
        <v>851</v>
      </c>
      <c r="B854" s="40" t="n">
        <v>46094</v>
      </c>
      <c r="C854" s="41" t="n">
        <v>0.4017599134490741</v>
      </c>
      <c r="D854" s="41" t="n">
        <v>0.4009902421064815</v>
      </c>
      <c r="E854" s="39">
        <f>(C854-D854)*1440</f>
        <v/>
      </c>
    </row>
    <row r="855">
      <c r="A855" t="n">
        <v>852</v>
      </c>
      <c r="B855" s="40" t="n">
        <v>46094</v>
      </c>
      <c r="C855" s="41" t="n">
        <v>0.4018155192939815</v>
      </c>
      <c r="D855" s="41" t="n">
        <v>0.4017599134490741</v>
      </c>
      <c r="E855" s="39">
        <f>(C855-D855)*1440</f>
        <v/>
      </c>
    </row>
    <row r="856">
      <c r="A856" t="n">
        <v>853</v>
      </c>
      <c r="B856" s="40" t="n">
        <v>46094</v>
      </c>
      <c r="C856" s="41" t="n">
        <v>0.4027434742013889</v>
      </c>
      <c r="D856" s="41" t="n">
        <v>0.4018155192939815</v>
      </c>
      <c r="E856" s="39">
        <f>(C856-D856)*1440</f>
        <v/>
      </c>
    </row>
    <row r="857">
      <c r="A857" t="n">
        <v>854</v>
      </c>
      <c r="B857" s="40" t="n">
        <v>46094</v>
      </c>
      <c r="C857" s="41" t="n">
        <v>0.4028643931597223</v>
      </c>
      <c r="D857" s="41" t="n">
        <v>0.4027434742013889</v>
      </c>
      <c r="E857" s="39">
        <f>(C857-D857)*1440</f>
        <v/>
      </c>
    </row>
    <row r="858">
      <c r="A858" t="n">
        <v>855</v>
      </c>
      <c r="B858" s="40" t="n">
        <v>46094</v>
      </c>
      <c r="C858" s="41" t="n">
        <v>0.4032455448263889</v>
      </c>
      <c r="D858" s="41" t="n">
        <v>0.4028643931597223</v>
      </c>
      <c r="E858" s="39">
        <f>(C858-D858)*1440</f>
        <v/>
      </c>
    </row>
    <row r="859">
      <c r="A859" t="n">
        <v>856</v>
      </c>
      <c r="B859" s="40" t="n">
        <v>46094</v>
      </c>
      <c r="C859" s="41" t="n">
        <v>0.4039126125115741</v>
      </c>
      <c r="D859" s="41" t="n">
        <v>0.4032455448263889</v>
      </c>
      <c r="E859" s="39">
        <f>(C859-D859)*1440</f>
        <v/>
      </c>
    </row>
    <row r="860">
      <c r="A860" t="n">
        <v>857</v>
      </c>
      <c r="B860" s="40" t="n">
        <v>46094</v>
      </c>
      <c r="C860" s="41" t="n">
        <v>0.4048819331597222</v>
      </c>
      <c r="D860" s="41" t="n">
        <v>0.4039126125115741</v>
      </c>
      <c r="E860" s="39">
        <f>(C860-D860)*1440</f>
        <v/>
      </c>
    </row>
    <row r="861">
      <c r="A861" t="n">
        <v>858</v>
      </c>
      <c r="B861" s="40" t="n">
        <v>46094</v>
      </c>
      <c r="C861" s="41" t="n">
        <v>0.4052092273958334</v>
      </c>
      <c r="D861" s="41" t="n">
        <v>0.4048819331597222</v>
      </c>
      <c r="E861" s="39">
        <f>(C861-D861)*1440</f>
        <v/>
      </c>
    </row>
    <row r="862">
      <c r="A862" t="n">
        <v>859</v>
      </c>
      <c r="B862" s="40" t="n">
        <v>46094</v>
      </c>
      <c r="C862" s="41" t="n">
        <v>0.4064029602199074</v>
      </c>
      <c r="D862" s="41" t="n">
        <v>0.4052092273958334</v>
      </c>
      <c r="E862" s="39">
        <f>(C862-D862)*1440</f>
        <v/>
      </c>
    </row>
    <row r="863">
      <c r="A863" t="n">
        <v>860</v>
      </c>
      <c r="B863" s="40" t="n">
        <v>46094</v>
      </c>
      <c r="C863" s="41" t="n">
        <v>0.40706447375</v>
      </c>
      <c r="D863" s="41" t="n">
        <v>0.4064029602199074</v>
      </c>
      <c r="E863" s="39">
        <f>(C863-D863)*1440</f>
        <v/>
      </c>
    </row>
    <row r="864">
      <c r="A864" t="n">
        <v>861</v>
      </c>
      <c r="B864" s="40" t="n">
        <v>46094</v>
      </c>
      <c r="C864" s="41" t="n">
        <v>0.4074665155092592</v>
      </c>
      <c r="D864" s="41" t="n">
        <v>0.40706447375</v>
      </c>
      <c r="E864" s="39">
        <f>(C864-D864)*1440</f>
        <v/>
      </c>
    </row>
    <row r="865">
      <c r="A865" t="n">
        <v>862</v>
      </c>
      <c r="B865" s="40" t="n">
        <v>46094</v>
      </c>
      <c r="C865" s="41" t="n">
        <v>0.4075969670370371</v>
      </c>
      <c r="D865" s="41" t="n">
        <v>0.4074665155092592</v>
      </c>
      <c r="E865" s="39">
        <f>(C865-D865)*1440</f>
        <v/>
      </c>
    </row>
    <row r="866">
      <c r="A866" t="n">
        <v>863</v>
      </c>
      <c r="B866" s="40" t="n">
        <v>46094</v>
      </c>
      <c r="C866" s="41" t="n">
        <v>0.4076624112962963</v>
      </c>
      <c r="D866" s="41" t="n">
        <v>0.4075969670370371</v>
      </c>
      <c r="E866" s="39">
        <f>(C866-D866)*1440</f>
        <v/>
      </c>
    </row>
    <row r="867">
      <c r="A867" t="n">
        <v>864</v>
      </c>
      <c r="B867" s="40" t="n">
        <v>46094</v>
      </c>
      <c r="C867" s="41" t="n">
        <v>0.4092566453587963</v>
      </c>
      <c r="D867" s="41" t="n">
        <v>0.4076624112962963</v>
      </c>
      <c r="E867" s="39">
        <f>(C867-D867)*1440</f>
        <v/>
      </c>
    </row>
    <row r="868">
      <c r="A868" t="n">
        <v>865</v>
      </c>
      <c r="B868" s="40" t="n">
        <v>46094</v>
      </c>
      <c r="C868" s="41" t="n">
        <v>0.4098505830902778</v>
      </c>
      <c r="D868" s="41" t="n">
        <v>0.4092566453587963</v>
      </c>
      <c r="E868" s="39">
        <f>(C868-D868)*1440</f>
        <v/>
      </c>
    </row>
    <row r="869">
      <c r="A869" t="n">
        <v>866</v>
      </c>
      <c r="B869" s="40" t="n">
        <v>46094</v>
      </c>
      <c r="C869" s="41" t="n">
        <v>0.4099617053703704</v>
      </c>
      <c r="D869" s="41" t="n">
        <v>0.4098505830902778</v>
      </c>
      <c r="E869" s="39">
        <f>(C869-D869)*1440</f>
        <v/>
      </c>
    </row>
    <row r="870">
      <c r="A870" t="n">
        <v>867</v>
      </c>
      <c r="B870" s="40" t="n">
        <v>46094</v>
      </c>
      <c r="C870" s="41" t="n">
        <v>0.4101091658564815</v>
      </c>
      <c r="D870" s="41" t="n">
        <v>0.4099617053703704</v>
      </c>
      <c r="E870" s="39">
        <f>(C870-D870)*1440</f>
        <v/>
      </c>
    </row>
    <row r="871">
      <c r="A871" t="n">
        <v>868</v>
      </c>
      <c r="B871" s="40" t="n">
        <v>46094</v>
      </c>
      <c r="C871" s="41" t="n">
        <v>0.4102356245486111</v>
      </c>
      <c r="D871" s="41" t="n">
        <v>0.4101091658564815</v>
      </c>
      <c r="E871" s="39">
        <f>(C871-D871)*1440</f>
        <v/>
      </c>
    </row>
    <row r="872">
      <c r="A872" t="n">
        <v>869</v>
      </c>
      <c r="B872" s="40" t="n">
        <v>46094</v>
      </c>
      <c r="C872" s="41" t="n">
        <v>0.410442766087963</v>
      </c>
      <c r="D872" s="41" t="n">
        <v>0.4102356245486111</v>
      </c>
      <c r="E872" s="39">
        <f>(C872-D872)*1440</f>
        <v/>
      </c>
    </row>
    <row r="873">
      <c r="A873" t="n">
        <v>870</v>
      </c>
      <c r="B873" s="40" t="n">
        <v>46094</v>
      </c>
      <c r="C873" s="41" t="n">
        <v>0.411017000625</v>
      </c>
      <c r="D873" s="41" t="n">
        <v>0.410442766087963</v>
      </c>
      <c r="E873" s="39">
        <f>(C873-D873)*1440</f>
        <v/>
      </c>
    </row>
    <row r="874">
      <c r="A874" t="n">
        <v>871</v>
      </c>
      <c r="B874" s="40" t="n">
        <v>46094</v>
      </c>
      <c r="C874" s="41" t="n">
        <v>0.4112461020601852</v>
      </c>
      <c r="D874" s="41" t="n">
        <v>0.411017000625</v>
      </c>
      <c r="E874" s="39">
        <f>(C874-D874)*1440</f>
        <v/>
      </c>
    </row>
    <row r="875">
      <c r="A875" t="n">
        <v>872</v>
      </c>
      <c r="B875" s="40" t="n">
        <v>46094</v>
      </c>
      <c r="C875" s="41" t="n">
        <v>0.4118350237847222</v>
      </c>
      <c r="D875" s="41" t="n">
        <v>0.4112461020601852</v>
      </c>
      <c r="E875" s="39">
        <f>(C875-D875)*1440</f>
        <v/>
      </c>
    </row>
    <row r="876">
      <c r="A876" t="n">
        <v>873</v>
      </c>
      <c r="B876" s="40" t="n">
        <v>46094</v>
      </c>
      <c r="C876" s="41" t="n">
        <v>0.413113012337963</v>
      </c>
      <c r="D876" s="41" t="n">
        <v>0.4118350237847222</v>
      </c>
      <c r="E876" s="39">
        <f>(C876-D876)*1440</f>
        <v/>
      </c>
    </row>
    <row r="877">
      <c r="A877" t="n">
        <v>874</v>
      </c>
      <c r="B877" s="40" t="n">
        <v>46094</v>
      </c>
      <c r="C877" s="41" t="n">
        <v>0.413203255162037</v>
      </c>
      <c r="D877" s="41" t="n">
        <v>0.413113012337963</v>
      </c>
      <c r="E877" s="39">
        <f>(C877-D877)*1440</f>
        <v/>
      </c>
    </row>
    <row r="878">
      <c r="A878" t="n">
        <v>875</v>
      </c>
      <c r="B878" s="40" t="n">
        <v>46094</v>
      </c>
      <c r="C878" s="41" t="n">
        <v>0.4135249823726851</v>
      </c>
      <c r="D878" s="41" t="n">
        <v>0.413203255162037</v>
      </c>
      <c r="E878" s="39">
        <f>(C878-D878)*1440</f>
        <v/>
      </c>
    </row>
    <row r="879">
      <c r="A879" t="n">
        <v>876</v>
      </c>
      <c r="B879" s="40" t="n">
        <v>46094</v>
      </c>
      <c r="C879" s="41" t="n">
        <v>0.4141820064236111</v>
      </c>
      <c r="D879" s="41" t="n">
        <v>0.4135249823726851</v>
      </c>
      <c r="E879" s="39">
        <f>(C879-D879)*1440</f>
        <v/>
      </c>
    </row>
    <row r="880">
      <c r="A880" t="n">
        <v>877</v>
      </c>
      <c r="B880" s="40" t="n">
        <v>46094</v>
      </c>
      <c r="C880" s="41" t="n">
        <v>0.4142145888078704</v>
      </c>
      <c r="D880" s="41" t="n">
        <v>0.4141820064236111</v>
      </c>
      <c r="E880" s="39">
        <f>(C880-D880)*1440</f>
        <v/>
      </c>
    </row>
    <row r="881">
      <c r="A881" t="n">
        <v>878</v>
      </c>
      <c r="B881" s="40" t="n">
        <v>46094</v>
      </c>
      <c r="C881" s="41" t="n">
        <v>0.4142156537384259</v>
      </c>
      <c r="D881" s="41" t="n">
        <v>0.4142145888078704</v>
      </c>
      <c r="E881" s="39">
        <f>(C881-D881)*1440</f>
        <v/>
      </c>
    </row>
    <row r="882">
      <c r="A882" t="n">
        <v>879</v>
      </c>
      <c r="B882" s="40" t="n">
        <v>46094</v>
      </c>
      <c r="C882" s="41" t="n">
        <v>0.4142324151157408</v>
      </c>
      <c r="D882" s="41" t="n">
        <v>0.4142156537384259</v>
      </c>
      <c r="E882" s="39">
        <f>(C882-D882)*1440</f>
        <v/>
      </c>
    </row>
    <row r="883">
      <c r="A883" t="n">
        <v>880</v>
      </c>
      <c r="B883" s="40" t="n">
        <v>46094</v>
      </c>
      <c r="C883" s="41" t="n">
        <v>0.4157606668171296</v>
      </c>
      <c r="D883" s="41" t="n">
        <v>0.4142324151157408</v>
      </c>
      <c r="E883" s="39">
        <f>(C883-D883)*1440</f>
        <v/>
      </c>
    </row>
    <row r="884">
      <c r="A884" t="n">
        <v>881</v>
      </c>
      <c r="B884" s="40" t="n">
        <v>46094</v>
      </c>
      <c r="C884" s="41" t="n">
        <v>0.4158165061921296</v>
      </c>
      <c r="D884" s="41" t="n">
        <v>0.4157606668171296</v>
      </c>
      <c r="E884" s="39">
        <f>(C884-D884)*1440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46" customWidth="1" style="36" min="1" max="1"/>
    <col width="22" customWidth="1" style="36" min="2" max="5"/>
    <col width="8.710000000000001" customWidth="1" style="36" min="6" max="26"/>
  </cols>
  <sheetData>
    <row r="1">
      <c r="A1" s="1" t="inlineStr">
        <is>
          <t>Resumen estadístico y modelos de colas</t>
        </is>
      </c>
    </row>
    <row r="2">
      <c r="A2" s="22" t="inlineStr">
        <is>
          <t>A. Tiempo de servicio (min) - columna L del Registro</t>
        </is>
      </c>
      <c r="B2" s="23" t="n"/>
      <c r="C2" s="23" t="n"/>
      <c r="D2" s="23" t="n"/>
      <c r="E2" s="23" t="n"/>
    </row>
    <row r="3">
      <c r="A3" s="24" t="inlineStr">
        <is>
          <t>Tamaño de muestra (n)</t>
        </is>
      </c>
      <c r="B3" s="15">
        <f>COUNT(Registro!$L$4:$L$1003)</f>
        <v/>
      </c>
    </row>
    <row r="4">
      <c r="A4" s="24" t="inlineStr">
        <is>
          <t>Media (min)</t>
        </is>
      </c>
      <c r="B4" s="19">
        <f>IF($B$3=0,"",AVERAGE(Registro!$L$4:$L$1003))</f>
        <v/>
      </c>
    </row>
    <row r="5">
      <c r="A5" s="24" t="inlineStr">
        <is>
          <t>Mediana (min)</t>
        </is>
      </c>
      <c r="B5" s="19">
        <f>IF($B$3=0,"",MEDIAN(Registro!$L$4:$L$1003))</f>
        <v/>
      </c>
    </row>
    <row r="6">
      <c r="A6" s="24" t="inlineStr">
        <is>
          <t>Desviación estándar (min)</t>
        </is>
      </c>
      <c r="B6" s="19">
        <f>IF($B$3&lt;2,"",STDEV(Registro!$L$4:$L$1003))</f>
        <v/>
      </c>
    </row>
    <row r="7">
      <c r="A7" s="24" t="inlineStr">
        <is>
          <t>Coeficiente de variación</t>
        </is>
      </c>
      <c r="B7" s="19">
        <f>IF(OR(B6="",B4=""),"",IF(B4=0,"",B6/B4))</f>
        <v/>
      </c>
    </row>
    <row r="8">
      <c r="A8" s="24" t="inlineStr">
        <is>
          <t>Primer cuartil</t>
        </is>
      </c>
      <c r="B8" s="19">
        <f>IF($B$3=0,"",QUARTILE(Registro!$L$4:$L$1003,1))</f>
        <v/>
      </c>
    </row>
    <row r="9">
      <c r="A9" s="24" t="inlineStr">
        <is>
          <t>Tercer cuartil</t>
        </is>
      </c>
      <c r="B9" s="19">
        <f>IF($B$3=0,"",QUARTILE(Registro!$L$4:$L$1003,3))</f>
        <v/>
      </c>
    </row>
    <row r="10">
      <c r="A10" s="24" t="inlineStr">
        <is>
          <t>Percentil 90</t>
        </is>
      </c>
      <c r="B10" s="19">
        <f>IF($B$3=0,"",PERCENTILE(Registro!$L$4:$L$1003,0.9))</f>
        <v/>
      </c>
    </row>
    <row r="11">
      <c r="A11" s="24" t="inlineStr">
        <is>
          <t>Mínimo</t>
        </is>
      </c>
      <c r="B11" s="19">
        <f>IF($B$3=0,"",MIN(Registro!$L$4:$L$1003))</f>
        <v/>
      </c>
    </row>
    <row r="12">
      <c r="A12" s="24" t="inlineStr">
        <is>
          <t>Máximo</t>
        </is>
      </c>
      <c r="B12" s="19">
        <f>IF($B$3=0,"",MAX(Registro!$L$4:$L$1003))</f>
        <v/>
      </c>
    </row>
    <row r="13">
      <c r="A13" s="24" t="inlineStr">
        <is>
          <t>Asimetría</t>
        </is>
      </c>
      <c r="B13" s="19">
        <f>IF($B$3&lt;3,"",SKEW(Registro!$L$4:$L$1003))</f>
        <v/>
      </c>
    </row>
    <row r="14">
      <c r="A14" s="24" t="inlineStr">
        <is>
          <t>Curtosis (exceso)</t>
        </is>
      </c>
      <c r="B14" s="19">
        <f>IF($B$3&lt;4,"",KURT(Registro!$L$4:$L$1003))</f>
        <v/>
      </c>
    </row>
    <row r="15">
      <c r="A15" s="24" t="inlineStr">
        <is>
          <t>Tasa de servicio μ (usuarios/h) = 60 / media</t>
        </is>
      </c>
      <c r="B15" s="19">
        <f>IF(B4="","",IF(B4=0,"",60/B4))</f>
        <v/>
      </c>
    </row>
    <row r="17">
      <c r="A17" s="22" t="inlineStr">
        <is>
          <t>B. Espera en fila (min) - turno a llamado, columna K del Registro</t>
        </is>
      </c>
      <c r="B17" s="23" t="n"/>
      <c r="C17" s="23" t="n"/>
      <c r="D17" s="23" t="n"/>
      <c r="E17" s="23" t="n"/>
    </row>
    <row r="18">
      <c r="A18" s="24" t="inlineStr">
        <is>
          <t>Tamaño de muestra (n)</t>
        </is>
      </c>
      <c r="B18" s="15">
        <f>COUNT(Registro!$K$4:$K$1003)</f>
        <v/>
      </c>
    </row>
    <row r="19">
      <c r="A19" s="24" t="inlineStr">
        <is>
          <t>Media (min)</t>
        </is>
      </c>
      <c r="B19" s="19">
        <f>IF($B$18=0,"",AVERAGE(Registro!$K$4:$K$1003))</f>
        <v/>
      </c>
    </row>
    <row r="20" ht="15.75" customHeight="1" s="36">
      <c r="A20" s="24" t="inlineStr">
        <is>
          <t>Mediana (min)</t>
        </is>
      </c>
      <c r="B20" s="19">
        <f>IF($B$18=0,"",MEDIAN(Registro!$K$4:$K$1003))</f>
        <v/>
      </c>
    </row>
    <row r="21" ht="15.75" customHeight="1" s="36">
      <c r="A21" s="24" t="inlineStr">
        <is>
          <t>Percentil 90 (min)</t>
        </is>
      </c>
      <c r="B21" s="19">
        <f>IF($B$18=0,"",PERCENTILE(Registro!$K$4:$K$1003,0.9))</f>
        <v/>
      </c>
    </row>
    <row r="22" ht="15.75" customHeight="1" s="36">
      <c r="A22" s="24" t="inlineStr">
        <is>
          <t>Percentil 95 (min)</t>
        </is>
      </c>
      <c r="B22" s="19">
        <f>IF($B$18=0,"",PERCENTILE(Registro!$K$4:$K$1003,0.95))</f>
        <v/>
      </c>
    </row>
    <row r="23" ht="15.75" customHeight="1" s="36">
      <c r="A23" s="24" t="inlineStr">
        <is>
          <t>Máximo (min)</t>
        </is>
      </c>
      <c r="B23" s="19">
        <f>IF($B$18=0,"",MAX(Registro!$K$4:$K$1003))</f>
        <v/>
      </c>
    </row>
    <row r="24" ht="15.75" customHeight="1" s="36">
      <c r="A24" s="24" t="inlineStr">
        <is>
          <t>Umbral de espera (min)</t>
        </is>
      </c>
      <c r="B24" s="14" t="n">
        <v>15</v>
      </c>
      <c r="C24" s="2" t="inlineStr">
        <is>
          <t>Valor ajustable (supuesto de trabajo).</t>
        </is>
      </c>
    </row>
    <row r="25" ht="15.75" customHeight="1" s="36">
      <c r="A25" s="24" t="inlineStr">
        <is>
          <t>% de usuarios que esperan más del umbral</t>
        </is>
      </c>
      <c r="B25" s="29">
        <f>IF($B$18=0,"",COUNTIF(Registro!$K$4:$K$1003,"&gt;"&amp;$B$24)/$B$18)</f>
        <v/>
      </c>
    </row>
    <row r="26" ht="15.75" customHeight="1" s="36"/>
    <row r="27" ht="15.75" customHeight="1" s="36">
      <c r="A27" s="22" t="inlineStr">
        <is>
          <t>C. Medidas de desempeño según el modelo (un escenario a la vez)</t>
        </is>
      </c>
      <c r="B27" s="23" t="n"/>
      <c r="C27" s="23" t="n"/>
      <c r="D27" s="23" t="n"/>
      <c r="E27" s="23" t="n"/>
    </row>
    <row r="28" ht="15.75" customHeight="1" s="36">
      <c r="A28" s="2" t="inlineStr">
        <is>
          <t>Escriba λ y s del escenario. μ, σ y la media salen de la sección A. Si ρ ≥ 1 no hay estado estable y los modelos no se calculan.</t>
        </is>
      </c>
    </row>
    <row r="29" ht="15.75" customHeight="1" s="36">
      <c r="A29" s="24" t="inlineStr">
        <is>
          <t>λ del sistema (usuarios/h)</t>
        </is>
      </c>
      <c r="B29" s="30" t="n">
        <v>67.40000000000001</v>
      </c>
    </row>
    <row r="30" ht="15.75" customHeight="1" s="36">
      <c r="A30" s="24" t="inlineStr">
        <is>
          <t>Módulos habilitados (s), de 1 a 12</t>
        </is>
      </c>
      <c r="B30" s="16" t="n">
        <v>4</v>
      </c>
    </row>
    <row r="31" ht="15.75" customHeight="1" s="36">
      <c r="A31" s="24" t="inlineStr">
        <is>
          <t>μ por módulo (usuarios/h)</t>
        </is>
      </c>
      <c r="B31" s="19">
        <f>B15</f>
        <v/>
      </c>
    </row>
    <row r="32" ht="15.75" customHeight="1" s="36">
      <c r="A32" s="24" t="inlineStr">
        <is>
          <t>σ del servicio (min)</t>
        </is>
      </c>
      <c r="B32" s="19">
        <f>B6</f>
        <v/>
      </c>
    </row>
    <row r="33" ht="15.75" customHeight="1" s="36">
      <c r="A33" s="24" t="inlineStr">
        <is>
          <t>Media del servicio (min)</t>
        </is>
      </c>
      <c r="B33" s="19">
        <f>B4</f>
        <v/>
      </c>
    </row>
    <row r="34" ht="15.75" customHeight="1" s="36">
      <c r="A34" s="24" t="inlineStr">
        <is>
          <t>ρ = λ/(s·μ)</t>
        </is>
      </c>
      <c r="B34" s="31">
        <f>IF(AND(ISNUMBER(B29),ISNUMBER(B30),ISNUMBER(B31)),IF(B30*B31=0,"",B29/(B30*B31)),"")</f>
        <v/>
      </c>
    </row>
    <row r="35" ht="15.75" customHeight="1" s="36">
      <c r="A35" s="24" t="inlineStr">
        <is>
          <t>Estado</t>
        </is>
      </c>
      <c r="B35" s="32">
        <f>IF(ISNUMBER(B34),IF(B34&gt;=1,"Inestable (ρ ≥ 1)","Estable"),"")</f>
        <v/>
      </c>
    </row>
    <row r="36" ht="15.75" customHeight="1" s="36">
      <c r="A36" s="24" t="inlineStr">
        <is>
          <t>Cs² = (σ / media)²</t>
        </is>
      </c>
      <c r="B36" s="31">
        <f>IF(AND(ISNUMBER(B32),ISNUMBER(B33)),IF(B33&lt;&gt;0,(B32/B33)^2,""),"")</f>
        <v/>
      </c>
    </row>
    <row r="37" ht="15.75" customHeight="1" s="36">
      <c r="A37" s="24" t="inlineStr">
        <is>
          <t>a = λ/μ (carga ofrecida)</t>
        </is>
      </c>
      <c r="B37" s="31">
        <f>IF(AND(ISNUMBER(B29),ISNUMBER(B31)),IF(B31=0,"",B29/B31),"")</f>
        <v/>
      </c>
    </row>
    <row r="38" ht="15.75" customHeight="1" s="36"/>
    <row r="39" ht="31.5" customHeight="1" s="36">
      <c r="A39" s="6" t="inlineStr">
        <is>
          <t>Indicador</t>
        </is>
      </c>
      <c r="B39" s="6" t="inlineStr">
        <is>
          <t>M/M/1 (filas independientes)</t>
        </is>
      </c>
      <c r="C39" s="6" t="inlineStr">
        <is>
          <t>M/G/1 (filas independientes)</t>
        </is>
      </c>
      <c r="D39" s="6" t="inlineStr">
        <is>
          <t>M/M/s (fila única)</t>
        </is>
      </c>
      <c r="E39" s="6" t="inlineStr">
        <is>
          <t>M/M/s corregido (Allen-Cunneen)</t>
        </is>
      </c>
    </row>
    <row r="40" ht="15.75" customHeight="1" s="36">
      <c r="A40" s="24" t="inlineStr">
        <is>
          <t>λ de la cola (usuarios/h)</t>
        </is>
      </c>
      <c r="B40" s="33">
        <f>IF(ISNUMBER($B$34),IF($B$34&lt;1,$B$29/$B$30,""),"")</f>
        <v/>
      </c>
      <c r="C40" s="33">
        <f>IF(AND(ISNUMBER($B$34),ISNUMBER($B$36)),IF($B$34&lt;1,$B$29/$B$30,""),"")</f>
        <v/>
      </c>
      <c r="D40" s="33">
        <f>IF(ISNUMBER($B$34),IF($B$34&lt;1,$B$29,""),"")</f>
        <v/>
      </c>
      <c r="E40" s="33">
        <f>IF(ISNUMBER($B$34),IF($B$34&lt;1,$B$29,""),"")</f>
        <v/>
      </c>
    </row>
    <row r="41" ht="15.75" customHeight="1" s="36">
      <c r="A41" s="24" t="inlineStr">
        <is>
          <t>Factor de utilización ρ</t>
        </is>
      </c>
      <c r="B41" s="27">
        <f>IF(ISNUMBER($B$34),IF($B$34&lt;1,$B$34,""),"")</f>
        <v/>
      </c>
      <c r="C41" s="27">
        <f>IF(ISNUMBER($B$34),IF($B$34&lt;1,$B$34,""),"")</f>
        <v/>
      </c>
      <c r="D41" s="27">
        <f>IF(ISNUMBER($B$34),IF($B$34&lt;1,$B$34,""),"")</f>
        <v/>
      </c>
      <c r="E41" s="27">
        <f>IF(ISNUMBER($B$34),IF($B$34&lt;1,$B$34,""),"")</f>
        <v/>
      </c>
    </row>
    <row r="42" ht="15.75" customHeight="1" s="36">
      <c r="A42" s="24" t="inlineStr">
        <is>
          <t>Probabilidad de sistema vacío P₀</t>
        </is>
      </c>
      <c r="B42" s="27">
        <f>IF(ISNUMBER($B$34),IF($B$34&lt;1,1-$B$34,""),"")</f>
        <v/>
      </c>
      <c r="C42" s="27">
        <f>IF(ISNUMBER($B$34),IF($B$34&lt;1,1-$B$34,""),"")</f>
        <v/>
      </c>
      <c r="D42" s="27">
        <f>IF(ISNUMBER($B$34),IF($B$34&lt;1,1/(SUM($B$51:$B$62)+$B$37^$B$30/(FACT($B$30)*(1-$B$34))),""),"")</f>
        <v/>
      </c>
      <c r="E42" s="27">
        <f>IF(ISNUMBER(D42),D42,"")</f>
        <v/>
      </c>
    </row>
    <row r="43" ht="15.75" customHeight="1" s="36">
      <c r="A43" s="24" t="inlineStr">
        <is>
          <t>Lq: usuarios en cola (total sede)</t>
        </is>
      </c>
      <c r="B43" s="33">
        <f>IF(ISNUMBER($B$34),IF($B$34&lt;1,$B$30*$B$34^2/(1-$B$34),""),"")</f>
        <v/>
      </c>
      <c r="C43" s="33">
        <f>IF(AND(ISNUMBER($B$34),ISNUMBER($B$36)),IF($B$34&lt;1,$B$30*(($B$29/$B$30)^2*($B$32/60)^2+$B$34^2)/(2*(1-$B$34)),""),"")</f>
        <v/>
      </c>
      <c r="D43" s="33">
        <f>IF(ISNUMBER($B$34),IF($B$34&lt;1,D42*$B$37^$B$30*$B$34/(FACT($B$30)*(1-$B$34)^2),""),"")</f>
        <v/>
      </c>
      <c r="E43" s="33">
        <f>IF(ISNUMBER(E45),E45*$B$29/60,"")</f>
        <v/>
      </c>
    </row>
    <row r="44" ht="15.75" customHeight="1" s="36">
      <c r="A44" s="24" t="inlineStr">
        <is>
          <t>L: usuarios en el sistema (total sede)</t>
        </is>
      </c>
      <c r="B44" s="33">
        <f>IF(ISNUMBER(B43),B43+$B$37,"")</f>
        <v/>
      </c>
      <c r="C44" s="33">
        <f>IF(ISNUMBER(C43),C43+$B$37,"")</f>
        <v/>
      </c>
      <c r="D44" s="33">
        <f>IF(ISNUMBER(D43),D43+$B$37,"")</f>
        <v/>
      </c>
      <c r="E44" s="33">
        <f>IF(ISNUMBER(E43),E43+$B$37,"")</f>
        <v/>
      </c>
    </row>
    <row r="45" ht="15.75" customHeight="1" s="36">
      <c r="A45" s="24" t="inlineStr">
        <is>
          <t>Wq: espera en cola (min)</t>
        </is>
      </c>
      <c r="B45" s="33">
        <f>IF(ISNUMBER($B$34),IF($B$34&lt;1,60*$B$34/($B$31-$B$29/$B$30),""),"")</f>
        <v/>
      </c>
      <c r="C45" s="33">
        <f>IF(ISNUMBER(C43),60*C43/$B$29,"")</f>
        <v/>
      </c>
      <c r="D45" s="33">
        <f>IF(ISNUMBER(D43),60*D43/$B$29,"")</f>
        <v/>
      </c>
      <c r="E45" s="33">
        <f>IF(AND(ISNUMBER(D45),ISNUMBER($B$36)),D45*(1+$B$36)/2,"")</f>
        <v/>
      </c>
    </row>
    <row r="46" ht="15.75" customHeight="1" s="36">
      <c r="A46" s="24" t="inlineStr">
        <is>
          <t>W: tiempo en el sistema (min)</t>
        </is>
      </c>
      <c r="B46" s="33">
        <f>IF(ISNUMBER(B45),B45+60/$B$31,"")</f>
        <v/>
      </c>
      <c r="C46" s="33">
        <f>IF(ISNUMBER(C45),C45+60/$B$31,"")</f>
        <v/>
      </c>
      <c r="D46" s="33">
        <f>IF(ISNUMBER(D45),D45+60/$B$31,"")</f>
        <v/>
      </c>
      <c r="E46" s="33">
        <f>IF(ISNUMBER(E45),E45+60/$B$31,"")</f>
        <v/>
      </c>
    </row>
    <row r="47" ht="15.75" customHeight="1" s="36">
      <c r="A47" s="24" t="inlineStr">
        <is>
          <t>Pw: probabilidad de esperar</t>
        </is>
      </c>
      <c r="B47" s="27">
        <f>IF(ISNUMBER($B$34),IF($B$34&lt;1,$B$34,""),"")</f>
        <v/>
      </c>
      <c r="C47" s="27">
        <f>IF(ISNUMBER($B$34),IF($B$34&lt;1,$B$34,""),"")</f>
        <v/>
      </c>
      <c r="D47" s="27">
        <f>IF(ISNUMBER($B$34),IF($B$34&lt;1,D42*$B$37^$B$30/(FACT($B$30)*(1-$B$34)),""),"")</f>
        <v/>
      </c>
      <c r="E47" s="27" t="inlineStr">
        <is>
          <t>—</t>
        </is>
      </c>
    </row>
    <row r="48" ht="15.75" customHeight="1" s="36">
      <c r="A48" s="2" t="inlineStr">
        <is>
          <t>Expresiones: las del marco teórico de la monografía (M/M/1, Erlang C para M/M/s, Pollaczek-Khinchine para M/G/1 y Allen-Cunneen).</t>
        </is>
      </c>
    </row>
    <row r="49" ht="15.75" customHeight="1" s="36">
      <c r="A49" s="5" t="inlineStr">
        <is>
          <t>Cálculo auxiliar M/M/s: términos aⁿ/n! para n &lt; s</t>
        </is>
      </c>
    </row>
    <row r="50" ht="15.75" customHeight="1" s="36">
      <c r="A50" s="34" t="inlineStr">
        <is>
          <t>n</t>
        </is>
      </c>
      <c r="B50" s="34" t="inlineStr">
        <is>
          <t>aⁿ/n! (si n &lt; s)</t>
        </is>
      </c>
    </row>
    <row r="51" ht="15.75" customHeight="1" s="36">
      <c r="A51" s="17" t="n">
        <v>0</v>
      </c>
      <c r="B51" s="35">
        <f>IF(AND(ISNUMBER($B$37),ISNUMBER($B$30)),IF(A51&lt;$B$30,$B$37^A51/FACT(A51),0),0)</f>
        <v/>
      </c>
    </row>
    <row r="52" ht="15.75" customHeight="1" s="36">
      <c r="A52" s="17" t="n">
        <v>1</v>
      </c>
      <c r="B52" s="35">
        <f>IF(AND(ISNUMBER($B$37),ISNUMBER($B$30)),IF(A52&lt;$B$30,$B$37^A52/FACT(A52),0),0)</f>
        <v/>
      </c>
    </row>
    <row r="53" ht="15.75" customHeight="1" s="36">
      <c r="A53" s="17" t="n">
        <v>2</v>
      </c>
      <c r="B53" s="35">
        <f>IF(AND(ISNUMBER($B$37),ISNUMBER($B$30)),IF(A53&lt;$B$30,$B$37^A53/FACT(A53),0),0)</f>
        <v/>
      </c>
    </row>
    <row r="54" ht="15.75" customHeight="1" s="36">
      <c r="A54" s="17" t="n">
        <v>3</v>
      </c>
      <c r="B54" s="35">
        <f>IF(AND(ISNUMBER($B$37),ISNUMBER($B$30)),IF(A54&lt;$B$30,$B$37^A54/FACT(A54),0),0)</f>
        <v/>
      </c>
    </row>
    <row r="55" ht="15.75" customHeight="1" s="36">
      <c r="A55" s="17" t="n">
        <v>4</v>
      </c>
      <c r="B55" s="35">
        <f>IF(AND(ISNUMBER($B$37),ISNUMBER($B$30)),IF(A55&lt;$B$30,$B$37^A55/FACT(A55),0),0)</f>
        <v/>
      </c>
    </row>
    <row r="56" ht="15.75" customHeight="1" s="36">
      <c r="A56" s="17" t="n">
        <v>5</v>
      </c>
      <c r="B56" s="35">
        <f>IF(AND(ISNUMBER($B$37),ISNUMBER($B$30)),IF(A56&lt;$B$30,$B$37^A56/FACT(A56),0),0)</f>
        <v/>
      </c>
    </row>
    <row r="57" ht="15.75" customHeight="1" s="36">
      <c r="A57" s="17" t="n">
        <v>6</v>
      </c>
      <c r="B57" s="35">
        <f>IF(AND(ISNUMBER($B$37),ISNUMBER($B$30)),IF(A57&lt;$B$30,$B$37^A57/FACT(A57),0),0)</f>
        <v/>
      </c>
    </row>
    <row r="58" ht="15.75" customHeight="1" s="36">
      <c r="A58" s="17" t="n">
        <v>7</v>
      </c>
      <c r="B58" s="35">
        <f>IF(AND(ISNUMBER($B$37),ISNUMBER($B$30)),IF(A58&lt;$B$30,$B$37^A58/FACT(A58),0),0)</f>
        <v/>
      </c>
    </row>
    <row r="59" ht="15.75" customHeight="1" s="36">
      <c r="A59" s="17" t="n">
        <v>8</v>
      </c>
      <c r="B59" s="35">
        <f>IF(AND(ISNUMBER($B$37),ISNUMBER($B$30)),IF(A59&lt;$B$30,$B$37^A59/FACT(A59),0),0)</f>
        <v/>
      </c>
    </row>
    <row r="60" ht="15.75" customHeight="1" s="36">
      <c r="A60" s="17" t="n">
        <v>9</v>
      </c>
      <c r="B60" s="35">
        <f>IF(AND(ISNUMBER($B$37),ISNUMBER($B$30)),IF(A60&lt;$B$30,$B$37^A60/FACT(A60),0),0)</f>
        <v/>
      </c>
    </row>
    <row r="61" ht="15.75" customHeight="1" s="36">
      <c r="A61" s="17" t="n">
        <v>10</v>
      </c>
      <c r="B61" s="35">
        <f>IF(AND(ISNUMBER($B$37),ISNUMBER($B$30)),IF(A61&lt;$B$30,$B$37^A61/FACT(A61),0),0)</f>
        <v/>
      </c>
    </row>
    <row r="62" ht="15.75" customHeight="1" s="36">
      <c r="A62" s="17" t="n">
        <v>11</v>
      </c>
      <c r="B62" s="35">
        <f>IF(AND(ISNUMBER($B$37),ISNUMBER($B$30)),IF(A62&lt;$B$30,$B$37^A62/FACT(A62),0),0)</f>
        <v/>
      </c>
    </row>
    <row r="63" ht="15.75" customHeight="1" s="36"/>
    <row r="64" ht="15.75" customHeight="1" s="36"/>
    <row r="65" ht="15.75" customHeight="1" s="36"/>
    <row r="66" ht="15.75" customHeight="1" s="36"/>
    <row r="67" ht="15.75" customHeight="1" s="36"/>
    <row r="68" ht="15.75" customHeight="1" s="36"/>
    <row r="69" ht="15.75" customHeight="1" s="36"/>
    <row r="70" ht="15.75" customHeight="1" s="36"/>
    <row r="71" ht="15.75" customHeight="1" s="36"/>
    <row r="72" ht="15.75" customHeight="1" s="36"/>
    <row r="73" ht="15.75" customHeight="1" s="36"/>
    <row r="74" ht="15.75" customHeight="1" s="36"/>
    <row r="75" ht="15.75" customHeight="1" s="36"/>
    <row r="76" ht="15.75" customHeight="1" s="36"/>
    <row r="77" ht="15.75" customHeight="1" s="36"/>
    <row r="78" ht="15.75" customHeight="1" s="36"/>
    <row r="79" ht="15.75" customHeight="1" s="36"/>
    <row r="80" ht="15.75" customHeight="1" s="36"/>
    <row r="81" ht="15.75" customHeight="1" s="36"/>
    <row r="82" ht="15.75" customHeight="1" s="36"/>
    <row r="83" ht="15.75" customHeight="1" s="36"/>
    <row r="84" ht="15.75" customHeight="1" s="36"/>
    <row r="85" ht="15.75" customHeight="1" s="36"/>
    <row r="86" ht="15.75" customHeight="1" s="36"/>
    <row r="87" ht="15.75" customHeight="1" s="36"/>
    <row r="88" ht="15.75" customHeight="1" s="36"/>
    <row r="89" ht="15.75" customHeight="1" s="36"/>
    <row r="90" ht="15.75" customHeight="1" s="36"/>
    <row r="91" ht="15.75" customHeight="1" s="36"/>
    <row r="92" ht="15.75" customHeight="1" s="36"/>
    <row r="93" ht="15.75" customHeight="1" s="36"/>
    <row r="94" ht="15.75" customHeight="1" s="36"/>
    <row r="95" ht="15.75" customHeight="1" s="36"/>
    <row r="96" ht="15.75" customHeight="1" s="36"/>
    <row r="97" ht="15.75" customHeight="1" s="36"/>
    <row r="98" ht="15.75" customHeight="1" s="36"/>
    <row r="99" ht="15.75" customHeight="1" s="36"/>
    <row r="100" ht="15.75" customHeight="1" s="36"/>
    <row r="101" ht="15.75" customHeight="1" s="36"/>
    <row r="102" ht="15.75" customHeight="1" s="36"/>
    <row r="103" ht="15.75" customHeight="1" s="36"/>
    <row r="104" ht="15.75" customHeight="1" s="36"/>
    <row r="105" ht="15.75" customHeight="1" s="36"/>
    <row r="106" ht="15.75" customHeight="1" s="36"/>
    <row r="107" ht="15.75" customHeight="1" s="36"/>
    <row r="108" ht="15.75" customHeight="1" s="36"/>
    <row r="109" ht="15.75" customHeight="1" s="36"/>
    <row r="110" ht="15.75" customHeight="1" s="36"/>
    <row r="111" ht="15.75" customHeight="1" s="36"/>
    <row r="112" ht="15.75" customHeight="1" s="36"/>
    <row r="113" ht="15.75" customHeight="1" s="36"/>
    <row r="114" ht="15.75" customHeight="1" s="36"/>
    <row r="115" ht="15.75" customHeight="1" s="36"/>
    <row r="116" ht="15.75" customHeight="1" s="36"/>
    <row r="117" ht="15.75" customHeight="1" s="36"/>
    <row r="118" ht="15.75" customHeight="1" s="36"/>
    <row r="119" ht="15.75" customHeight="1" s="36"/>
    <row r="120" ht="15.75" customHeight="1" s="36"/>
    <row r="121" ht="15.75" customHeight="1" s="36"/>
    <row r="122" ht="15.75" customHeight="1" s="36"/>
    <row r="123" ht="15.75" customHeight="1" s="36"/>
    <row r="124" ht="15.75" customHeight="1" s="36"/>
    <row r="125" ht="15.75" customHeight="1" s="36"/>
    <row r="126" ht="15.75" customHeight="1" s="36"/>
    <row r="127" ht="15.75" customHeight="1" s="36"/>
    <row r="128" ht="15.75" customHeight="1" s="36"/>
    <row r="129" ht="15.75" customHeight="1" s="36"/>
    <row r="130" ht="15.75" customHeight="1" s="36"/>
    <row r="131" ht="15.75" customHeight="1" s="36"/>
    <row r="132" ht="15.75" customHeight="1" s="36"/>
    <row r="133" ht="15.75" customHeight="1" s="36"/>
    <row r="134" ht="15.75" customHeight="1" s="36"/>
    <row r="135" ht="15.75" customHeight="1" s="36"/>
    <row r="136" ht="15.75" customHeight="1" s="36"/>
    <row r="137" ht="15.75" customHeight="1" s="36"/>
    <row r="138" ht="15.75" customHeight="1" s="36"/>
    <row r="139" ht="15.75" customHeight="1" s="36"/>
    <row r="140" ht="15.75" customHeight="1" s="36"/>
    <row r="141" ht="15.75" customHeight="1" s="36"/>
    <row r="142" ht="15.75" customHeight="1" s="36"/>
    <row r="143" ht="15.75" customHeight="1" s="36"/>
    <row r="144" ht="15.75" customHeight="1" s="36"/>
    <row r="145" ht="15.75" customHeight="1" s="36"/>
    <row r="146" ht="15.75" customHeight="1" s="36"/>
    <row r="147" ht="15.75" customHeight="1" s="36"/>
    <row r="148" ht="15.75" customHeight="1" s="36"/>
    <row r="149" ht="15.75" customHeight="1" s="36"/>
    <row r="150" ht="15.75" customHeight="1" s="36"/>
    <row r="151" ht="15.75" customHeight="1" s="36"/>
    <row r="152" ht="15.75" customHeight="1" s="36"/>
    <row r="153" ht="15.75" customHeight="1" s="36"/>
    <row r="154" ht="15.75" customHeight="1" s="36"/>
    <row r="155" ht="15.75" customHeight="1" s="36"/>
    <row r="156" ht="15.75" customHeight="1" s="36"/>
    <row r="157" ht="15.75" customHeight="1" s="36"/>
    <row r="158" ht="15.75" customHeight="1" s="36"/>
    <row r="159" ht="15.75" customHeight="1" s="36"/>
    <row r="160" ht="15.75" customHeight="1" s="36"/>
    <row r="161" ht="15.75" customHeight="1" s="36"/>
    <row r="162" ht="15.75" customHeight="1" s="36"/>
    <row r="163" ht="15.75" customHeight="1" s="36"/>
    <row r="164" ht="15.75" customHeight="1" s="36"/>
    <row r="165" ht="15.75" customHeight="1" s="36"/>
    <row r="166" ht="15.75" customHeight="1" s="36"/>
    <row r="167" ht="15.75" customHeight="1" s="36"/>
    <row r="168" ht="15.75" customHeight="1" s="36"/>
    <row r="169" ht="15.75" customHeight="1" s="36"/>
    <row r="170" ht="15.75" customHeight="1" s="36"/>
    <row r="171" ht="15.75" customHeight="1" s="36"/>
    <row r="172" ht="15.75" customHeight="1" s="36"/>
    <row r="173" ht="15.75" customHeight="1" s="36"/>
    <row r="174" ht="15.75" customHeight="1" s="36"/>
    <row r="175" ht="15.75" customHeight="1" s="36"/>
    <row r="176" ht="15.75" customHeight="1" s="36"/>
    <row r="177" ht="15.75" customHeight="1" s="36"/>
    <row r="178" ht="15.75" customHeight="1" s="36"/>
    <row r="179" ht="15.75" customHeight="1" s="36"/>
    <row r="180" ht="15.75" customHeight="1" s="36"/>
    <row r="181" ht="15.75" customHeight="1" s="36"/>
    <row r="182" ht="15.75" customHeight="1" s="36"/>
    <row r="183" ht="15.75" customHeight="1" s="36"/>
    <row r="184" ht="15.75" customHeight="1" s="36"/>
    <row r="185" ht="15.75" customHeight="1" s="36"/>
    <row r="186" ht="15.75" customHeight="1" s="36"/>
    <row r="187" ht="15.75" customHeight="1" s="36"/>
    <row r="188" ht="15.75" customHeight="1" s="36"/>
    <row r="189" ht="15.75" customHeight="1" s="36"/>
    <row r="190" ht="15.75" customHeight="1" s="36"/>
    <row r="191" ht="15.75" customHeight="1" s="36"/>
    <row r="192" ht="15.75" customHeight="1" s="36"/>
    <row r="193" ht="15.75" customHeight="1" s="36"/>
    <row r="194" ht="15.75" customHeight="1" s="36"/>
    <row r="195" ht="15.75" customHeight="1" s="36"/>
    <row r="196" ht="15.75" customHeight="1" s="36"/>
    <row r="197" ht="15.75" customHeight="1" s="36"/>
    <row r="198" ht="15.75" customHeight="1" s="36"/>
    <row r="199" ht="15.75" customHeight="1" s="36"/>
    <row r="200" ht="15.75" customHeight="1" s="36"/>
    <row r="201" ht="15.75" customHeight="1" s="36"/>
    <row r="202" ht="15.75" customHeight="1" s="36"/>
    <row r="203" ht="15.75" customHeight="1" s="36"/>
    <row r="204" ht="15.75" customHeight="1" s="36"/>
    <row r="205" ht="15.75" customHeight="1" s="36"/>
    <row r="206" ht="15.75" customHeight="1" s="36"/>
    <row r="207" ht="15.75" customHeight="1" s="36"/>
    <row r="208" ht="15.75" customHeight="1" s="36"/>
    <row r="209" ht="15.75" customHeight="1" s="36"/>
    <row r="210" ht="15.75" customHeight="1" s="36"/>
    <row r="211" ht="15.75" customHeight="1" s="36"/>
    <row r="212" ht="15.75" customHeight="1" s="36"/>
    <row r="213" ht="15.75" customHeight="1" s="36"/>
    <row r="214" ht="15.75" customHeight="1" s="36"/>
    <row r="215" ht="15.75" customHeight="1" s="36"/>
    <row r="216" ht="15.75" customHeight="1" s="36"/>
    <row r="217" ht="15.75" customHeight="1" s="36"/>
    <row r="218" ht="15.75" customHeight="1" s="36"/>
    <row r="219" ht="15.75" customHeight="1" s="36"/>
    <row r="220" ht="15.75" customHeight="1" s="36"/>
    <row r="221" ht="15.75" customHeight="1" s="36"/>
    <row r="222" ht="15.75" customHeight="1" s="36"/>
    <row r="223" ht="15.75" customHeight="1" s="36"/>
    <row r="224" ht="15.75" customHeight="1" s="36"/>
    <row r="225" ht="15.75" customHeight="1" s="36"/>
    <row r="226" ht="15.75" customHeight="1" s="36"/>
    <row r="227" ht="15.75" customHeight="1" s="36"/>
    <row r="228" ht="15.75" customHeight="1" s="36"/>
    <row r="229" ht="15.75" customHeight="1" s="36"/>
    <row r="230" ht="15.75" customHeight="1" s="36"/>
    <row r="231" ht="15.75" customHeight="1" s="36"/>
    <row r="232" ht="15.75" customHeight="1" s="36"/>
    <row r="233" ht="15.75" customHeight="1" s="36"/>
    <row r="234" ht="15.75" customHeight="1" s="36"/>
    <row r="235" ht="15.75" customHeight="1" s="36"/>
    <row r="236" ht="15.75" customHeight="1" s="36"/>
    <row r="237" ht="15.75" customHeight="1" s="36"/>
    <row r="238" ht="15.75" customHeight="1" s="36"/>
    <row r="239" ht="15.75" customHeight="1" s="36"/>
    <row r="240" ht="15.75" customHeight="1" s="36"/>
    <row r="241" ht="15.75" customHeight="1" s="36"/>
    <row r="242" ht="15.75" customHeight="1" s="36"/>
    <row r="243" ht="15.75" customHeight="1" s="36"/>
    <row r="244" ht="15.75" customHeight="1" s="36"/>
    <row r="245" ht="15.75" customHeight="1" s="36"/>
    <row r="246" ht="15.75" customHeight="1" s="36"/>
    <row r="247" ht="15.75" customHeight="1" s="36"/>
    <row r="248" ht="15.75" customHeight="1" s="36"/>
    <row r="249" ht="15.75" customHeight="1" s="36"/>
    <row r="250" ht="15.75" customHeight="1" s="36"/>
    <row r="251" ht="15.75" customHeight="1" s="36"/>
    <row r="252" ht="15.75" customHeight="1" s="36"/>
    <row r="253" ht="15.75" customHeight="1" s="36"/>
    <row r="254" ht="15.75" customHeight="1" s="36"/>
    <row r="255" ht="15.75" customHeight="1" s="36"/>
    <row r="256" ht="15.75" customHeight="1" s="36"/>
    <row r="257" ht="15.75" customHeight="1" s="36"/>
    <row r="258" ht="15.75" customHeight="1" s="36"/>
    <row r="259" ht="15.75" customHeight="1" s="36"/>
    <row r="260" ht="15.75" customHeight="1" s="36"/>
    <row r="261" ht="15.75" customHeight="1" s="36"/>
    <row r="262" ht="15.75" customHeight="1" s="36"/>
    <row r="263" ht="15.75" customHeight="1" s="36"/>
    <row r="264" ht="15.75" customHeight="1" s="36"/>
    <row r="265" ht="15.75" customHeight="1" s="36"/>
    <row r="266" ht="15.75" customHeight="1" s="36"/>
    <row r="267" ht="15.75" customHeight="1" s="36"/>
    <row r="268" ht="15.75" customHeight="1" s="36"/>
    <row r="269" ht="15.75" customHeight="1" s="36"/>
    <row r="270" ht="15.75" customHeight="1" s="36"/>
    <row r="271" ht="15.75" customHeight="1" s="36"/>
    <row r="272" ht="15.75" customHeight="1" s="36"/>
    <row r="273" ht="15.75" customHeight="1" s="36"/>
    <row r="274" ht="15.75" customHeight="1" s="36"/>
    <row r="275" ht="15.75" customHeight="1" s="36"/>
    <row r="276" ht="15.75" customHeight="1" s="36"/>
    <row r="277" ht="15.75" customHeight="1" s="36"/>
    <row r="278" ht="15.75" customHeight="1" s="36"/>
    <row r="279" ht="15.75" customHeight="1" s="36"/>
    <row r="280" ht="15.75" customHeight="1" s="36"/>
    <row r="281" ht="15.75" customHeight="1" s="36"/>
    <row r="282" ht="15.75" customHeight="1" s="36"/>
    <row r="283" ht="15.75" customHeight="1" s="36"/>
    <row r="284" ht="15.75" customHeight="1" s="36"/>
    <row r="285" ht="15.75" customHeight="1" s="36"/>
    <row r="286" ht="15.75" customHeight="1" s="36"/>
    <row r="287" ht="15.75" customHeight="1" s="36"/>
    <row r="288" ht="15.75" customHeight="1" s="36"/>
    <row r="289" ht="15.75" customHeight="1" s="36"/>
    <row r="290" ht="15.75" customHeight="1" s="36"/>
    <row r="291" ht="15.75" customHeight="1" s="36"/>
    <row r="292" ht="15.75" customHeight="1" s="36"/>
    <row r="293" ht="15.75" customHeight="1" s="36"/>
    <row r="294" ht="15.75" customHeight="1" s="36"/>
    <row r="295" ht="15.75" customHeight="1" s="36"/>
    <row r="296" ht="15.75" customHeight="1" s="36"/>
    <row r="297" ht="15.75" customHeight="1" s="36"/>
    <row r="298" ht="15.75" customHeight="1" s="36"/>
    <row r="299" ht="15.75" customHeight="1" s="36"/>
    <row r="300" ht="15.75" customHeight="1" s="36"/>
    <row r="301" ht="15.75" customHeight="1" s="36"/>
    <row r="302" ht="15.75" customHeight="1" s="36"/>
    <row r="303" ht="15.75" customHeight="1" s="36"/>
    <row r="304" ht="15.75" customHeight="1" s="36"/>
    <row r="305" ht="15.75" customHeight="1" s="36"/>
    <row r="306" ht="15.75" customHeight="1" s="36"/>
    <row r="307" ht="15.75" customHeight="1" s="36"/>
    <row r="308" ht="15.75" customHeight="1" s="36"/>
    <row r="309" ht="15.75" customHeight="1" s="36"/>
    <row r="310" ht="15.75" customHeight="1" s="36"/>
    <row r="311" ht="15.75" customHeight="1" s="36"/>
    <row r="312" ht="15.75" customHeight="1" s="36"/>
    <row r="313" ht="15.75" customHeight="1" s="36"/>
    <row r="314" ht="15.75" customHeight="1" s="36"/>
    <row r="315" ht="15.75" customHeight="1" s="36"/>
    <row r="316" ht="15.75" customHeight="1" s="36"/>
    <row r="317" ht="15.75" customHeight="1" s="36"/>
    <row r="318" ht="15.75" customHeight="1" s="36"/>
    <row r="319" ht="15.75" customHeight="1" s="36"/>
    <row r="320" ht="15.75" customHeight="1" s="36"/>
    <row r="321" ht="15.75" customHeight="1" s="36"/>
    <row r="322" ht="15.75" customHeight="1" s="36"/>
    <row r="323" ht="15.75" customHeight="1" s="36"/>
    <row r="324" ht="15.75" customHeight="1" s="36"/>
    <row r="325" ht="15.75" customHeight="1" s="36"/>
    <row r="326" ht="15.75" customHeight="1" s="36"/>
    <row r="327" ht="15.75" customHeight="1" s="36"/>
    <row r="328" ht="15.75" customHeight="1" s="36"/>
    <row r="329" ht="15.75" customHeight="1" s="36"/>
    <row r="330" ht="15.75" customHeight="1" s="36"/>
    <row r="331" ht="15.75" customHeight="1" s="36"/>
    <row r="332" ht="15.75" customHeight="1" s="36"/>
    <row r="333" ht="15.75" customHeight="1" s="36"/>
    <row r="334" ht="15.75" customHeight="1" s="36"/>
    <row r="335" ht="15.75" customHeight="1" s="36"/>
    <row r="336" ht="15.75" customHeight="1" s="36"/>
    <row r="337" ht="15.75" customHeight="1" s="36"/>
    <row r="338" ht="15.75" customHeight="1" s="36"/>
    <row r="339" ht="15.75" customHeight="1" s="36"/>
    <row r="340" ht="15.75" customHeight="1" s="36"/>
    <row r="341" ht="15.75" customHeight="1" s="36"/>
    <row r="342" ht="15.75" customHeight="1" s="36"/>
    <row r="343" ht="15.75" customHeight="1" s="36"/>
    <row r="344" ht="15.75" customHeight="1" s="36"/>
    <row r="345" ht="15.75" customHeight="1" s="36"/>
    <row r="346" ht="15.75" customHeight="1" s="36"/>
    <row r="347" ht="15.75" customHeight="1" s="36"/>
    <row r="348" ht="15.75" customHeight="1" s="36"/>
    <row r="349" ht="15.75" customHeight="1" s="36"/>
    <row r="350" ht="15.75" customHeight="1" s="36"/>
    <row r="351" ht="15.75" customHeight="1" s="36"/>
    <row r="352" ht="15.75" customHeight="1" s="36"/>
    <row r="353" ht="15.75" customHeight="1" s="36"/>
    <row r="354" ht="15.75" customHeight="1" s="36"/>
    <row r="355" ht="15.75" customHeight="1" s="36"/>
    <row r="356" ht="15.75" customHeight="1" s="36"/>
    <row r="357" ht="15.75" customHeight="1" s="36"/>
    <row r="358" ht="15.75" customHeight="1" s="36"/>
    <row r="359" ht="15.75" customHeight="1" s="36"/>
    <row r="360" ht="15.75" customHeight="1" s="36"/>
    <row r="361" ht="15.75" customHeight="1" s="36"/>
    <row r="362" ht="15.75" customHeight="1" s="36"/>
    <row r="363" ht="15.75" customHeight="1" s="36"/>
    <row r="364" ht="15.75" customHeight="1" s="36"/>
    <row r="365" ht="15.75" customHeight="1" s="36"/>
    <row r="366" ht="15.75" customHeight="1" s="36"/>
    <row r="367" ht="15.75" customHeight="1" s="36"/>
    <row r="368" ht="15.75" customHeight="1" s="36"/>
    <row r="369" ht="15.75" customHeight="1" s="36"/>
    <row r="370" ht="15.75" customHeight="1" s="36"/>
    <row r="371" ht="15.75" customHeight="1" s="36"/>
    <row r="372" ht="15.75" customHeight="1" s="36"/>
    <row r="373" ht="15.75" customHeight="1" s="36"/>
    <row r="374" ht="15.75" customHeight="1" s="36"/>
    <row r="375" ht="15.75" customHeight="1" s="36"/>
    <row r="376" ht="15.75" customHeight="1" s="36"/>
    <row r="377" ht="15.75" customHeight="1" s="36"/>
    <row r="378" ht="15.75" customHeight="1" s="36"/>
    <row r="379" ht="15.75" customHeight="1" s="36"/>
    <row r="380" ht="15.75" customHeight="1" s="36"/>
    <row r="381" ht="15.75" customHeight="1" s="36"/>
    <row r="382" ht="15.75" customHeight="1" s="36"/>
    <row r="383" ht="15.75" customHeight="1" s="36"/>
    <row r="384" ht="15.75" customHeight="1" s="36"/>
    <row r="385" ht="15.75" customHeight="1" s="36"/>
    <row r="386" ht="15.75" customHeight="1" s="36"/>
    <row r="387" ht="15.75" customHeight="1" s="36"/>
    <row r="388" ht="15.75" customHeight="1" s="36"/>
    <row r="389" ht="15.75" customHeight="1" s="36"/>
    <row r="390" ht="15.75" customHeight="1" s="36"/>
    <row r="391" ht="15.75" customHeight="1" s="36"/>
    <row r="392" ht="15.75" customHeight="1" s="36"/>
    <row r="393" ht="15.75" customHeight="1" s="36"/>
    <row r="394" ht="15.75" customHeight="1" s="36"/>
    <row r="395" ht="15.75" customHeight="1" s="36"/>
    <row r="396" ht="15.75" customHeight="1" s="36"/>
    <row r="397" ht="15.75" customHeight="1" s="36"/>
    <row r="398" ht="15.75" customHeight="1" s="36"/>
    <row r="399" ht="15.75" customHeight="1" s="36"/>
    <row r="400" ht="15.75" customHeight="1" s="36"/>
    <row r="401" ht="15.75" customHeight="1" s="36"/>
    <row r="402" ht="15.75" customHeight="1" s="36"/>
    <row r="403" ht="15.75" customHeight="1" s="36"/>
    <row r="404" ht="15.75" customHeight="1" s="36"/>
    <row r="405" ht="15.75" customHeight="1" s="36"/>
    <row r="406" ht="15.75" customHeight="1" s="36"/>
    <row r="407" ht="15.75" customHeight="1" s="36"/>
    <row r="408" ht="15.75" customHeight="1" s="36"/>
    <row r="409" ht="15.75" customHeight="1" s="36"/>
    <row r="410" ht="15.75" customHeight="1" s="36"/>
    <row r="411" ht="15.75" customHeight="1" s="36"/>
    <row r="412" ht="15.75" customHeight="1" s="36"/>
    <row r="413" ht="15.75" customHeight="1" s="36"/>
    <row r="414" ht="15.75" customHeight="1" s="36"/>
    <row r="415" ht="15.75" customHeight="1" s="36"/>
    <row r="416" ht="15.75" customHeight="1" s="36"/>
    <row r="417" ht="15.75" customHeight="1" s="36"/>
    <row r="418" ht="15.75" customHeight="1" s="36"/>
    <row r="419" ht="15.75" customHeight="1" s="36"/>
    <row r="420" ht="15.75" customHeight="1" s="36"/>
    <row r="421" ht="15.75" customHeight="1" s="36"/>
    <row r="422" ht="15.75" customHeight="1" s="36"/>
    <row r="423" ht="15.75" customHeight="1" s="36"/>
    <row r="424" ht="15.75" customHeight="1" s="36"/>
    <row r="425" ht="15.75" customHeight="1" s="36"/>
    <row r="426" ht="15.75" customHeight="1" s="36"/>
    <row r="427" ht="15.75" customHeight="1" s="36"/>
    <row r="428" ht="15.75" customHeight="1" s="36"/>
    <row r="429" ht="15.75" customHeight="1" s="36"/>
    <row r="430" ht="15.75" customHeight="1" s="36"/>
    <row r="431" ht="15.75" customHeight="1" s="36"/>
    <row r="432" ht="15.75" customHeight="1" s="36"/>
    <row r="433" ht="15.75" customHeight="1" s="36"/>
    <row r="434" ht="15.75" customHeight="1" s="36"/>
    <row r="435" ht="15.75" customHeight="1" s="36"/>
    <row r="436" ht="15.75" customHeight="1" s="36"/>
    <row r="437" ht="15.75" customHeight="1" s="36"/>
    <row r="438" ht="15.75" customHeight="1" s="36"/>
    <row r="439" ht="15.75" customHeight="1" s="36"/>
    <row r="440" ht="15.75" customHeight="1" s="36"/>
    <row r="441" ht="15.75" customHeight="1" s="36"/>
    <row r="442" ht="15.75" customHeight="1" s="36"/>
    <row r="443" ht="15.75" customHeight="1" s="36"/>
    <row r="444" ht="15.75" customHeight="1" s="36"/>
    <row r="445" ht="15.75" customHeight="1" s="36"/>
    <row r="446" ht="15.75" customHeight="1" s="36"/>
    <row r="447" ht="15.75" customHeight="1" s="36"/>
    <row r="448" ht="15.75" customHeight="1" s="36"/>
    <row r="449" ht="15.75" customHeight="1" s="36"/>
    <row r="450" ht="15.75" customHeight="1" s="36"/>
    <row r="451" ht="15.75" customHeight="1" s="36"/>
    <row r="452" ht="15.75" customHeight="1" s="36"/>
    <row r="453" ht="15.75" customHeight="1" s="36"/>
    <row r="454" ht="15.75" customHeight="1" s="36"/>
    <row r="455" ht="15.75" customHeight="1" s="36"/>
    <row r="456" ht="15.75" customHeight="1" s="36"/>
    <row r="457" ht="15.75" customHeight="1" s="36"/>
    <row r="458" ht="15.75" customHeight="1" s="36"/>
    <row r="459" ht="15.75" customHeight="1" s="36"/>
    <row r="460" ht="15.75" customHeight="1" s="36"/>
    <row r="461" ht="15.75" customHeight="1" s="36"/>
    <row r="462" ht="15.75" customHeight="1" s="36"/>
    <row r="463" ht="15.75" customHeight="1" s="36"/>
    <row r="464" ht="15.75" customHeight="1" s="36"/>
    <row r="465" ht="15.75" customHeight="1" s="36"/>
    <row r="466" ht="15.75" customHeight="1" s="36"/>
    <row r="467" ht="15.75" customHeight="1" s="36"/>
    <row r="468" ht="15.75" customHeight="1" s="36"/>
    <row r="469" ht="15.75" customHeight="1" s="36"/>
    <row r="470" ht="15.75" customHeight="1" s="36"/>
    <row r="471" ht="15.75" customHeight="1" s="36"/>
    <row r="472" ht="15.75" customHeight="1" s="36"/>
    <row r="473" ht="15.75" customHeight="1" s="36"/>
    <row r="474" ht="15.75" customHeight="1" s="36"/>
    <row r="475" ht="15.75" customHeight="1" s="36"/>
    <row r="476" ht="15.75" customHeight="1" s="36"/>
    <row r="477" ht="15.75" customHeight="1" s="36"/>
    <row r="478" ht="15.75" customHeight="1" s="36"/>
    <row r="479" ht="15.75" customHeight="1" s="36"/>
    <row r="480" ht="15.75" customHeight="1" s="36"/>
    <row r="481" ht="15.75" customHeight="1" s="36"/>
    <row r="482" ht="15.75" customHeight="1" s="36"/>
    <row r="483" ht="15.75" customHeight="1" s="36"/>
    <row r="484" ht="15.75" customHeight="1" s="36"/>
    <row r="485" ht="15.75" customHeight="1" s="36"/>
    <row r="486" ht="15.75" customHeight="1" s="36"/>
    <row r="487" ht="15.75" customHeight="1" s="36"/>
    <row r="488" ht="15.75" customHeight="1" s="36"/>
    <row r="489" ht="15.75" customHeight="1" s="36"/>
    <row r="490" ht="15.75" customHeight="1" s="36"/>
    <row r="491" ht="15.75" customHeight="1" s="36"/>
    <row r="492" ht="15.75" customHeight="1" s="36"/>
    <row r="493" ht="15.75" customHeight="1" s="36"/>
    <row r="494" ht="15.75" customHeight="1" s="36"/>
    <row r="495" ht="15.75" customHeight="1" s="36"/>
    <row r="496" ht="15.75" customHeight="1" s="36"/>
    <row r="497" ht="15.75" customHeight="1" s="36"/>
    <row r="498" ht="15.75" customHeight="1" s="36"/>
    <row r="499" ht="15.75" customHeight="1" s="36"/>
    <row r="500" ht="15.75" customHeight="1" s="36"/>
    <row r="501" ht="15.75" customHeight="1" s="36"/>
    <row r="502" ht="15.75" customHeight="1" s="36"/>
    <row r="503" ht="15.75" customHeight="1" s="36"/>
    <row r="504" ht="15.75" customHeight="1" s="36"/>
    <row r="505" ht="15.75" customHeight="1" s="36"/>
    <row r="506" ht="15.75" customHeight="1" s="36"/>
    <row r="507" ht="15.75" customHeight="1" s="36"/>
    <row r="508" ht="15.75" customHeight="1" s="36"/>
    <row r="509" ht="15.75" customHeight="1" s="36"/>
    <row r="510" ht="15.75" customHeight="1" s="36"/>
    <row r="511" ht="15.75" customHeight="1" s="36"/>
    <row r="512" ht="15.75" customHeight="1" s="36"/>
    <row r="513" ht="15.75" customHeight="1" s="36"/>
    <row r="514" ht="15.75" customHeight="1" s="36"/>
    <row r="515" ht="15.75" customHeight="1" s="36"/>
    <row r="516" ht="15.75" customHeight="1" s="36"/>
    <row r="517" ht="15.75" customHeight="1" s="36"/>
    <row r="518" ht="15.75" customHeight="1" s="36"/>
    <row r="519" ht="15.75" customHeight="1" s="36"/>
    <row r="520" ht="15.75" customHeight="1" s="36"/>
    <row r="521" ht="15.75" customHeight="1" s="36"/>
    <row r="522" ht="15.75" customHeight="1" s="36"/>
    <row r="523" ht="15.75" customHeight="1" s="36"/>
    <row r="524" ht="15.75" customHeight="1" s="36"/>
    <row r="525" ht="15.75" customHeight="1" s="36"/>
    <row r="526" ht="15.75" customHeight="1" s="36"/>
    <row r="527" ht="15.75" customHeight="1" s="36"/>
    <row r="528" ht="15.75" customHeight="1" s="36"/>
    <row r="529" ht="15.75" customHeight="1" s="36"/>
    <row r="530" ht="15.75" customHeight="1" s="36"/>
    <row r="531" ht="15.75" customHeight="1" s="36"/>
    <row r="532" ht="15.75" customHeight="1" s="36"/>
    <row r="533" ht="15.75" customHeight="1" s="36"/>
    <row r="534" ht="15.75" customHeight="1" s="36"/>
    <row r="535" ht="15.75" customHeight="1" s="36"/>
    <row r="536" ht="15.75" customHeight="1" s="36"/>
    <row r="537" ht="15.75" customHeight="1" s="36"/>
    <row r="538" ht="15.75" customHeight="1" s="36"/>
    <row r="539" ht="15.75" customHeight="1" s="36"/>
    <row r="540" ht="15.75" customHeight="1" s="36"/>
    <row r="541" ht="15.75" customHeight="1" s="36"/>
    <row r="542" ht="15.75" customHeight="1" s="36"/>
    <row r="543" ht="15.75" customHeight="1" s="36"/>
    <row r="544" ht="15.75" customHeight="1" s="36"/>
    <row r="545" ht="15.75" customHeight="1" s="36"/>
    <row r="546" ht="15.75" customHeight="1" s="36"/>
    <row r="547" ht="15.75" customHeight="1" s="36"/>
    <row r="548" ht="15.75" customHeight="1" s="36"/>
    <row r="549" ht="15.75" customHeight="1" s="36"/>
    <row r="550" ht="15.75" customHeight="1" s="36"/>
    <row r="551" ht="15.75" customHeight="1" s="36"/>
    <row r="552" ht="15.75" customHeight="1" s="36"/>
    <row r="553" ht="15.75" customHeight="1" s="36"/>
    <row r="554" ht="15.75" customHeight="1" s="36"/>
    <row r="555" ht="15.75" customHeight="1" s="36"/>
    <row r="556" ht="15.75" customHeight="1" s="36"/>
    <row r="557" ht="15.75" customHeight="1" s="36"/>
    <row r="558" ht="15.75" customHeight="1" s="36"/>
    <row r="559" ht="15.75" customHeight="1" s="36"/>
    <row r="560" ht="15.75" customHeight="1" s="36"/>
    <row r="561" ht="15.75" customHeight="1" s="36"/>
    <row r="562" ht="15.75" customHeight="1" s="36"/>
    <row r="563" ht="15.75" customHeight="1" s="36"/>
    <row r="564" ht="15.75" customHeight="1" s="36"/>
    <row r="565" ht="15.75" customHeight="1" s="36"/>
    <row r="566" ht="15.75" customHeight="1" s="36"/>
    <row r="567" ht="15.75" customHeight="1" s="36"/>
    <row r="568" ht="15.75" customHeight="1" s="36"/>
    <row r="569" ht="15.75" customHeight="1" s="36"/>
    <row r="570" ht="15.75" customHeight="1" s="36"/>
    <row r="571" ht="15.75" customHeight="1" s="36"/>
    <row r="572" ht="15.75" customHeight="1" s="36"/>
    <row r="573" ht="15.75" customHeight="1" s="36"/>
    <row r="574" ht="15.75" customHeight="1" s="36"/>
    <row r="575" ht="15.75" customHeight="1" s="36"/>
    <row r="576" ht="15.75" customHeight="1" s="36"/>
    <row r="577" ht="15.75" customHeight="1" s="36"/>
    <row r="578" ht="15.75" customHeight="1" s="36"/>
    <row r="579" ht="15.75" customHeight="1" s="36"/>
    <row r="580" ht="15.75" customHeight="1" s="36"/>
    <row r="581" ht="15.75" customHeight="1" s="36"/>
    <row r="582" ht="15.75" customHeight="1" s="36"/>
    <row r="583" ht="15.75" customHeight="1" s="36"/>
    <row r="584" ht="15.75" customHeight="1" s="36"/>
    <row r="585" ht="15.75" customHeight="1" s="36"/>
    <row r="586" ht="15.75" customHeight="1" s="36"/>
    <row r="587" ht="15.75" customHeight="1" s="36"/>
    <row r="588" ht="15.75" customHeight="1" s="36"/>
    <row r="589" ht="15.75" customHeight="1" s="36"/>
    <row r="590" ht="15.75" customHeight="1" s="36"/>
    <row r="591" ht="15.75" customHeight="1" s="36"/>
    <row r="592" ht="15.75" customHeight="1" s="36"/>
    <row r="593" ht="15.75" customHeight="1" s="36"/>
    <row r="594" ht="15.75" customHeight="1" s="36"/>
    <row r="595" ht="15.75" customHeight="1" s="36"/>
    <row r="596" ht="15.75" customHeight="1" s="36"/>
    <row r="597" ht="15.75" customHeight="1" s="36"/>
    <row r="598" ht="15.75" customHeight="1" s="36"/>
    <row r="599" ht="15.75" customHeight="1" s="36"/>
    <row r="600" ht="15.75" customHeight="1" s="36"/>
    <row r="601" ht="15.75" customHeight="1" s="36"/>
    <row r="602" ht="15.75" customHeight="1" s="36"/>
    <row r="603" ht="15.75" customHeight="1" s="36"/>
    <row r="604" ht="15.75" customHeight="1" s="36"/>
    <row r="605" ht="15.75" customHeight="1" s="36"/>
    <row r="606" ht="15.75" customHeight="1" s="36"/>
    <row r="607" ht="15.75" customHeight="1" s="36"/>
    <row r="608" ht="15.75" customHeight="1" s="36"/>
    <row r="609" ht="15.75" customHeight="1" s="36"/>
    <row r="610" ht="15.75" customHeight="1" s="36"/>
    <row r="611" ht="15.75" customHeight="1" s="36"/>
    <row r="612" ht="15.75" customHeight="1" s="36"/>
    <row r="613" ht="15.75" customHeight="1" s="36"/>
    <row r="614" ht="15.75" customHeight="1" s="36"/>
    <row r="615" ht="15.75" customHeight="1" s="36"/>
    <row r="616" ht="15.75" customHeight="1" s="36"/>
    <row r="617" ht="15.75" customHeight="1" s="36"/>
    <row r="618" ht="15.75" customHeight="1" s="36"/>
    <row r="619" ht="15.75" customHeight="1" s="36"/>
    <row r="620" ht="15.75" customHeight="1" s="36"/>
    <row r="621" ht="15.75" customHeight="1" s="36"/>
    <row r="622" ht="15.75" customHeight="1" s="36"/>
    <row r="623" ht="15.75" customHeight="1" s="36"/>
    <row r="624" ht="15.75" customHeight="1" s="36"/>
    <row r="625" ht="15.75" customHeight="1" s="36"/>
    <row r="626" ht="15.75" customHeight="1" s="36"/>
    <row r="627" ht="15.75" customHeight="1" s="36"/>
    <row r="628" ht="15.75" customHeight="1" s="36"/>
    <row r="629" ht="15.75" customHeight="1" s="36"/>
    <row r="630" ht="15.75" customHeight="1" s="36"/>
    <row r="631" ht="15.75" customHeight="1" s="36"/>
    <row r="632" ht="15.75" customHeight="1" s="36"/>
    <row r="633" ht="15.75" customHeight="1" s="36"/>
    <row r="634" ht="15.75" customHeight="1" s="36"/>
    <row r="635" ht="15.75" customHeight="1" s="36"/>
    <row r="636" ht="15.75" customHeight="1" s="36"/>
    <row r="637" ht="15.75" customHeight="1" s="36"/>
    <row r="638" ht="15.75" customHeight="1" s="36"/>
    <row r="639" ht="15.75" customHeight="1" s="36"/>
    <row r="640" ht="15.75" customHeight="1" s="36"/>
    <row r="641" ht="15.75" customHeight="1" s="36"/>
    <row r="642" ht="15.75" customHeight="1" s="36"/>
    <row r="643" ht="15.75" customHeight="1" s="36"/>
    <row r="644" ht="15.75" customHeight="1" s="36"/>
    <row r="645" ht="15.75" customHeight="1" s="36"/>
    <row r="646" ht="15.75" customHeight="1" s="36"/>
    <row r="647" ht="15.75" customHeight="1" s="36"/>
    <row r="648" ht="15.75" customHeight="1" s="36"/>
    <row r="649" ht="15.75" customHeight="1" s="36"/>
    <row r="650" ht="15.75" customHeight="1" s="36"/>
    <row r="651" ht="15.75" customHeight="1" s="36"/>
    <row r="652" ht="15.75" customHeight="1" s="36"/>
    <row r="653" ht="15.75" customHeight="1" s="36"/>
    <row r="654" ht="15.75" customHeight="1" s="36"/>
    <row r="655" ht="15.75" customHeight="1" s="36"/>
    <row r="656" ht="15.75" customHeight="1" s="36"/>
    <row r="657" ht="15.75" customHeight="1" s="36"/>
    <row r="658" ht="15.75" customHeight="1" s="36"/>
    <row r="659" ht="15.75" customHeight="1" s="36"/>
    <row r="660" ht="15.75" customHeight="1" s="36"/>
    <row r="661" ht="15.75" customHeight="1" s="36"/>
    <row r="662" ht="15.75" customHeight="1" s="36"/>
    <row r="663" ht="15.75" customHeight="1" s="36"/>
    <row r="664" ht="15.75" customHeight="1" s="36"/>
    <row r="665" ht="15.75" customHeight="1" s="36"/>
    <row r="666" ht="15.75" customHeight="1" s="36"/>
    <row r="667" ht="15.75" customHeight="1" s="36"/>
    <row r="668" ht="15.75" customHeight="1" s="36"/>
    <row r="669" ht="15.75" customHeight="1" s="36"/>
    <row r="670" ht="15.75" customHeight="1" s="36"/>
    <row r="671" ht="15.75" customHeight="1" s="36"/>
    <row r="672" ht="15.75" customHeight="1" s="36"/>
    <row r="673" ht="15.75" customHeight="1" s="36"/>
    <row r="674" ht="15.75" customHeight="1" s="36"/>
    <row r="675" ht="15.75" customHeight="1" s="36"/>
    <row r="676" ht="15.75" customHeight="1" s="36"/>
    <row r="677" ht="15.75" customHeight="1" s="36"/>
    <row r="678" ht="15.75" customHeight="1" s="36"/>
    <row r="679" ht="15.75" customHeight="1" s="36"/>
    <row r="680" ht="15.75" customHeight="1" s="36"/>
    <row r="681" ht="15.75" customHeight="1" s="36"/>
    <row r="682" ht="15.75" customHeight="1" s="36"/>
    <row r="683" ht="15.75" customHeight="1" s="36"/>
    <row r="684" ht="15.75" customHeight="1" s="36"/>
    <row r="685" ht="15.75" customHeight="1" s="36"/>
    <row r="686" ht="15.75" customHeight="1" s="36"/>
    <row r="687" ht="15.75" customHeight="1" s="36"/>
    <row r="688" ht="15.75" customHeight="1" s="36"/>
    <row r="689" ht="15.75" customHeight="1" s="36"/>
    <row r="690" ht="15.75" customHeight="1" s="36"/>
    <row r="691" ht="15.75" customHeight="1" s="36"/>
    <row r="692" ht="15.75" customHeight="1" s="36"/>
    <row r="693" ht="15.75" customHeight="1" s="36"/>
    <row r="694" ht="15.75" customHeight="1" s="36"/>
    <row r="695" ht="15.75" customHeight="1" s="36"/>
    <row r="696" ht="15.75" customHeight="1" s="36"/>
    <row r="697" ht="15.75" customHeight="1" s="36"/>
    <row r="698" ht="15.75" customHeight="1" s="36"/>
    <row r="699" ht="15.75" customHeight="1" s="36"/>
    <row r="700" ht="15.75" customHeight="1" s="36"/>
    <row r="701" ht="15.75" customHeight="1" s="36"/>
    <row r="702" ht="15.75" customHeight="1" s="36"/>
    <row r="703" ht="15.75" customHeight="1" s="36"/>
    <row r="704" ht="15.75" customHeight="1" s="36"/>
    <row r="705" ht="15.75" customHeight="1" s="36"/>
    <row r="706" ht="15.75" customHeight="1" s="36"/>
    <row r="707" ht="15.75" customHeight="1" s="36"/>
    <row r="708" ht="15.75" customHeight="1" s="36"/>
    <row r="709" ht="15.75" customHeight="1" s="36"/>
    <row r="710" ht="15.75" customHeight="1" s="36"/>
    <row r="711" ht="15.75" customHeight="1" s="36"/>
    <row r="712" ht="15.75" customHeight="1" s="36"/>
    <row r="713" ht="15.75" customHeight="1" s="36"/>
    <row r="714" ht="15.75" customHeight="1" s="36"/>
    <row r="715" ht="15.75" customHeight="1" s="36"/>
    <row r="716" ht="15.75" customHeight="1" s="36"/>
    <row r="717" ht="15.75" customHeight="1" s="36"/>
    <row r="718" ht="15.75" customHeight="1" s="36"/>
    <row r="719" ht="15.75" customHeight="1" s="36"/>
    <row r="720" ht="15.75" customHeight="1" s="36"/>
    <row r="721" ht="15.75" customHeight="1" s="36"/>
    <row r="722" ht="15.75" customHeight="1" s="36"/>
    <row r="723" ht="15.75" customHeight="1" s="36"/>
    <row r="724" ht="15.75" customHeight="1" s="36"/>
    <row r="725" ht="15.75" customHeight="1" s="36"/>
    <row r="726" ht="15.75" customHeight="1" s="36"/>
    <row r="727" ht="15.75" customHeight="1" s="36"/>
    <row r="728" ht="15.75" customHeight="1" s="36"/>
    <row r="729" ht="15.75" customHeight="1" s="36"/>
    <row r="730" ht="15.75" customHeight="1" s="36"/>
    <row r="731" ht="15.75" customHeight="1" s="36"/>
    <row r="732" ht="15.75" customHeight="1" s="36"/>
    <row r="733" ht="15.75" customHeight="1" s="36"/>
    <row r="734" ht="15.75" customHeight="1" s="36"/>
    <row r="735" ht="15.75" customHeight="1" s="36"/>
    <row r="736" ht="15.75" customHeight="1" s="36"/>
    <row r="737" ht="15.75" customHeight="1" s="36"/>
    <row r="738" ht="15.75" customHeight="1" s="36"/>
    <row r="739" ht="15.75" customHeight="1" s="36"/>
    <row r="740" ht="15.75" customHeight="1" s="36"/>
    <row r="741" ht="15.75" customHeight="1" s="36"/>
    <row r="742" ht="15.75" customHeight="1" s="36"/>
    <row r="743" ht="15.75" customHeight="1" s="36"/>
    <row r="744" ht="15.75" customHeight="1" s="36"/>
    <row r="745" ht="15.75" customHeight="1" s="36"/>
    <row r="746" ht="15.75" customHeight="1" s="36"/>
    <row r="747" ht="15.75" customHeight="1" s="36"/>
    <row r="748" ht="15.75" customHeight="1" s="36"/>
    <row r="749" ht="15.75" customHeight="1" s="36"/>
    <row r="750" ht="15.75" customHeight="1" s="36"/>
    <row r="751" ht="15.75" customHeight="1" s="36"/>
    <row r="752" ht="15.75" customHeight="1" s="36"/>
    <row r="753" ht="15.75" customHeight="1" s="36"/>
    <row r="754" ht="15.75" customHeight="1" s="36"/>
    <row r="755" ht="15.75" customHeight="1" s="36"/>
    <row r="756" ht="15.75" customHeight="1" s="36"/>
    <row r="757" ht="15.75" customHeight="1" s="36"/>
    <row r="758" ht="15.75" customHeight="1" s="36"/>
    <row r="759" ht="15.75" customHeight="1" s="36"/>
    <row r="760" ht="15.75" customHeight="1" s="36"/>
    <row r="761" ht="15.75" customHeight="1" s="36"/>
    <row r="762" ht="15.75" customHeight="1" s="36"/>
    <row r="763" ht="15.75" customHeight="1" s="36"/>
    <row r="764" ht="15.75" customHeight="1" s="36"/>
    <row r="765" ht="15.75" customHeight="1" s="36"/>
    <row r="766" ht="15.75" customHeight="1" s="36"/>
    <row r="767" ht="15.75" customHeight="1" s="36"/>
    <row r="768" ht="15.75" customHeight="1" s="36"/>
    <row r="769" ht="15.75" customHeight="1" s="36"/>
    <row r="770" ht="15.75" customHeight="1" s="36"/>
    <row r="771" ht="15.75" customHeight="1" s="36"/>
    <row r="772" ht="15.75" customHeight="1" s="36"/>
    <row r="773" ht="15.75" customHeight="1" s="36"/>
    <row r="774" ht="15.75" customHeight="1" s="36"/>
    <row r="775" ht="15.75" customHeight="1" s="36"/>
    <row r="776" ht="15.75" customHeight="1" s="36"/>
    <row r="777" ht="15.75" customHeight="1" s="36"/>
    <row r="778" ht="15.75" customHeight="1" s="36"/>
    <row r="779" ht="15.75" customHeight="1" s="36"/>
    <row r="780" ht="15.75" customHeight="1" s="36"/>
    <row r="781" ht="15.75" customHeight="1" s="36"/>
    <row r="782" ht="15.75" customHeight="1" s="36"/>
    <row r="783" ht="15.75" customHeight="1" s="36"/>
    <row r="784" ht="15.75" customHeight="1" s="36"/>
    <row r="785" ht="15.75" customHeight="1" s="36"/>
    <row r="786" ht="15.75" customHeight="1" s="36"/>
    <row r="787" ht="15.75" customHeight="1" s="36"/>
    <row r="788" ht="15.75" customHeight="1" s="36"/>
    <row r="789" ht="15.75" customHeight="1" s="36"/>
    <row r="790" ht="15.75" customHeight="1" s="36"/>
    <row r="791" ht="15.75" customHeight="1" s="36"/>
    <row r="792" ht="15.75" customHeight="1" s="36"/>
    <row r="793" ht="15.75" customHeight="1" s="36"/>
    <row r="794" ht="15.75" customHeight="1" s="36"/>
    <row r="795" ht="15.75" customHeight="1" s="36"/>
    <row r="796" ht="15.75" customHeight="1" s="36"/>
    <row r="797" ht="15.75" customHeight="1" s="36"/>
    <row r="798" ht="15.75" customHeight="1" s="36"/>
    <row r="799" ht="15.75" customHeight="1" s="36"/>
    <row r="800" ht="15.75" customHeight="1" s="36"/>
    <row r="801" ht="15.75" customHeight="1" s="36"/>
    <row r="802" ht="15.75" customHeight="1" s="36"/>
    <row r="803" ht="15.75" customHeight="1" s="36"/>
    <row r="804" ht="15.75" customHeight="1" s="36"/>
    <row r="805" ht="15.75" customHeight="1" s="36"/>
    <row r="806" ht="15.75" customHeight="1" s="36"/>
    <row r="807" ht="15.75" customHeight="1" s="36"/>
    <row r="808" ht="15.75" customHeight="1" s="36"/>
    <row r="809" ht="15.75" customHeight="1" s="36"/>
    <row r="810" ht="15.75" customHeight="1" s="36"/>
    <row r="811" ht="15.75" customHeight="1" s="36"/>
    <row r="812" ht="15.75" customHeight="1" s="36"/>
    <row r="813" ht="15.75" customHeight="1" s="36"/>
    <row r="814" ht="15.75" customHeight="1" s="36"/>
    <row r="815" ht="15.75" customHeight="1" s="36"/>
    <row r="816" ht="15.75" customHeight="1" s="36"/>
    <row r="817" ht="15.75" customHeight="1" s="36"/>
    <row r="818" ht="15.75" customHeight="1" s="36"/>
    <row r="819" ht="15.75" customHeight="1" s="36"/>
    <row r="820" ht="15.75" customHeight="1" s="36"/>
    <row r="821" ht="15.75" customHeight="1" s="36"/>
    <row r="822" ht="15.75" customHeight="1" s="36"/>
    <row r="823" ht="15.75" customHeight="1" s="36"/>
    <row r="824" ht="15.75" customHeight="1" s="36"/>
    <row r="825" ht="15.75" customHeight="1" s="36"/>
    <row r="826" ht="15.75" customHeight="1" s="36"/>
    <row r="827" ht="15.75" customHeight="1" s="36"/>
    <row r="828" ht="15.75" customHeight="1" s="36"/>
    <row r="829" ht="15.75" customHeight="1" s="36"/>
    <row r="830" ht="15.75" customHeight="1" s="36"/>
    <row r="831" ht="15.75" customHeight="1" s="36"/>
    <row r="832" ht="15.75" customHeight="1" s="36"/>
    <row r="833" ht="15.75" customHeight="1" s="36"/>
    <row r="834" ht="15.75" customHeight="1" s="36"/>
    <row r="835" ht="15.75" customHeight="1" s="36"/>
    <row r="836" ht="15.75" customHeight="1" s="36"/>
    <row r="837" ht="15.75" customHeight="1" s="36"/>
    <row r="838" ht="15.75" customHeight="1" s="36"/>
    <row r="839" ht="15.75" customHeight="1" s="36"/>
    <row r="840" ht="15.75" customHeight="1" s="36"/>
    <row r="841" ht="15.75" customHeight="1" s="36"/>
    <row r="842" ht="15.75" customHeight="1" s="36"/>
    <row r="843" ht="15.75" customHeight="1" s="36"/>
    <row r="844" ht="15.75" customHeight="1" s="36"/>
    <row r="845" ht="15.75" customHeight="1" s="36"/>
    <row r="846" ht="15.75" customHeight="1" s="36"/>
    <row r="847" ht="15.75" customHeight="1" s="36"/>
    <row r="848" ht="15.75" customHeight="1" s="36"/>
    <row r="849" ht="15.75" customHeight="1" s="36"/>
    <row r="850" ht="15.75" customHeight="1" s="36"/>
    <row r="851" ht="15.75" customHeight="1" s="36"/>
    <row r="852" ht="15.75" customHeight="1" s="36"/>
    <row r="853" ht="15.75" customHeight="1" s="36"/>
    <row r="854" ht="15.75" customHeight="1" s="36"/>
    <row r="855" ht="15.75" customHeight="1" s="36"/>
    <row r="856" ht="15.75" customHeight="1" s="36"/>
    <row r="857" ht="15.75" customHeight="1" s="36"/>
    <row r="858" ht="15.75" customHeight="1" s="36"/>
    <row r="859" ht="15.75" customHeight="1" s="36"/>
    <row r="860" ht="15.75" customHeight="1" s="36"/>
    <row r="861" ht="15.75" customHeight="1" s="36"/>
    <row r="862" ht="15.75" customHeight="1" s="36"/>
    <row r="863" ht="15.75" customHeight="1" s="36"/>
    <row r="864" ht="15.75" customHeight="1" s="36"/>
    <row r="865" ht="15.75" customHeight="1" s="36"/>
    <row r="866" ht="15.75" customHeight="1" s="36"/>
    <row r="867" ht="15.75" customHeight="1" s="36"/>
    <row r="868" ht="15.75" customHeight="1" s="36"/>
    <row r="869" ht="15.75" customHeight="1" s="36"/>
    <row r="870" ht="15.75" customHeight="1" s="36"/>
    <row r="871" ht="15.75" customHeight="1" s="36"/>
    <row r="872" ht="15.75" customHeight="1" s="36"/>
    <row r="873" ht="15.75" customHeight="1" s="36"/>
    <row r="874" ht="15.75" customHeight="1" s="36"/>
    <row r="875" ht="15.75" customHeight="1" s="36"/>
    <row r="876" ht="15.75" customHeight="1" s="36"/>
    <row r="877" ht="15.75" customHeight="1" s="36"/>
    <row r="878" ht="15.75" customHeight="1" s="36"/>
    <row r="879" ht="15.75" customHeight="1" s="36"/>
    <row r="880" ht="15.75" customHeight="1" s="36"/>
    <row r="881" ht="15.75" customHeight="1" s="36"/>
    <row r="882" ht="15.75" customHeight="1" s="36"/>
    <row r="883" ht="15.75" customHeight="1" s="36"/>
    <row r="884" ht="15.75" customHeight="1" s="36"/>
    <row r="885" ht="15.75" customHeight="1" s="36"/>
    <row r="886" ht="15.75" customHeight="1" s="36"/>
    <row r="887" ht="15.75" customHeight="1" s="36"/>
    <row r="888" ht="15.75" customHeight="1" s="36"/>
    <row r="889" ht="15.75" customHeight="1" s="36"/>
    <row r="890" ht="15.75" customHeight="1" s="36"/>
    <row r="891" ht="15.75" customHeight="1" s="36"/>
    <row r="892" ht="15.75" customHeight="1" s="36"/>
    <row r="893" ht="15.75" customHeight="1" s="36"/>
    <row r="894" ht="15.75" customHeight="1" s="36"/>
    <row r="895" ht="15.75" customHeight="1" s="36"/>
    <row r="896" ht="15.75" customHeight="1" s="36"/>
    <row r="897" ht="15.75" customHeight="1" s="36"/>
    <row r="898" ht="15.75" customHeight="1" s="36"/>
    <row r="899" ht="15.75" customHeight="1" s="36"/>
    <row r="900" ht="15.75" customHeight="1" s="36"/>
    <row r="901" ht="15.75" customHeight="1" s="36"/>
    <row r="902" ht="15.75" customHeight="1" s="36"/>
    <row r="903" ht="15.75" customHeight="1" s="36"/>
    <row r="904" ht="15.75" customHeight="1" s="36"/>
    <row r="905" ht="15.75" customHeight="1" s="36"/>
    <row r="906" ht="15.75" customHeight="1" s="36"/>
    <row r="907" ht="15.75" customHeight="1" s="36"/>
    <row r="908" ht="15.75" customHeight="1" s="36"/>
    <row r="909" ht="15.75" customHeight="1" s="36"/>
    <row r="910" ht="15.75" customHeight="1" s="36"/>
    <row r="911" ht="15.75" customHeight="1" s="36"/>
    <row r="912" ht="15.75" customHeight="1" s="36"/>
    <row r="913" ht="15.75" customHeight="1" s="36"/>
    <row r="914" ht="15.75" customHeight="1" s="36"/>
    <row r="915" ht="15.75" customHeight="1" s="36"/>
    <row r="916" ht="15.75" customHeight="1" s="36"/>
    <row r="917" ht="15.75" customHeight="1" s="36"/>
    <row r="918" ht="15.75" customHeight="1" s="36"/>
    <row r="919" ht="15.75" customHeight="1" s="36"/>
    <row r="920" ht="15.75" customHeight="1" s="36"/>
    <row r="921" ht="15.75" customHeight="1" s="36"/>
    <row r="922" ht="15.75" customHeight="1" s="36"/>
    <row r="923" ht="15.75" customHeight="1" s="36"/>
    <row r="924" ht="15.75" customHeight="1" s="36"/>
    <row r="925" ht="15.75" customHeight="1" s="36"/>
    <row r="926" ht="15.75" customHeight="1" s="36"/>
    <row r="927" ht="15.75" customHeight="1" s="36"/>
    <row r="928" ht="15.75" customHeight="1" s="36"/>
    <row r="929" ht="15.75" customHeight="1" s="36"/>
    <row r="930" ht="15.75" customHeight="1" s="36"/>
    <row r="931" ht="15.75" customHeight="1" s="36"/>
    <row r="932" ht="15.75" customHeight="1" s="36"/>
    <row r="933" ht="15.75" customHeight="1" s="36"/>
    <row r="934" ht="15.75" customHeight="1" s="36"/>
    <row r="935" ht="15.75" customHeight="1" s="36"/>
    <row r="936" ht="15.75" customHeight="1" s="36"/>
    <row r="937" ht="15.75" customHeight="1" s="36"/>
    <row r="938" ht="15.75" customHeight="1" s="36"/>
    <row r="939" ht="15.75" customHeight="1" s="36"/>
    <row r="940" ht="15.75" customHeight="1" s="36"/>
    <row r="941" ht="15.75" customHeight="1" s="36"/>
    <row r="942" ht="15.75" customHeight="1" s="36"/>
    <row r="943" ht="15.75" customHeight="1" s="36"/>
    <row r="944" ht="15.75" customHeight="1" s="36"/>
    <row r="945" ht="15.75" customHeight="1" s="36"/>
    <row r="946" ht="15.75" customHeight="1" s="36"/>
    <row r="947" ht="15.75" customHeight="1" s="36"/>
    <row r="948" ht="15.75" customHeight="1" s="36"/>
    <row r="949" ht="15.75" customHeight="1" s="36"/>
    <row r="950" ht="15.75" customHeight="1" s="36"/>
    <row r="951" ht="15.75" customHeight="1" s="36"/>
    <row r="952" ht="15.75" customHeight="1" s="36"/>
    <row r="953" ht="15.75" customHeight="1" s="36"/>
    <row r="954" ht="15.75" customHeight="1" s="36"/>
    <row r="955" ht="15.75" customHeight="1" s="36"/>
    <row r="956" ht="15.75" customHeight="1" s="36"/>
    <row r="957" ht="15.75" customHeight="1" s="36"/>
    <row r="958" ht="15.75" customHeight="1" s="36"/>
    <row r="959" ht="15.75" customHeight="1" s="36"/>
    <row r="960" ht="15.75" customHeight="1" s="36"/>
    <row r="961" ht="15.75" customHeight="1" s="36"/>
    <row r="962" ht="15.75" customHeight="1" s="36"/>
    <row r="963" ht="15.75" customHeight="1" s="36"/>
    <row r="964" ht="15.75" customHeight="1" s="36"/>
    <row r="965" ht="15.75" customHeight="1" s="36"/>
    <row r="966" ht="15.75" customHeight="1" s="36"/>
    <row r="967" ht="15.75" customHeight="1" s="36"/>
    <row r="968" ht="15.75" customHeight="1" s="36"/>
    <row r="969" ht="15.75" customHeight="1" s="36"/>
    <row r="970" ht="15.75" customHeight="1" s="36"/>
    <row r="971" ht="15.75" customHeight="1" s="36"/>
    <row r="972" ht="15.75" customHeight="1" s="36"/>
    <row r="973" ht="15.75" customHeight="1" s="36"/>
    <row r="974" ht="15.75" customHeight="1" s="36"/>
    <row r="975" ht="15.75" customHeight="1" s="36"/>
    <row r="976" ht="15.75" customHeight="1" s="36"/>
    <row r="977" ht="15.75" customHeight="1" s="36"/>
    <row r="978" ht="15.75" customHeight="1" s="36"/>
    <row r="979" ht="15.75" customHeight="1" s="36"/>
    <row r="980" ht="15.75" customHeight="1" s="36"/>
    <row r="981" ht="15.75" customHeight="1" s="36"/>
    <row r="982" ht="15.75" customHeight="1" s="36"/>
    <row r="983" ht="15.75" customHeight="1" s="36"/>
    <row r="984" ht="15.75" customHeight="1" s="36"/>
    <row r="985" ht="15.75" customHeight="1" s="36"/>
    <row r="986" ht="15.75" customHeight="1" s="36"/>
    <row r="987" ht="15.75" customHeight="1" s="36"/>
    <row r="988" ht="15.75" customHeight="1" s="36"/>
    <row r="989" ht="15.75" customHeight="1" s="36"/>
    <row r="990" ht="15.75" customHeight="1" s="36"/>
    <row r="991" ht="15.75" customHeight="1" s="36"/>
    <row r="992" ht="15.75" customHeight="1" s="36"/>
    <row r="993" ht="15.75" customHeight="1" s="36"/>
    <row r="994" ht="15.75" customHeight="1" s="36"/>
    <row r="995" ht="15.75" customHeight="1" s="36"/>
    <row r="996" ht="15.75" customHeight="1" s="36"/>
    <row r="997" ht="15.75" customHeight="1" s="36"/>
    <row r="998" ht="15.75" customHeight="1" s="36"/>
    <row r="999" ht="15.75" customHeight="1" s="36"/>
  </sheetData>
  <dataValidations count="1">
    <dataValidation sqref="B30" showDropDown="0" showInputMessage="0" showErrorMessage="0" allowBlank="1" type="decimal">
      <formula1>1.0</formula1>
      <formula2>12.0</formula2>
    </dataValidation>
  </dataValidation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2026-10-18T04:06:56Z</dcterms:created>
  <dcterms:modified xmlns:dcterms="http://purl.org/dc/terms/" xmlns:xsi="http://www.w3.org/2001/XMLSchema-instance" xsi:type="dcterms:W3CDTF">2026-10-18T04:06:56Z</dcterms:modified>
</cp:coreProperties>
</file>